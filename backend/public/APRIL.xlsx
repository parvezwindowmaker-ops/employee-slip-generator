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RAW-APRIL-2026\"/>
    </mc:Choice>
  </mc:AlternateContent>
  <xr:revisionPtr revIDLastSave="0" documentId="13_ncr:1_{7BF0667A-117B-42AC-836A-7A296E7C07DB}" xr6:coauthVersionLast="47" xr6:coauthVersionMax="47" xr10:uidLastSave="{00000000-0000-0000-0000-000000000000}"/>
  <bookViews>
    <workbookView xWindow="-120" yWindow="-120" windowWidth="29040" windowHeight="15720" tabRatio="608" xr2:uid="{00000000-000D-0000-FFFF-FFFF00000000}"/>
  </bookViews>
  <sheets>
    <sheet name="APRIL-26" sheetId="1" r:id="rId1"/>
    <sheet name="LEFT EMPLOYEE" sheetId="2" r:id="rId2"/>
    <sheet name="TRAIL SHEET" sheetId="3" r:id="rId3"/>
  </sheets>
  <definedNames>
    <definedName name="_xlnm._FilterDatabase" localSheetId="0" hidden="1">'APRIL-26'!$A$4:$BC$166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3" l="1"/>
  <c r="N21" i="3"/>
  <c r="N22" i="3"/>
  <c r="N23" i="3"/>
  <c r="N24" i="3"/>
  <c r="N25" i="3"/>
  <c r="N26" i="3"/>
  <c r="O26" i="3" s="1"/>
  <c r="N27" i="3"/>
  <c r="N28" i="3"/>
  <c r="N29" i="3"/>
  <c r="N30" i="3"/>
  <c r="N31" i="3"/>
  <c r="N32" i="3"/>
  <c r="N33" i="3"/>
  <c r="N34" i="3"/>
  <c r="AB34" i="3" s="1"/>
  <c r="N35" i="3"/>
  <c r="N36" i="3"/>
  <c r="N37" i="3"/>
  <c r="N38" i="3"/>
  <c r="N39" i="3"/>
  <c r="N40" i="3"/>
  <c r="N41" i="3"/>
  <c r="N42" i="3"/>
  <c r="AB42" i="3" s="1"/>
  <c r="N43" i="3"/>
  <c r="N44" i="3"/>
  <c r="N45" i="3"/>
  <c r="N46" i="3"/>
  <c r="N47" i="3"/>
  <c r="N48" i="3"/>
  <c r="N49" i="3"/>
  <c r="N50" i="3"/>
  <c r="AB50" i="3" s="1"/>
  <c r="N51" i="3"/>
  <c r="N52" i="3"/>
  <c r="N53" i="3"/>
  <c r="N54" i="3"/>
  <c r="N55" i="3"/>
  <c r="N56" i="3"/>
  <c r="N57" i="3"/>
  <c r="N58" i="3"/>
  <c r="AB58" i="3" s="1"/>
  <c r="N59" i="3"/>
  <c r="N60" i="3"/>
  <c r="N61" i="3"/>
  <c r="N62" i="3"/>
  <c r="N63" i="3"/>
  <c r="N64" i="3"/>
  <c r="N65" i="3"/>
  <c r="N66" i="3"/>
  <c r="AB66" i="3" s="1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O82" i="3" s="1"/>
  <c r="N83" i="3"/>
  <c r="N84" i="3"/>
  <c r="N85" i="3"/>
  <c r="N86" i="3"/>
  <c r="N87" i="3"/>
  <c r="N88" i="3"/>
  <c r="N89" i="3"/>
  <c r="N90" i="3"/>
  <c r="O90" i="3" s="1"/>
  <c r="N91" i="3"/>
  <c r="N92" i="3"/>
  <c r="N93" i="3"/>
  <c r="N94" i="3"/>
  <c r="N95" i="3"/>
  <c r="N96" i="3"/>
  <c r="N97" i="3"/>
  <c r="N98" i="3"/>
  <c r="AB98" i="3" s="1"/>
  <c r="N99" i="3"/>
  <c r="N100" i="3"/>
  <c r="N101" i="3"/>
  <c r="N102" i="3"/>
  <c r="N103" i="3"/>
  <c r="N104" i="3"/>
  <c r="N105" i="3"/>
  <c r="N106" i="3"/>
  <c r="O106" i="3" s="1"/>
  <c r="N107" i="3"/>
  <c r="N108" i="3"/>
  <c r="N109" i="3"/>
  <c r="N110" i="3"/>
  <c r="N111" i="3"/>
  <c r="N112" i="3"/>
  <c r="N113" i="3"/>
  <c r="N114" i="3"/>
  <c r="O114" i="3" s="1"/>
  <c r="P114" i="3" s="1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9" i="3"/>
  <c r="N17" i="3"/>
  <c r="AB17" i="3" s="1"/>
  <c r="N16" i="3"/>
  <c r="N15" i="3"/>
  <c r="N14" i="3"/>
  <c r="N13" i="3"/>
  <c r="N12" i="3"/>
  <c r="N11" i="3"/>
  <c r="N18" i="3" s="1"/>
  <c r="O7" i="3"/>
  <c r="O8" i="3"/>
  <c r="O9" i="3"/>
  <c r="N7" i="3"/>
  <c r="N8" i="3"/>
  <c r="N10" i="3" s="1"/>
  <c r="N9" i="3"/>
  <c r="AB31" i="3"/>
  <c r="AB39" i="3"/>
  <c r="O47" i="3"/>
  <c r="AB55" i="3"/>
  <c r="AB63" i="3"/>
  <c r="O71" i="3"/>
  <c r="Q71" i="3" s="1"/>
  <c r="AB79" i="3"/>
  <c r="O95" i="3"/>
  <c r="O111" i="3"/>
  <c r="O119" i="3"/>
  <c r="AB124" i="3"/>
  <c r="AB127" i="3"/>
  <c r="O140" i="3"/>
  <c r="P140" i="3" s="1"/>
  <c r="O143" i="3"/>
  <c r="Q143" i="3" s="1"/>
  <c r="O151" i="3"/>
  <c r="Q151" i="3" s="1"/>
  <c r="AB14" i="3"/>
  <c r="AB22" i="3"/>
  <c r="AB30" i="3"/>
  <c r="O32" i="3"/>
  <c r="O40" i="3"/>
  <c r="AB46" i="3"/>
  <c r="O48" i="3"/>
  <c r="AB54" i="3"/>
  <c r="O56" i="3"/>
  <c r="AB62" i="3"/>
  <c r="O64" i="3"/>
  <c r="O70" i="3"/>
  <c r="P70" i="3" s="1"/>
  <c r="O72" i="3"/>
  <c r="O78" i="3"/>
  <c r="P78" i="3" s="1"/>
  <c r="O102" i="3"/>
  <c r="Q102" i="3" s="1"/>
  <c r="AB104" i="3"/>
  <c r="O110" i="3"/>
  <c r="O118" i="3"/>
  <c r="O144" i="3"/>
  <c r="O152" i="3"/>
  <c r="O6" i="3"/>
  <c r="N6" i="3"/>
  <c r="AB6" i="3" s="1"/>
  <c r="BC167" i="3"/>
  <c r="AN165" i="3"/>
  <c r="X164" i="3"/>
  <c r="AG162" i="3"/>
  <c r="BC162" i="3" s="1"/>
  <c r="AB162" i="3"/>
  <c r="X162" i="3"/>
  <c r="BB161" i="3"/>
  <c r="AL161" i="3"/>
  <c r="AK161" i="3"/>
  <c r="AJ161" i="3"/>
  <c r="AI161" i="3"/>
  <c r="AH161" i="3"/>
  <c r="AF161" i="3"/>
  <c r="AE161" i="3"/>
  <c r="AD161" i="3"/>
  <c r="AC161" i="3"/>
  <c r="Z161" i="3"/>
  <c r="W161" i="3"/>
  <c r="V161" i="3"/>
  <c r="U161" i="3"/>
  <c r="T161" i="3"/>
  <c r="R161" i="3"/>
  <c r="M161" i="3"/>
  <c r="D161" i="3"/>
  <c r="BC160" i="3"/>
  <c r="AM160" i="3"/>
  <c r="AB160" i="3"/>
  <c r="AA160" i="3"/>
  <c r="AG160" i="3" s="1"/>
  <c r="AN160" i="3" s="1"/>
  <c r="Y160" i="3"/>
  <c r="X160" i="3"/>
  <c r="AM159" i="3"/>
  <c r="AB159" i="3"/>
  <c r="AA159" i="3"/>
  <c r="AG159" i="3" s="1"/>
  <c r="Y159" i="3"/>
  <c r="X159" i="3"/>
  <c r="BC158" i="3"/>
  <c r="AM158" i="3"/>
  <c r="AB158" i="3"/>
  <c r="AA158" i="3"/>
  <c r="AG158" i="3" s="1"/>
  <c r="AN158" i="3" s="1"/>
  <c r="Y158" i="3"/>
  <c r="X158" i="3"/>
  <c r="AM157" i="3"/>
  <c r="AB157" i="3"/>
  <c r="AA157" i="3"/>
  <c r="AG157" i="3" s="1"/>
  <c r="AN157" i="3" s="1"/>
  <c r="Y157" i="3"/>
  <c r="X157" i="3"/>
  <c r="BC156" i="3"/>
  <c r="AM156" i="3"/>
  <c r="AA156" i="3"/>
  <c r="AG156" i="3" s="1"/>
  <c r="AN156" i="3" s="1"/>
  <c r="Y156" i="3"/>
  <c r="X156" i="3"/>
  <c r="O156" i="3"/>
  <c r="AM155" i="3"/>
  <c r="Y155" i="3"/>
  <c r="AA155" i="3" s="1"/>
  <c r="X155" i="3"/>
  <c r="O155" i="3"/>
  <c r="Q155" i="3" s="1"/>
  <c r="AM154" i="3"/>
  <c r="Y154" i="3"/>
  <c r="AA154" i="3" s="1"/>
  <c r="X154" i="3"/>
  <c r="AM153" i="3"/>
  <c r="Y153" i="3"/>
  <c r="AA153" i="3" s="1"/>
  <c r="X153" i="3"/>
  <c r="O153" i="3"/>
  <c r="AM152" i="3"/>
  <c r="Y152" i="3"/>
  <c r="AA152" i="3" s="1"/>
  <c r="X152" i="3"/>
  <c r="AM151" i="3"/>
  <c r="Y151" i="3"/>
  <c r="AA151" i="3" s="1"/>
  <c r="X151" i="3"/>
  <c r="AM150" i="3"/>
  <c r="AB150" i="3"/>
  <c r="Y150" i="3"/>
  <c r="AA150" i="3" s="1"/>
  <c r="X150" i="3"/>
  <c r="AM149" i="3"/>
  <c r="Y149" i="3"/>
  <c r="AA149" i="3" s="1"/>
  <c r="X149" i="3"/>
  <c r="O149" i="3"/>
  <c r="AM148" i="3"/>
  <c r="Y148" i="3"/>
  <c r="AA148" i="3" s="1"/>
  <c r="X148" i="3"/>
  <c r="O148" i="3"/>
  <c r="AM147" i="3"/>
  <c r="Y147" i="3"/>
  <c r="AA147" i="3" s="1"/>
  <c r="X147" i="3"/>
  <c r="O147" i="3"/>
  <c r="Q147" i="3" s="1"/>
  <c r="AM146" i="3"/>
  <c r="Y146" i="3"/>
  <c r="AA146" i="3" s="1"/>
  <c r="X146" i="3"/>
  <c r="AM145" i="3"/>
  <c r="Y145" i="3"/>
  <c r="AA145" i="3" s="1"/>
  <c r="X145" i="3"/>
  <c r="O145" i="3"/>
  <c r="AM144" i="3"/>
  <c r="Y144" i="3"/>
  <c r="AA144" i="3" s="1"/>
  <c r="X144" i="3"/>
  <c r="AM143" i="3"/>
  <c r="Y143" i="3"/>
  <c r="AA143" i="3" s="1"/>
  <c r="X143" i="3"/>
  <c r="AM142" i="3"/>
  <c r="AB142" i="3"/>
  <c r="Y142" i="3"/>
  <c r="AA142" i="3" s="1"/>
  <c r="X142" i="3"/>
  <c r="AM141" i="3"/>
  <c r="Y141" i="3"/>
  <c r="AA141" i="3" s="1"/>
  <c r="X141" i="3"/>
  <c r="O141" i="3"/>
  <c r="AM140" i="3"/>
  <c r="Y140" i="3"/>
  <c r="AA140" i="3" s="1"/>
  <c r="X140" i="3"/>
  <c r="AM139" i="3"/>
  <c r="AB139" i="3"/>
  <c r="Y139" i="3"/>
  <c r="AA139" i="3" s="1"/>
  <c r="X139" i="3"/>
  <c r="AM138" i="3"/>
  <c r="Y138" i="3"/>
  <c r="AA138" i="3" s="1"/>
  <c r="X138" i="3"/>
  <c r="AM137" i="3"/>
  <c r="Y137" i="3"/>
  <c r="AA137" i="3" s="1"/>
  <c r="X137" i="3"/>
  <c r="O137" i="3"/>
  <c r="Q137" i="3" s="1"/>
  <c r="AM136" i="3"/>
  <c r="Y136" i="3"/>
  <c r="AA136" i="3" s="1"/>
  <c r="X136" i="3"/>
  <c r="AM135" i="3"/>
  <c r="Y135" i="3"/>
  <c r="AA135" i="3" s="1"/>
  <c r="X135" i="3"/>
  <c r="AM134" i="3"/>
  <c r="Y134" i="3"/>
  <c r="AA134" i="3" s="1"/>
  <c r="X134" i="3"/>
  <c r="AM133" i="3"/>
  <c r="Y133" i="3"/>
  <c r="AA133" i="3" s="1"/>
  <c r="X133" i="3"/>
  <c r="AM132" i="3"/>
  <c r="Y132" i="3"/>
  <c r="AA132" i="3" s="1"/>
  <c r="X132" i="3"/>
  <c r="AM131" i="3"/>
  <c r="Y131" i="3"/>
  <c r="AA131" i="3" s="1"/>
  <c r="X131" i="3"/>
  <c r="AM130" i="3"/>
  <c r="Y130" i="3"/>
  <c r="AA130" i="3" s="1"/>
  <c r="X130" i="3"/>
  <c r="AM129" i="3"/>
  <c r="Y129" i="3"/>
  <c r="AA129" i="3" s="1"/>
  <c r="X129" i="3"/>
  <c r="AM128" i="3"/>
  <c r="Y128" i="3"/>
  <c r="AA128" i="3" s="1"/>
  <c r="X128" i="3"/>
  <c r="AM127" i="3"/>
  <c r="Y127" i="3"/>
  <c r="AA127" i="3" s="1"/>
  <c r="X127" i="3"/>
  <c r="AM126" i="3"/>
  <c r="AA126" i="3"/>
  <c r="Y126" i="3"/>
  <c r="X126" i="3"/>
  <c r="AM125" i="3"/>
  <c r="AB125" i="3"/>
  <c r="Y125" i="3"/>
  <c r="AA125" i="3" s="1"/>
  <c r="X125" i="3"/>
  <c r="O125" i="3"/>
  <c r="AM124" i="3"/>
  <c r="Y124" i="3"/>
  <c r="AA124" i="3" s="1"/>
  <c r="X124" i="3"/>
  <c r="AM123" i="3"/>
  <c r="AG123" i="3"/>
  <c r="AB123" i="3"/>
  <c r="Y123" i="3"/>
  <c r="AA123" i="3" s="1"/>
  <c r="X123" i="3"/>
  <c r="O123" i="3"/>
  <c r="Q123" i="3" s="1"/>
  <c r="AM122" i="3"/>
  <c r="AA122" i="3"/>
  <c r="Y122" i="3"/>
  <c r="X122" i="3"/>
  <c r="AM121" i="3"/>
  <c r="AB121" i="3"/>
  <c r="Y121" i="3"/>
  <c r="AA121" i="3" s="1"/>
  <c r="X121" i="3"/>
  <c r="O121" i="3"/>
  <c r="Q121" i="3" s="1"/>
  <c r="AM120" i="3"/>
  <c r="AB120" i="3"/>
  <c r="AA120" i="3"/>
  <c r="AG120" i="3" s="1"/>
  <c r="Y120" i="3"/>
  <c r="X120" i="3"/>
  <c r="AM119" i="3"/>
  <c r="X119" i="3"/>
  <c r="Y119" i="3" s="1"/>
  <c r="AA119" i="3" s="1"/>
  <c r="AM118" i="3"/>
  <c r="AA118" i="3"/>
  <c r="AG118" i="3" s="1"/>
  <c r="Y118" i="3"/>
  <c r="X118" i="3"/>
  <c r="AM117" i="3"/>
  <c r="AG117" i="3"/>
  <c r="AB117" i="3"/>
  <c r="Y117" i="3"/>
  <c r="AA117" i="3" s="1"/>
  <c r="X117" i="3"/>
  <c r="O117" i="3"/>
  <c r="Q117" i="3" s="1"/>
  <c r="AN116" i="3"/>
  <c r="BC116" i="3" s="1"/>
  <c r="AM116" i="3"/>
  <c r="Y116" i="3"/>
  <c r="AA116" i="3" s="1"/>
  <c r="AG116" i="3" s="1"/>
  <c r="X116" i="3"/>
  <c r="AM115" i="3"/>
  <c r="Y115" i="3"/>
  <c r="AA115" i="3" s="1"/>
  <c r="X115" i="3"/>
  <c r="O115" i="3"/>
  <c r="Q115" i="3" s="1"/>
  <c r="AM114" i="3"/>
  <c r="AB114" i="3"/>
  <c r="AA114" i="3"/>
  <c r="AG114" i="3" s="1"/>
  <c r="Y114" i="3"/>
  <c r="X114" i="3"/>
  <c r="AM113" i="3"/>
  <c r="AB113" i="3"/>
  <c r="Y113" i="3"/>
  <c r="AA113" i="3" s="1"/>
  <c r="X113" i="3"/>
  <c r="O113" i="3"/>
  <c r="Q113" i="3" s="1"/>
  <c r="AM112" i="3"/>
  <c r="AB112" i="3"/>
  <c r="AA112" i="3"/>
  <c r="AG112" i="3" s="1"/>
  <c r="Y112" i="3"/>
  <c r="X112" i="3"/>
  <c r="AM111" i="3"/>
  <c r="X111" i="3"/>
  <c r="Y111" i="3" s="1"/>
  <c r="AA111" i="3" s="1"/>
  <c r="AM110" i="3"/>
  <c r="AA110" i="3"/>
  <c r="AG110" i="3" s="1"/>
  <c r="Y110" i="3"/>
  <c r="X110" i="3"/>
  <c r="AM109" i="3"/>
  <c r="AG109" i="3"/>
  <c r="AB109" i="3"/>
  <c r="Y109" i="3"/>
  <c r="AA109" i="3" s="1"/>
  <c r="X109" i="3"/>
  <c r="O109" i="3"/>
  <c r="Q109" i="3" s="1"/>
  <c r="AN108" i="3"/>
  <c r="BC108" i="3" s="1"/>
  <c r="AM108" i="3"/>
  <c r="Y108" i="3"/>
  <c r="AA108" i="3" s="1"/>
  <c r="AG108" i="3" s="1"/>
  <c r="X108" i="3"/>
  <c r="AM107" i="3"/>
  <c r="AB107" i="3"/>
  <c r="AA107" i="3"/>
  <c r="Y107" i="3"/>
  <c r="X107" i="3"/>
  <c r="O107" i="3"/>
  <c r="Q107" i="3" s="1"/>
  <c r="AM106" i="3"/>
  <c r="AA106" i="3"/>
  <c r="AG106" i="3" s="1"/>
  <c r="Y106" i="3"/>
  <c r="X106" i="3"/>
  <c r="AM105" i="3"/>
  <c r="AB105" i="3"/>
  <c r="Y105" i="3"/>
  <c r="AA105" i="3" s="1"/>
  <c r="AG105" i="3" s="1"/>
  <c r="X105" i="3"/>
  <c r="O105" i="3"/>
  <c r="AM104" i="3"/>
  <c r="AG104" i="3"/>
  <c r="BC104" i="3" s="1"/>
  <c r="AA104" i="3"/>
  <c r="AN104" i="3" s="1"/>
  <c r="Y104" i="3"/>
  <c r="X104" i="3"/>
  <c r="O104" i="3"/>
  <c r="AM103" i="3"/>
  <c r="Y103" i="3"/>
  <c r="AA103" i="3" s="1"/>
  <c r="X103" i="3"/>
  <c r="AM102" i="3"/>
  <c r="X102" i="3"/>
  <c r="Y102" i="3" s="1"/>
  <c r="AA102" i="3" s="1"/>
  <c r="AG102" i="3" s="1"/>
  <c r="AM101" i="3"/>
  <c r="X101" i="3"/>
  <c r="Y101" i="3" s="1"/>
  <c r="AA101" i="3" s="1"/>
  <c r="O101" i="3"/>
  <c r="AB101" i="3"/>
  <c r="AM100" i="3"/>
  <c r="Y100" i="3"/>
  <c r="AA100" i="3" s="1"/>
  <c r="AG100" i="3" s="1"/>
  <c r="X100" i="3"/>
  <c r="O100" i="3"/>
  <c r="Q100" i="3" s="1"/>
  <c r="AB100" i="3"/>
  <c r="AM99" i="3"/>
  <c r="AB99" i="3"/>
  <c r="AA99" i="3"/>
  <c r="Y99" i="3"/>
  <c r="X99" i="3"/>
  <c r="O99" i="3"/>
  <c r="Q99" i="3" s="1"/>
  <c r="AM98" i="3"/>
  <c r="AA98" i="3"/>
  <c r="Y98" i="3"/>
  <c r="X98" i="3"/>
  <c r="O98" i="3"/>
  <c r="P98" i="3" s="1"/>
  <c r="AM97" i="3"/>
  <c r="AG97" i="3"/>
  <c r="Y97" i="3"/>
  <c r="AA97" i="3" s="1"/>
  <c r="X97" i="3"/>
  <c r="AM96" i="3"/>
  <c r="AA96" i="3"/>
  <c r="AG96" i="3" s="1"/>
  <c r="AN96" i="3" s="1"/>
  <c r="Y96" i="3"/>
  <c r="X96" i="3"/>
  <c r="AM95" i="3"/>
  <c r="X95" i="3"/>
  <c r="Y95" i="3" s="1"/>
  <c r="AA95" i="3" s="1"/>
  <c r="AM94" i="3"/>
  <c r="X94" i="3"/>
  <c r="Y94" i="3" s="1"/>
  <c r="AA94" i="3" s="1"/>
  <c r="AM93" i="3"/>
  <c r="X93" i="3"/>
  <c r="Y93" i="3" s="1"/>
  <c r="AA93" i="3" s="1"/>
  <c r="AG93" i="3" s="1"/>
  <c r="O93" i="3"/>
  <c r="Q93" i="3" s="1"/>
  <c r="AB93" i="3"/>
  <c r="AM92" i="3"/>
  <c r="Y92" i="3"/>
  <c r="AA92" i="3" s="1"/>
  <c r="X92" i="3"/>
  <c r="O92" i="3"/>
  <c r="Q92" i="3" s="1"/>
  <c r="BC91" i="3"/>
  <c r="AM91" i="3"/>
  <c r="Y91" i="3"/>
  <c r="AA91" i="3" s="1"/>
  <c r="AN91" i="3" s="1"/>
  <c r="X91" i="3"/>
  <c r="Q91" i="3"/>
  <c r="O91" i="3"/>
  <c r="P91" i="3" s="1"/>
  <c r="AM90" i="3"/>
  <c r="X90" i="3"/>
  <c r="Y90" i="3" s="1"/>
  <c r="AA90" i="3" s="1"/>
  <c r="AN90" i="3" s="1"/>
  <c r="BC90" i="3" s="1"/>
  <c r="AN89" i="3"/>
  <c r="BC89" i="3" s="1"/>
  <c r="AM89" i="3"/>
  <c r="AB89" i="3"/>
  <c r="X89" i="3"/>
  <c r="Y89" i="3" s="1"/>
  <c r="AA89" i="3" s="1"/>
  <c r="AM88" i="3"/>
  <c r="X88" i="3"/>
  <c r="Y88" i="3" s="1"/>
  <c r="AA88" i="3" s="1"/>
  <c r="AN88" i="3" s="1"/>
  <c r="BC88" i="3" s="1"/>
  <c r="AM87" i="3"/>
  <c r="X87" i="3"/>
  <c r="Y87" i="3" s="1"/>
  <c r="AA87" i="3" s="1"/>
  <c r="AN87" i="3" s="1"/>
  <c r="BC87" i="3" s="1"/>
  <c r="AM86" i="3"/>
  <c r="Y86" i="3"/>
  <c r="AA86" i="3" s="1"/>
  <c r="X86" i="3"/>
  <c r="AM85" i="3"/>
  <c r="Y85" i="3"/>
  <c r="AA85" i="3" s="1"/>
  <c r="AG85" i="3" s="1"/>
  <c r="X85" i="3"/>
  <c r="AN84" i="3"/>
  <c r="AM84" i="3"/>
  <c r="X84" i="3"/>
  <c r="Y84" i="3" s="1"/>
  <c r="AA84" i="3" s="1"/>
  <c r="AG84" i="3" s="1"/>
  <c r="O84" i="3"/>
  <c r="P84" i="3" s="1"/>
  <c r="AB84" i="3"/>
  <c r="AA83" i="3"/>
  <c r="AG83" i="3" s="1"/>
  <c r="Y83" i="3"/>
  <c r="X83" i="3"/>
  <c r="O83" i="3"/>
  <c r="Q83" i="3" s="1"/>
  <c r="AM82" i="3"/>
  <c r="AB82" i="3"/>
  <c r="X82" i="3"/>
  <c r="Y82" i="3" s="1"/>
  <c r="AA82" i="3" s="1"/>
  <c r="AM81" i="3"/>
  <c r="AB81" i="3"/>
  <c r="X81" i="3"/>
  <c r="Y81" i="3" s="1"/>
  <c r="AA81" i="3" s="1"/>
  <c r="O81" i="3"/>
  <c r="P81" i="3" s="1"/>
  <c r="AG80" i="3"/>
  <c r="AB80" i="3"/>
  <c r="AA80" i="3"/>
  <c r="X80" i="3"/>
  <c r="Y80" i="3" s="1"/>
  <c r="AM79" i="3"/>
  <c r="X79" i="3"/>
  <c r="Y79" i="3" s="1"/>
  <c r="AA79" i="3" s="1"/>
  <c r="AM78" i="3"/>
  <c r="AG78" i="3"/>
  <c r="AB78" i="3"/>
  <c r="X78" i="3"/>
  <c r="Y78" i="3" s="1"/>
  <c r="AA78" i="3" s="1"/>
  <c r="AM77" i="3"/>
  <c r="AG77" i="3"/>
  <c r="AB77" i="3"/>
  <c r="X77" i="3"/>
  <c r="Y77" i="3" s="1"/>
  <c r="AA77" i="3" s="1"/>
  <c r="O77" i="3"/>
  <c r="P77" i="3" s="1"/>
  <c r="AM76" i="3"/>
  <c r="AG76" i="3"/>
  <c r="AB76" i="3"/>
  <c r="Y76" i="3"/>
  <c r="AA76" i="3" s="1"/>
  <c r="X76" i="3"/>
  <c r="O76" i="3"/>
  <c r="Q76" i="3" s="1"/>
  <c r="AM75" i="3"/>
  <c r="X75" i="3"/>
  <c r="Y75" i="3" s="1"/>
  <c r="AA75" i="3" s="1"/>
  <c r="AG75" i="3" s="1"/>
  <c r="O75" i="3"/>
  <c r="AM74" i="3"/>
  <c r="X74" i="3"/>
  <c r="Y74" i="3" s="1"/>
  <c r="AA74" i="3" s="1"/>
  <c r="AN73" i="3"/>
  <c r="AM73" i="3"/>
  <c r="AB73" i="3"/>
  <c r="Y73" i="3"/>
  <c r="AA73" i="3" s="1"/>
  <c r="AG73" i="3" s="1"/>
  <c r="X73" i="3"/>
  <c r="O73" i="3"/>
  <c r="P73" i="3" s="1"/>
  <c r="AM72" i="3"/>
  <c r="X72" i="3"/>
  <c r="Y72" i="3" s="1"/>
  <c r="AA72" i="3" s="1"/>
  <c r="AM71" i="3"/>
  <c r="Y71" i="3"/>
  <c r="AA71" i="3" s="1"/>
  <c r="X71" i="3"/>
  <c r="AM70" i="3"/>
  <c r="Y70" i="3"/>
  <c r="AA70" i="3" s="1"/>
  <c r="X70" i="3"/>
  <c r="AM69" i="3"/>
  <c r="Y69" i="3"/>
  <c r="AA69" i="3" s="1"/>
  <c r="X69" i="3"/>
  <c r="O69" i="3"/>
  <c r="Q69" i="3" s="1"/>
  <c r="AM68" i="3"/>
  <c r="X68" i="3"/>
  <c r="Y68" i="3" s="1"/>
  <c r="AA68" i="3" s="1"/>
  <c r="AM67" i="3"/>
  <c r="AB67" i="3"/>
  <c r="AA67" i="3"/>
  <c r="AG67" i="3" s="1"/>
  <c r="Y67" i="3"/>
  <c r="X67" i="3"/>
  <c r="O67" i="3"/>
  <c r="P67" i="3" s="1"/>
  <c r="AM66" i="3"/>
  <c r="X66" i="3"/>
  <c r="Y66" i="3" s="1"/>
  <c r="AA66" i="3" s="1"/>
  <c r="AN65" i="3"/>
  <c r="AM65" i="3"/>
  <c r="AB65" i="3"/>
  <c r="Y65" i="3"/>
  <c r="AA65" i="3" s="1"/>
  <c r="AG65" i="3" s="1"/>
  <c r="X65" i="3"/>
  <c r="O65" i="3"/>
  <c r="Q65" i="3" s="1"/>
  <c r="AM64" i="3"/>
  <c r="X64" i="3"/>
  <c r="Y64" i="3" s="1"/>
  <c r="AA64" i="3" s="1"/>
  <c r="AM63" i="3"/>
  <c r="Y63" i="3"/>
  <c r="AA63" i="3" s="1"/>
  <c r="X63" i="3"/>
  <c r="AM62" i="3"/>
  <c r="Y62" i="3"/>
  <c r="AA62" i="3" s="1"/>
  <c r="X62" i="3"/>
  <c r="O62" i="3"/>
  <c r="P62" i="3" s="1"/>
  <c r="AM61" i="3"/>
  <c r="Y61" i="3"/>
  <c r="AA61" i="3" s="1"/>
  <c r="X61" i="3"/>
  <c r="O61" i="3"/>
  <c r="Q61" i="3" s="1"/>
  <c r="AM60" i="3"/>
  <c r="X60" i="3"/>
  <c r="Y60" i="3" s="1"/>
  <c r="AA60" i="3" s="1"/>
  <c r="AM59" i="3"/>
  <c r="AB59" i="3"/>
  <c r="AA59" i="3"/>
  <c r="AG59" i="3" s="1"/>
  <c r="Y59" i="3"/>
  <c r="X59" i="3"/>
  <c r="O59" i="3"/>
  <c r="P59" i="3" s="1"/>
  <c r="AM58" i="3"/>
  <c r="X58" i="3"/>
  <c r="Y58" i="3" s="1"/>
  <c r="AA58" i="3" s="1"/>
  <c r="O58" i="3"/>
  <c r="Q58" i="3" s="1"/>
  <c r="AN57" i="3"/>
  <c r="AM57" i="3"/>
  <c r="AB57" i="3"/>
  <c r="Y57" i="3"/>
  <c r="AA57" i="3" s="1"/>
  <c r="AG57" i="3" s="1"/>
  <c r="X57" i="3"/>
  <c r="Q57" i="3"/>
  <c r="O57" i="3"/>
  <c r="P57" i="3" s="1"/>
  <c r="AM56" i="3"/>
  <c r="X56" i="3"/>
  <c r="Y56" i="3" s="1"/>
  <c r="AA56" i="3" s="1"/>
  <c r="AM55" i="3"/>
  <c r="Y55" i="3"/>
  <c r="AA55" i="3" s="1"/>
  <c r="X55" i="3"/>
  <c r="O55" i="3"/>
  <c r="Q55" i="3" s="1"/>
  <c r="AM54" i="3"/>
  <c r="Y54" i="3"/>
  <c r="AA54" i="3" s="1"/>
  <c r="X54" i="3"/>
  <c r="O54" i="3"/>
  <c r="P54" i="3" s="1"/>
  <c r="AM53" i="3"/>
  <c r="X53" i="3"/>
  <c r="Y53" i="3" s="1"/>
  <c r="AA53" i="3" s="1"/>
  <c r="AM52" i="3"/>
  <c r="Y52" i="3"/>
  <c r="AA52" i="3" s="1"/>
  <c r="X52" i="3"/>
  <c r="O52" i="3"/>
  <c r="Q52" i="3" s="1"/>
  <c r="AM51" i="3"/>
  <c r="X51" i="3"/>
  <c r="Y51" i="3" s="1"/>
  <c r="AA51" i="3" s="1"/>
  <c r="O51" i="3"/>
  <c r="AM50" i="3"/>
  <c r="Y50" i="3"/>
  <c r="AA50" i="3" s="1"/>
  <c r="X50" i="3"/>
  <c r="AM49" i="3"/>
  <c r="X49" i="3"/>
  <c r="Y49" i="3" s="1"/>
  <c r="AA49" i="3" s="1"/>
  <c r="AM48" i="3"/>
  <c r="Y48" i="3"/>
  <c r="AA48" i="3" s="1"/>
  <c r="X48" i="3"/>
  <c r="AM47" i="3"/>
  <c r="X47" i="3"/>
  <c r="Y47" i="3" s="1"/>
  <c r="AA47" i="3" s="1"/>
  <c r="AM46" i="3"/>
  <c r="Y46" i="3"/>
  <c r="AA46" i="3" s="1"/>
  <c r="X46" i="3"/>
  <c r="AM45" i="3"/>
  <c r="AB45" i="3"/>
  <c r="X45" i="3"/>
  <c r="Y45" i="3" s="1"/>
  <c r="AA45" i="3" s="1"/>
  <c r="O45" i="3"/>
  <c r="AM44" i="3"/>
  <c r="Y44" i="3"/>
  <c r="AA44" i="3" s="1"/>
  <c r="X44" i="3"/>
  <c r="P44" i="3"/>
  <c r="O44" i="3"/>
  <c r="Q44" i="3" s="1"/>
  <c r="AM43" i="3"/>
  <c r="AB43" i="3"/>
  <c r="X43" i="3"/>
  <c r="Y43" i="3" s="1"/>
  <c r="AA43" i="3" s="1"/>
  <c r="O43" i="3"/>
  <c r="AM42" i="3"/>
  <c r="Y42" i="3"/>
  <c r="AA42" i="3" s="1"/>
  <c r="X42" i="3"/>
  <c r="AM41" i="3"/>
  <c r="X41" i="3"/>
  <c r="Y41" i="3" s="1"/>
  <c r="AA41" i="3" s="1"/>
  <c r="O41" i="3"/>
  <c r="AM40" i="3"/>
  <c r="Y40" i="3"/>
  <c r="AA40" i="3" s="1"/>
  <c r="X40" i="3"/>
  <c r="AM39" i="3"/>
  <c r="X39" i="3"/>
  <c r="Y39" i="3" s="1"/>
  <c r="AA39" i="3" s="1"/>
  <c r="AM38" i="3"/>
  <c r="Y38" i="3"/>
  <c r="AA38" i="3" s="1"/>
  <c r="X38" i="3"/>
  <c r="AB38" i="3"/>
  <c r="AM37" i="3"/>
  <c r="X37" i="3"/>
  <c r="Y37" i="3" s="1"/>
  <c r="AA37" i="3" s="1"/>
  <c r="AG37" i="3" s="1"/>
  <c r="O37" i="3"/>
  <c r="P37" i="3" s="1"/>
  <c r="AM36" i="3"/>
  <c r="Y36" i="3"/>
  <c r="AA36" i="3" s="1"/>
  <c r="X36" i="3"/>
  <c r="O36" i="3"/>
  <c r="Q36" i="3" s="1"/>
  <c r="AM35" i="3"/>
  <c r="AA35" i="3"/>
  <c r="X35" i="3"/>
  <c r="Y35" i="3" s="1"/>
  <c r="O35" i="3"/>
  <c r="AM34" i="3"/>
  <c r="Y34" i="3"/>
  <c r="AA34" i="3" s="1"/>
  <c r="X34" i="3"/>
  <c r="AM33" i="3"/>
  <c r="AG33" i="3"/>
  <c r="BC33" i="3" s="1"/>
  <c r="X33" i="3"/>
  <c r="Y33" i="3" s="1"/>
  <c r="AA33" i="3" s="1"/>
  <c r="AN33" i="3" s="1"/>
  <c r="AB33" i="3"/>
  <c r="AM32" i="3"/>
  <c r="Y32" i="3"/>
  <c r="AA32" i="3" s="1"/>
  <c r="X32" i="3"/>
  <c r="AM31" i="3"/>
  <c r="X31" i="3"/>
  <c r="Y31" i="3" s="1"/>
  <c r="AA31" i="3" s="1"/>
  <c r="AN30" i="3"/>
  <c r="AM30" i="3"/>
  <c r="Y30" i="3"/>
  <c r="AA30" i="3" s="1"/>
  <c r="AG30" i="3" s="1"/>
  <c r="X30" i="3"/>
  <c r="AM29" i="3"/>
  <c r="X29" i="3"/>
  <c r="Y29" i="3" s="1"/>
  <c r="AA29" i="3" s="1"/>
  <c r="O29" i="3"/>
  <c r="P29" i="3" s="1"/>
  <c r="AB29" i="3"/>
  <c r="AM28" i="3"/>
  <c r="AA28" i="3"/>
  <c r="AG28" i="3" s="1"/>
  <c r="X28" i="3"/>
  <c r="Y28" i="3" s="1"/>
  <c r="AB28" i="3"/>
  <c r="AM27" i="3"/>
  <c r="AB27" i="3"/>
  <c r="X27" i="3"/>
  <c r="Y27" i="3" s="1"/>
  <c r="AA27" i="3" s="1"/>
  <c r="O27" i="3"/>
  <c r="C27" i="3"/>
  <c r="C161" i="3" s="1"/>
  <c r="AM26" i="3"/>
  <c r="AB26" i="3"/>
  <c r="X26" i="3"/>
  <c r="Y26" i="3" s="1"/>
  <c r="AA26" i="3" s="1"/>
  <c r="AM25" i="3"/>
  <c r="Y25" i="3"/>
  <c r="AA25" i="3" s="1"/>
  <c r="AG25" i="3" s="1"/>
  <c r="X25" i="3"/>
  <c r="AB25" i="3"/>
  <c r="AM24" i="3"/>
  <c r="AG24" i="3"/>
  <c r="BC24" i="3" s="1"/>
  <c r="X24" i="3"/>
  <c r="Y24" i="3" s="1"/>
  <c r="AA24" i="3" s="1"/>
  <c r="AN24" i="3" s="1"/>
  <c r="O24" i="3"/>
  <c r="AM23" i="3"/>
  <c r="Y23" i="3"/>
  <c r="AA23" i="3" s="1"/>
  <c r="X23" i="3"/>
  <c r="O23" i="3"/>
  <c r="Q23" i="3" s="1"/>
  <c r="AM22" i="3"/>
  <c r="Y22" i="3"/>
  <c r="AA22" i="3" s="1"/>
  <c r="X22" i="3"/>
  <c r="AM21" i="3"/>
  <c r="AB21" i="3"/>
  <c r="X21" i="3"/>
  <c r="Y21" i="3" s="1"/>
  <c r="AA21" i="3" s="1"/>
  <c r="O21" i="3"/>
  <c r="AM20" i="3"/>
  <c r="Y20" i="3"/>
  <c r="AA20" i="3" s="1"/>
  <c r="X20" i="3"/>
  <c r="AB20" i="3"/>
  <c r="J20" i="3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AM19" i="3"/>
  <c r="AB19" i="3"/>
  <c r="X19" i="3"/>
  <c r="O19" i="3"/>
  <c r="AL18" i="3"/>
  <c r="AK18" i="3"/>
  <c r="AJ18" i="3"/>
  <c r="AH18" i="3"/>
  <c r="Z18" i="3"/>
  <c r="W18" i="3"/>
  <c r="V18" i="3"/>
  <c r="U18" i="3"/>
  <c r="R18" i="3"/>
  <c r="M18" i="3"/>
  <c r="D18" i="3"/>
  <c r="C18" i="3"/>
  <c r="AM17" i="3"/>
  <c r="X17" i="3"/>
  <c r="Y17" i="3" s="1"/>
  <c r="AA17" i="3" s="1"/>
  <c r="AI16" i="3"/>
  <c r="Y16" i="3"/>
  <c r="AA16" i="3" s="1"/>
  <c r="X16" i="3"/>
  <c r="O16" i="3"/>
  <c r="AM15" i="3"/>
  <c r="X15" i="3"/>
  <c r="Y15" i="3" s="1"/>
  <c r="AA15" i="3" s="1"/>
  <c r="AM14" i="3"/>
  <c r="X14" i="3"/>
  <c r="Y14" i="3" s="1"/>
  <c r="AA14" i="3" s="1"/>
  <c r="AM13" i="3"/>
  <c r="AB13" i="3"/>
  <c r="AC13" i="3" s="1"/>
  <c r="Z13" i="3"/>
  <c r="X13" i="3"/>
  <c r="Y13" i="3" s="1"/>
  <c r="AA13" i="3" s="1"/>
  <c r="O13" i="3"/>
  <c r="Q13" i="3" s="1"/>
  <c r="AM12" i="3"/>
  <c r="X12" i="3"/>
  <c r="Y12" i="3" s="1"/>
  <c r="AA12" i="3" s="1"/>
  <c r="J12" i="3"/>
  <c r="J13" i="3" s="1"/>
  <c r="J14" i="3" s="1"/>
  <c r="J15" i="3" s="1"/>
  <c r="J16" i="3" s="1"/>
  <c r="J17" i="3" s="1"/>
  <c r="C12" i="3"/>
  <c r="AM11" i="3"/>
  <c r="AB11" i="3"/>
  <c r="AD11" i="3" s="1"/>
  <c r="X11" i="3"/>
  <c r="X18" i="3" s="1"/>
  <c r="O11" i="3"/>
  <c r="BB10" i="3"/>
  <c r="AP10" i="3"/>
  <c r="AO10" i="3"/>
  <c r="AL10" i="3"/>
  <c r="AL163" i="3" s="1"/>
  <c r="AK10" i="3"/>
  <c r="AJ10" i="3"/>
  <c r="AJ163" i="3" s="1"/>
  <c r="AI10" i="3"/>
  <c r="AH10" i="3"/>
  <c r="AH163" i="3" s="1"/>
  <c r="AF10" i="3"/>
  <c r="AE10" i="3"/>
  <c r="AD10" i="3"/>
  <c r="AC10" i="3"/>
  <c r="Z10" i="3"/>
  <c r="Z163" i="3" s="1"/>
  <c r="W10" i="3"/>
  <c r="W163" i="3" s="1"/>
  <c r="V10" i="3"/>
  <c r="V163" i="3" s="1"/>
  <c r="U10" i="3"/>
  <c r="T10" i="3"/>
  <c r="R10" i="3"/>
  <c r="R163" i="3" s="1"/>
  <c r="M10" i="3"/>
  <c r="D10" i="3"/>
  <c r="D163" i="3" s="1"/>
  <c r="C10" i="3"/>
  <c r="AM9" i="3"/>
  <c r="AB9" i="3"/>
  <c r="Y9" i="3"/>
  <c r="AA9" i="3" s="1"/>
  <c r="X9" i="3"/>
  <c r="Q9" i="3"/>
  <c r="P9" i="3"/>
  <c r="AM8" i="3"/>
  <c r="Y8" i="3"/>
  <c r="AA8" i="3" s="1"/>
  <c r="X8" i="3"/>
  <c r="AM7" i="3"/>
  <c r="AA7" i="3"/>
  <c r="AG7" i="3" s="1"/>
  <c r="Y7" i="3"/>
  <c r="X7" i="3"/>
  <c r="J7" i="3"/>
  <c r="J8" i="3" s="1"/>
  <c r="J9" i="3" s="1"/>
  <c r="AM6" i="3"/>
  <c r="AM10" i="3" s="1"/>
  <c r="X6" i="3"/>
  <c r="X10" i="3" s="1"/>
  <c r="Q106" i="3" l="1"/>
  <c r="P106" i="3"/>
  <c r="O66" i="3"/>
  <c r="AB90" i="3"/>
  <c r="AB106" i="3"/>
  <c r="P65" i="3"/>
  <c r="S65" i="3" s="1"/>
  <c r="P92" i="3"/>
  <c r="S92" i="3" s="1"/>
  <c r="P61" i="3"/>
  <c r="P137" i="3"/>
  <c r="S137" i="3" s="1"/>
  <c r="S9" i="3"/>
  <c r="O39" i="3"/>
  <c r="S57" i="3"/>
  <c r="Q73" i="3"/>
  <c r="S73" i="3" s="1"/>
  <c r="O31" i="3"/>
  <c r="P31" i="3" s="1"/>
  <c r="AB71" i="3"/>
  <c r="P83" i="3"/>
  <c r="P93" i="3"/>
  <c r="P99" i="3"/>
  <c r="S99" i="3" s="1"/>
  <c r="P100" i="3"/>
  <c r="P107" i="3"/>
  <c r="S107" i="3" s="1"/>
  <c r="O127" i="3"/>
  <c r="O15" i="3"/>
  <c r="Q15" i="3" s="1"/>
  <c r="Q98" i="3"/>
  <c r="S98" i="3" s="1"/>
  <c r="O63" i="3"/>
  <c r="Q63" i="3" s="1"/>
  <c r="Q114" i="3"/>
  <c r="AB119" i="3"/>
  <c r="AB111" i="3"/>
  <c r="AD13" i="3"/>
  <c r="P52" i="3"/>
  <c r="S52" i="3" s="1"/>
  <c r="Q40" i="3"/>
  <c r="P40" i="3"/>
  <c r="Q118" i="3"/>
  <c r="P118" i="3"/>
  <c r="S118" i="3" s="1"/>
  <c r="Q110" i="3"/>
  <c r="P110" i="3"/>
  <c r="AD14" i="3"/>
  <c r="AC14" i="3"/>
  <c r="Q48" i="3"/>
  <c r="P48" i="3"/>
  <c r="Q32" i="3"/>
  <c r="P32" i="3"/>
  <c r="P23" i="3"/>
  <c r="S23" i="3" s="1"/>
  <c r="P36" i="3"/>
  <c r="S36" i="3" s="1"/>
  <c r="AB126" i="3"/>
  <c r="O14" i="3"/>
  <c r="Q14" i="3" s="1"/>
  <c r="O112" i="3"/>
  <c r="O120" i="3"/>
  <c r="O22" i="3"/>
  <c r="P69" i="3"/>
  <c r="S69" i="3" s="1"/>
  <c r="AB70" i="3"/>
  <c r="P76" i="3"/>
  <c r="S76" i="3" s="1"/>
  <c r="Q81" i="3"/>
  <c r="S81" i="3" s="1"/>
  <c r="P121" i="3"/>
  <c r="S121" i="3" s="1"/>
  <c r="O126" i="3"/>
  <c r="O138" i="3"/>
  <c r="P143" i="3"/>
  <c r="P151" i="3"/>
  <c r="S151" i="3" s="1"/>
  <c r="P13" i="3"/>
  <c r="S13" i="3" s="1"/>
  <c r="T13" i="3" s="1"/>
  <c r="S83" i="3"/>
  <c r="S106" i="3"/>
  <c r="AB110" i="3"/>
  <c r="AB118" i="3"/>
  <c r="AC11" i="3"/>
  <c r="P58" i="3"/>
  <c r="S100" i="3"/>
  <c r="S114" i="3"/>
  <c r="P115" i="3"/>
  <c r="S115" i="3" s="1"/>
  <c r="AG15" i="3"/>
  <c r="P24" i="3"/>
  <c r="S24" i="3" s="1"/>
  <c r="Q24" i="3"/>
  <c r="AG31" i="3"/>
  <c r="AN31" i="3" s="1"/>
  <c r="Q7" i="3"/>
  <c r="P7" i="3"/>
  <c r="AG14" i="3"/>
  <c r="AG21" i="3"/>
  <c r="AG26" i="3"/>
  <c r="AN26" i="3"/>
  <c r="AF13" i="3"/>
  <c r="AF18" i="3" s="1"/>
  <c r="AE13" i="3"/>
  <c r="AE18" i="3" s="1"/>
  <c r="AE163" i="3" s="1"/>
  <c r="AG13" i="3"/>
  <c r="AN8" i="3"/>
  <c r="AN7" i="3"/>
  <c r="BC7" i="3"/>
  <c r="J163" i="3"/>
  <c r="AG16" i="3"/>
  <c r="Q16" i="3"/>
  <c r="P16" i="3"/>
  <c r="S16" i="3" s="1"/>
  <c r="T16" i="3" s="1"/>
  <c r="AG20" i="3"/>
  <c r="AN20" i="3" s="1"/>
  <c r="AG9" i="3"/>
  <c r="AN9" i="3"/>
  <c r="AG12" i="3"/>
  <c r="AD17" i="3"/>
  <c r="AC17" i="3"/>
  <c r="AN17" i="3" s="1"/>
  <c r="AN23" i="3"/>
  <c r="AG23" i="3"/>
  <c r="AG17" i="3"/>
  <c r="AN27" i="3"/>
  <c r="AG27" i="3"/>
  <c r="AG32" i="3"/>
  <c r="Q72" i="3"/>
  <c r="P72" i="3"/>
  <c r="Y11" i="3"/>
  <c r="X161" i="3"/>
  <c r="X163" i="3" s="1"/>
  <c r="Y19" i="3"/>
  <c r="AB24" i="3"/>
  <c r="O33" i="3"/>
  <c r="P35" i="3"/>
  <c r="Q35" i="3"/>
  <c r="AG42" i="3"/>
  <c r="AN42" i="3" s="1"/>
  <c r="S44" i="3"/>
  <c r="AN45" i="3"/>
  <c r="AG45" i="3"/>
  <c r="AG51" i="3"/>
  <c r="AN51" i="3"/>
  <c r="BC57" i="3"/>
  <c r="BC73" i="3"/>
  <c r="AB87" i="3"/>
  <c r="O87" i="3"/>
  <c r="AB60" i="3"/>
  <c r="O60" i="3"/>
  <c r="AB8" i="3"/>
  <c r="AI163" i="3"/>
  <c r="AB12" i="3"/>
  <c r="O12" i="3"/>
  <c r="O18" i="3" s="1"/>
  <c r="AB37" i="3"/>
  <c r="AB41" i="3"/>
  <c r="P43" i="3"/>
  <c r="Q43" i="3"/>
  <c r="AN53" i="3"/>
  <c r="AG53" i="3"/>
  <c r="AG56" i="3"/>
  <c r="AN60" i="3"/>
  <c r="AG60" i="3"/>
  <c r="AG63" i="3"/>
  <c r="AN63" i="3"/>
  <c r="AG72" i="3"/>
  <c r="AN72" i="3" s="1"/>
  <c r="BC76" i="3"/>
  <c r="AN41" i="3"/>
  <c r="AG41" i="3"/>
  <c r="O53" i="3"/>
  <c r="AG99" i="3"/>
  <c r="AN99" i="3" s="1"/>
  <c r="Q6" i="3"/>
  <c r="AG8" i="3"/>
  <c r="Q11" i="3"/>
  <c r="AB16" i="3"/>
  <c r="AI18" i="3"/>
  <c r="Q22" i="3"/>
  <c r="P22" i="3"/>
  <c r="AN25" i="3"/>
  <c r="BC25" i="3" s="1"/>
  <c r="AG29" i="3"/>
  <c r="BC30" i="3"/>
  <c r="AG35" i="3"/>
  <c r="AN35" i="3"/>
  <c r="AN36" i="3"/>
  <c r="P39" i="3"/>
  <c r="Q39" i="3"/>
  <c r="AG47" i="3"/>
  <c r="AN47" i="3"/>
  <c r="AG48" i="3"/>
  <c r="AN48" i="3" s="1"/>
  <c r="AB53" i="3"/>
  <c r="AN66" i="3"/>
  <c r="AG66" i="3"/>
  <c r="AG69" i="3"/>
  <c r="AN69" i="3"/>
  <c r="AN85" i="3"/>
  <c r="BC85" i="3" s="1"/>
  <c r="AG92" i="3"/>
  <c r="AN92" i="3" s="1"/>
  <c r="AG94" i="3"/>
  <c r="AN94" i="3"/>
  <c r="AN38" i="3"/>
  <c r="AG38" i="3"/>
  <c r="Q56" i="3"/>
  <c r="P56" i="3"/>
  <c r="Q62" i="3"/>
  <c r="S62" i="3" s="1"/>
  <c r="O96" i="3"/>
  <c r="AB96" i="3"/>
  <c r="P6" i="3"/>
  <c r="O10" i="3"/>
  <c r="U163" i="3"/>
  <c r="AK163" i="3"/>
  <c r="P11" i="3"/>
  <c r="AB15" i="3"/>
  <c r="N161" i="3"/>
  <c r="N163" i="3" s="1"/>
  <c r="AN28" i="3"/>
  <c r="AV28" i="3" s="1"/>
  <c r="AB35" i="3"/>
  <c r="AG36" i="3"/>
  <c r="AN37" i="3"/>
  <c r="BC37" i="3" s="1"/>
  <c r="AG43" i="3"/>
  <c r="AG44" i="3"/>
  <c r="AB47" i="3"/>
  <c r="AG50" i="3"/>
  <c r="AN50" i="3" s="1"/>
  <c r="BC65" i="3"/>
  <c r="BC78" i="3"/>
  <c r="BC84" i="3"/>
  <c r="AG103" i="3"/>
  <c r="AN130" i="3"/>
  <c r="AG130" i="3"/>
  <c r="P21" i="3"/>
  <c r="Q21" i="3"/>
  <c r="P47" i="3"/>
  <c r="Q47" i="3"/>
  <c r="M163" i="3"/>
  <c r="P19" i="3"/>
  <c r="S19" i="3" s="1"/>
  <c r="AN22" i="3"/>
  <c r="AV22" i="3" s="1"/>
  <c r="P26" i="3"/>
  <c r="S26" i="3" s="1"/>
  <c r="Q26" i="3"/>
  <c r="O28" i="3"/>
  <c r="AG34" i="3"/>
  <c r="AG39" i="3"/>
  <c r="AN39" i="3" s="1"/>
  <c r="AG40" i="3"/>
  <c r="O49" i="3"/>
  <c r="Q54" i="3"/>
  <c r="S54" i="3"/>
  <c r="Q64" i="3"/>
  <c r="P64" i="3"/>
  <c r="AB68" i="3"/>
  <c r="O68" i="3"/>
  <c r="Q70" i="3"/>
  <c r="S70" i="3" s="1"/>
  <c r="AG74" i="3"/>
  <c r="AN74" i="3"/>
  <c r="AN101" i="3"/>
  <c r="AG101" i="3"/>
  <c r="AB7" i="3"/>
  <c r="O17" i="3"/>
  <c r="Q19" i="3"/>
  <c r="Q27" i="3"/>
  <c r="P27" i="3"/>
  <c r="Q45" i="3"/>
  <c r="P45" i="3"/>
  <c r="AG49" i="3"/>
  <c r="P51" i="3"/>
  <c r="Q51" i="3"/>
  <c r="AG55" i="3"/>
  <c r="AN55" i="3"/>
  <c r="AG64" i="3"/>
  <c r="AN64" i="3" s="1"/>
  <c r="AN68" i="3"/>
  <c r="AG68" i="3"/>
  <c r="AG71" i="3"/>
  <c r="AN71" i="3"/>
  <c r="O97" i="3"/>
  <c r="AB97" i="3"/>
  <c r="O116" i="3"/>
  <c r="AB116" i="3"/>
  <c r="AN75" i="3"/>
  <c r="BC75" i="3" s="1"/>
  <c r="Y6" i="3"/>
  <c r="AF163" i="3"/>
  <c r="AM16" i="3"/>
  <c r="AM18" i="3" s="1"/>
  <c r="AM163" i="3" s="1"/>
  <c r="AG22" i="3"/>
  <c r="Q29" i="3"/>
  <c r="S29" i="3" s="1"/>
  <c r="S32" i="3"/>
  <c r="Q37" i="3"/>
  <c r="S37" i="3" s="1"/>
  <c r="Q41" i="3"/>
  <c r="P41" i="3"/>
  <c r="AG46" i="3"/>
  <c r="AB49" i="3"/>
  <c r="AG52" i="3"/>
  <c r="AN58" i="3"/>
  <c r="AG58" i="3"/>
  <c r="AG61" i="3"/>
  <c r="AN61" i="3"/>
  <c r="AG79" i="3"/>
  <c r="AN79" i="3"/>
  <c r="BC80" i="3"/>
  <c r="AN82" i="3"/>
  <c r="AG82" i="3"/>
  <c r="O20" i="3"/>
  <c r="O25" i="3"/>
  <c r="O30" i="3"/>
  <c r="O34" i="3"/>
  <c r="O38" i="3"/>
  <c r="O42" i="3"/>
  <c r="O46" i="3"/>
  <c r="O50" i="3"/>
  <c r="Q59" i="3"/>
  <c r="S59" i="3" s="1"/>
  <c r="Q67" i="3"/>
  <c r="S67" i="3" s="1"/>
  <c r="AN76" i="3"/>
  <c r="AN77" i="3"/>
  <c r="BC77" i="3" s="1"/>
  <c r="AN78" i="3"/>
  <c r="Q82" i="3"/>
  <c r="P82" i="3"/>
  <c r="O88" i="3"/>
  <c r="AB88" i="3"/>
  <c r="O94" i="3"/>
  <c r="AB94" i="3"/>
  <c r="BC96" i="3"/>
  <c r="AN105" i="3"/>
  <c r="BC105" i="3" s="1"/>
  <c r="O134" i="3"/>
  <c r="AB134" i="3"/>
  <c r="AB85" i="3"/>
  <c r="O86" i="3"/>
  <c r="AB86" i="3"/>
  <c r="AM161" i="3"/>
  <c r="AB23" i="3"/>
  <c r="AB32" i="3"/>
  <c r="AB36" i="3"/>
  <c r="AB40" i="3"/>
  <c r="AB44" i="3"/>
  <c r="AB48" i="3"/>
  <c r="AB52" i="3"/>
  <c r="P55" i="3"/>
  <c r="S55" i="3" s="1"/>
  <c r="AB56" i="3"/>
  <c r="AB61" i="3"/>
  <c r="P63" i="3"/>
  <c r="S63" i="3" s="1"/>
  <c r="AB64" i="3"/>
  <c r="AB69" i="3"/>
  <c r="P71" i="3"/>
  <c r="S71" i="3" s="1"/>
  <c r="AB72" i="3"/>
  <c r="O74" i="3"/>
  <c r="AB74" i="3"/>
  <c r="AN80" i="3"/>
  <c r="AG81" i="3"/>
  <c r="AN81" i="3"/>
  <c r="O85" i="3"/>
  <c r="AB91" i="3"/>
  <c r="S91" i="3"/>
  <c r="P102" i="3"/>
  <c r="S102" i="3" s="1"/>
  <c r="Q111" i="3"/>
  <c r="P111" i="3"/>
  <c r="S111" i="3" s="1"/>
  <c r="BC117" i="3"/>
  <c r="AN125" i="3"/>
  <c r="AG125" i="3"/>
  <c r="AN54" i="3"/>
  <c r="AB75" i="3"/>
  <c r="AB95" i="3"/>
  <c r="AN97" i="3"/>
  <c r="BC97" i="3" s="1"/>
  <c r="AN100" i="3"/>
  <c r="BC100" i="3" s="1"/>
  <c r="BC102" i="3"/>
  <c r="AB51" i="3"/>
  <c r="Q75" i="3"/>
  <c r="P75" i="3"/>
  <c r="Q90" i="3"/>
  <c r="P90" i="3"/>
  <c r="BC93" i="3"/>
  <c r="Q95" i="3"/>
  <c r="S95" i="3" s="1"/>
  <c r="P95" i="3"/>
  <c r="Q104" i="3"/>
  <c r="P104" i="3"/>
  <c r="Q105" i="3"/>
  <c r="P105" i="3"/>
  <c r="O108" i="3"/>
  <c r="AB108" i="3"/>
  <c r="AG54" i="3"/>
  <c r="S58" i="3"/>
  <c r="AG62" i="3"/>
  <c r="AN62" i="3" s="1"/>
  <c r="AG70" i="3"/>
  <c r="AN70" i="3" s="1"/>
  <c r="Q77" i="3"/>
  <c r="S77" i="3" s="1"/>
  <c r="AG86" i="3"/>
  <c r="AN95" i="3"/>
  <c r="Q101" i="3"/>
  <c r="P101" i="3"/>
  <c r="AN102" i="3"/>
  <c r="AN59" i="3"/>
  <c r="BC59" i="3" s="1"/>
  <c r="S61" i="3"/>
  <c r="AN67" i="3"/>
  <c r="BC67" i="3" s="1"/>
  <c r="Q78" i="3"/>
  <c r="O80" i="3"/>
  <c r="AN83" i="3"/>
  <c r="BC83" i="3" s="1"/>
  <c r="O89" i="3"/>
  <c r="AN93" i="3"/>
  <c r="AG95" i="3"/>
  <c r="AG98" i="3"/>
  <c r="AN98" i="3"/>
  <c r="O103" i="3"/>
  <c r="AB103" i="3"/>
  <c r="Q119" i="3"/>
  <c r="P119" i="3"/>
  <c r="AG124" i="3"/>
  <c r="AN124" i="3" s="1"/>
  <c r="AB92" i="3"/>
  <c r="AN112" i="3"/>
  <c r="BC112" i="3" s="1"/>
  <c r="AN120" i="3"/>
  <c r="AG129" i="3"/>
  <c r="O133" i="3"/>
  <c r="AB133" i="3"/>
  <c r="AG137" i="3"/>
  <c r="AN137" i="3" s="1"/>
  <c r="Q140" i="3"/>
  <c r="S140" i="3" s="1"/>
  <c r="S93" i="3"/>
  <c r="AN106" i="3"/>
  <c r="BC106" i="3" s="1"/>
  <c r="O122" i="3"/>
  <c r="AB122" i="3"/>
  <c r="AG126" i="3"/>
  <c r="AG127" i="3"/>
  <c r="AG128" i="3"/>
  <c r="O132" i="3"/>
  <c r="AB132" i="3"/>
  <c r="AG136" i="3"/>
  <c r="AN119" i="3"/>
  <c r="O131" i="3"/>
  <c r="AB131" i="3"/>
  <c r="AG135" i="3"/>
  <c r="AN135" i="3"/>
  <c r="AB83" i="3"/>
  <c r="Q84" i="3"/>
  <c r="S84" i="3" s="1"/>
  <c r="P109" i="3"/>
  <c r="S109" i="3" s="1"/>
  <c r="P113" i="3"/>
  <c r="S113" i="3" s="1"/>
  <c r="AB115" i="3"/>
  <c r="P117" i="3"/>
  <c r="S117" i="3" s="1"/>
  <c r="P123" i="3"/>
  <c r="S123" i="3" s="1"/>
  <c r="O124" i="3"/>
  <c r="O130" i="3"/>
  <c r="AB130" i="3"/>
  <c r="AG134" i="3"/>
  <c r="AN140" i="3"/>
  <c r="AG140" i="3"/>
  <c r="O79" i="3"/>
  <c r="AG107" i="3"/>
  <c r="AN110" i="3"/>
  <c r="BC110" i="3" s="1"/>
  <c r="AG111" i="3"/>
  <c r="AN114" i="3"/>
  <c r="BC114" i="3" s="1"/>
  <c r="AG115" i="3"/>
  <c r="AN115" i="3" s="1"/>
  <c r="AN118" i="3"/>
  <c r="BC118" i="3" s="1"/>
  <c r="AG119" i="3"/>
  <c r="Q125" i="3"/>
  <c r="P125" i="3"/>
  <c r="O129" i="3"/>
  <c r="AB129" i="3"/>
  <c r="AG133" i="3"/>
  <c r="AG147" i="3"/>
  <c r="AN147" i="3"/>
  <c r="AB102" i="3"/>
  <c r="AN109" i="3"/>
  <c r="BC109" i="3" s="1"/>
  <c r="AN117" i="3"/>
  <c r="BC120" i="3"/>
  <c r="AN121" i="3"/>
  <c r="AG121" i="3"/>
  <c r="O128" i="3"/>
  <c r="AB128" i="3"/>
  <c r="AN132" i="3"/>
  <c r="AG132" i="3"/>
  <c r="O136" i="3"/>
  <c r="AB136" i="3"/>
  <c r="AG139" i="3"/>
  <c r="AN139" i="3" s="1"/>
  <c r="AN159" i="3"/>
  <c r="BC159" i="3"/>
  <c r="AN113" i="3"/>
  <c r="AG113" i="3"/>
  <c r="AG122" i="3"/>
  <c r="AG131" i="3"/>
  <c r="AN131" i="3" s="1"/>
  <c r="O135" i="3"/>
  <c r="AB135" i="3"/>
  <c r="O146" i="3"/>
  <c r="AB146" i="3"/>
  <c r="AN123" i="3"/>
  <c r="BC123" i="3" s="1"/>
  <c r="AB137" i="3"/>
  <c r="AB138" i="3"/>
  <c r="Q141" i="3"/>
  <c r="P141" i="3"/>
  <c r="AN142" i="3"/>
  <c r="AG142" i="3"/>
  <c r="Q144" i="3"/>
  <c r="P144" i="3"/>
  <c r="AN145" i="3"/>
  <c r="AG145" i="3"/>
  <c r="P147" i="3"/>
  <c r="S147" i="3" s="1"/>
  <c r="AG150" i="3"/>
  <c r="AN150" i="3" s="1"/>
  <c r="Q152" i="3"/>
  <c r="P152" i="3"/>
  <c r="AG153" i="3"/>
  <c r="AN153" i="3" s="1"/>
  <c r="P155" i="3"/>
  <c r="BC157" i="3"/>
  <c r="Q149" i="3"/>
  <c r="P149" i="3"/>
  <c r="O154" i="3"/>
  <c r="AG155" i="3"/>
  <c r="AN155" i="3" s="1"/>
  <c r="O139" i="3"/>
  <c r="AN141" i="3"/>
  <c r="AG141" i="3"/>
  <c r="AG144" i="3"/>
  <c r="AN152" i="3"/>
  <c r="AG152" i="3"/>
  <c r="AG146" i="3"/>
  <c r="AN146" i="3" s="1"/>
  <c r="Q148" i="3"/>
  <c r="P148" i="3"/>
  <c r="AG149" i="3"/>
  <c r="AN154" i="3"/>
  <c r="AG154" i="3"/>
  <c r="Q156" i="3"/>
  <c r="P156" i="3"/>
  <c r="AB154" i="3"/>
  <c r="O142" i="3"/>
  <c r="AG143" i="3"/>
  <c r="AN143" i="3"/>
  <c r="Q145" i="3"/>
  <c r="P145" i="3"/>
  <c r="S145" i="3" s="1"/>
  <c r="O150" i="3"/>
  <c r="AG151" i="3"/>
  <c r="AN151" i="3"/>
  <c r="Q153" i="3"/>
  <c r="P153" i="3"/>
  <c r="S153" i="3" s="1"/>
  <c r="AG138" i="3"/>
  <c r="AN148" i="3"/>
  <c r="AG148" i="3"/>
  <c r="AB141" i="3"/>
  <c r="S143" i="3"/>
  <c r="AB145" i="3"/>
  <c r="AB149" i="3"/>
  <c r="AB153" i="3"/>
  <c r="S155" i="3"/>
  <c r="AB140" i="3"/>
  <c r="AB144" i="3"/>
  <c r="AB148" i="3"/>
  <c r="AB152" i="3"/>
  <c r="AB156" i="3"/>
  <c r="AB143" i="3"/>
  <c r="AB147" i="3"/>
  <c r="AB151" i="3"/>
  <c r="AB155" i="3"/>
  <c r="S149" i="3" l="1"/>
  <c r="Q66" i="3"/>
  <c r="P66" i="3"/>
  <c r="S66" i="3" s="1"/>
  <c r="S101" i="3"/>
  <c r="S39" i="3"/>
  <c r="S48" i="3"/>
  <c r="S40" i="3"/>
  <c r="P14" i="3"/>
  <c r="S14" i="3" s="1"/>
  <c r="T14" i="3" s="1"/>
  <c r="S119" i="3"/>
  <c r="S104" i="3"/>
  <c r="S45" i="3"/>
  <c r="AB10" i="3"/>
  <c r="S82" i="3"/>
  <c r="Q31" i="3"/>
  <c r="S31" i="3" s="1"/>
  <c r="S27" i="3"/>
  <c r="S43" i="3"/>
  <c r="S110" i="3"/>
  <c r="Q127" i="3"/>
  <c r="P127" i="3"/>
  <c r="S127" i="3" s="1"/>
  <c r="S72" i="3"/>
  <c r="S105" i="3"/>
  <c r="S51" i="3"/>
  <c r="P15" i="3"/>
  <c r="S15" i="3" s="1"/>
  <c r="T15" i="3" s="1"/>
  <c r="S35" i="3"/>
  <c r="S141" i="3"/>
  <c r="S41" i="3"/>
  <c r="AN14" i="3"/>
  <c r="BC14" i="3" s="1"/>
  <c r="S156" i="3"/>
  <c r="S125" i="3"/>
  <c r="S56" i="3"/>
  <c r="S7" i="3"/>
  <c r="S22" i="3"/>
  <c r="Q138" i="3"/>
  <c r="P138" i="3"/>
  <c r="S138" i="3" s="1"/>
  <c r="S144" i="3"/>
  <c r="S90" i="3"/>
  <c r="S47" i="3"/>
  <c r="Q126" i="3"/>
  <c r="P126" i="3"/>
  <c r="Q120" i="3"/>
  <c r="P120" i="3"/>
  <c r="AB161" i="3"/>
  <c r="Q112" i="3"/>
  <c r="P112" i="3"/>
  <c r="S112" i="3" s="1"/>
  <c r="S75" i="3"/>
  <c r="S64" i="3"/>
  <c r="S21" i="3"/>
  <c r="BC52" i="3"/>
  <c r="Q87" i="3"/>
  <c r="P87" i="3"/>
  <c r="Q88" i="3"/>
  <c r="P88" i="3"/>
  <c r="AN52" i="3"/>
  <c r="S11" i="3"/>
  <c r="P79" i="3"/>
  <c r="S79" i="3" s="1"/>
  <c r="Q79" i="3"/>
  <c r="Q103" i="3"/>
  <c r="P103" i="3"/>
  <c r="BC154" i="3"/>
  <c r="BC152" i="3"/>
  <c r="BC145" i="3"/>
  <c r="BC121" i="3"/>
  <c r="BC147" i="3"/>
  <c r="BC119" i="3"/>
  <c r="BC140" i="3"/>
  <c r="AN107" i="3"/>
  <c r="BC107" i="3" s="1"/>
  <c r="AN127" i="3"/>
  <c r="BC127" i="3" s="1"/>
  <c r="P86" i="3"/>
  <c r="Q86" i="3"/>
  <c r="Q20" i="3"/>
  <c r="P20" i="3"/>
  <c r="P97" i="3"/>
  <c r="Q97" i="3"/>
  <c r="Q49" i="3"/>
  <c r="P49" i="3"/>
  <c r="Q28" i="3"/>
  <c r="P28" i="3"/>
  <c r="BC130" i="3"/>
  <c r="BC36" i="3"/>
  <c r="BC53" i="3"/>
  <c r="BC23" i="3"/>
  <c r="BC26" i="3"/>
  <c r="BC128" i="3"/>
  <c r="BC155" i="3"/>
  <c r="BC131" i="3"/>
  <c r="BC139" i="3"/>
  <c r="BC133" i="3"/>
  <c r="BC126" i="3"/>
  <c r="Q133" i="3"/>
  <c r="P133" i="3"/>
  <c r="BC124" i="3"/>
  <c r="Q50" i="3"/>
  <c r="P50" i="3"/>
  <c r="Q68" i="3"/>
  <c r="P68" i="3"/>
  <c r="BC29" i="3"/>
  <c r="Q12" i="3"/>
  <c r="P12" i="3"/>
  <c r="Q60" i="3"/>
  <c r="P60" i="3"/>
  <c r="Y161" i="3"/>
  <c r="AA19" i="3"/>
  <c r="BC32" i="3"/>
  <c r="BC31" i="3"/>
  <c r="BC143" i="3"/>
  <c r="BC144" i="3"/>
  <c r="BC115" i="3"/>
  <c r="BC135" i="3"/>
  <c r="Q108" i="3"/>
  <c r="P108" i="3"/>
  <c r="Q46" i="3"/>
  <c r="P46" i="3"/>
  <c r="BC61" i="3"/>
  <c r="AN46" i="3"/>
  <c r="BC46" i="3" s="1"/>
  <c r="Y10" i="3"/>
  <c r="Y163" i="3" s="1"/>
  <c r="AA6" i="3"/>
  <c r="BC55" i="3"/>
  <c r="BC44" i="3"/>
  <c r="Q8" i="3"/>
  <c r="Q10" i="3" s="1"/>
  <c r="P8" i="3"/>
  <c r="P10" i="3" s="1"/>
  <c r="BC47" i="3"/>
  <c r="Q53" i="3"/>
  <c r="P53" i="3"/>
  <c r="AB18" i="3"/>
  <c r="AD12" i="3"/>
  <c r="AC12" i="3"/>
  <c r="AN32" i="3"/>
  <c r="BC17" i="3"/>
  <c r="AN21" i="3"/>
  <c r="AV21" i="3" s="1"/>
  <c r="AN29" i="3"/>
  <c r="BC138" i="3"/>
  <c r="Q129" i="3"/>
  <c r="P129" i="3"/>
  <c r="BC43" i="3"/>
  <c r="Q154" i="3"/>
  <c r="P154" i="3"/>
  <c r="BC122" i="3"/>
  <c r="AN133" i="3"/>
  <c r="BC134" i="3"/>
  <c r="AN136" i="3"/>
  <c r="BC136" i="3" s="1"/>
  <c r="AN126" i="3"/>
  <c r="BC98" i="3"/>
  <c r="BC148" i="3"/>
  <c r="BC151" i="3"/>
  <c r="Q142" i="3"/>
  <c r="P142" i="3"/>
  <c r="AN149" i="3"/>
  <c r="BC149" i="3" s="1"/>
  <c r="AN144" i="3"/>
  <c r="S152" i="3"/>
  <c r="AN122" i="3"/>
  <c r="Q136" i="3"/>
  <c r="P136" i="3"/>
  <c r="AN134" i="3"/>
  <c r="AN129" i="3"/>
  <c r="BC129" i="3" s="1"/>
  <c r="BC95" i="3"/>
  <c r="BC70" i="3"/>
  <c r="BC125" i="3"/>
  <c r="Q74" i="3"/>
  <c r="P74" i="3"/>
  <c r="Q42" i="3"/>
  <c r="P42" i="3"/>
  <c r="S42" i="3" s="1"/>
  <c r="BC82" i="3"/>
  <c r="BC58" i="3"/>
  <c r="BC71" i="3"/>
  <c r="BC101" i="3"/>
  <c r="AN40" i="3"/>
  <c r="BC40" i="3" s="1"/>
  <c r="AN103" i="3"/>
  <c r="BC103" i="3" s="1"/>
  <c r="AN44" i="3"/>
  <c r="S6" i="3"/>
  <c r="BC38" i="3"/>
  <c r="BC69" i="3"/>
  <c r="BC8" i="3"/>
  <c r="BC63" i="3"/>
  <c r="BC51" i="3"/>
  <c r="BC27" i="3"/>
  <c r="Q130" i="3"/>
  <c r="P130" i="3"/>
  <c r="BC62" i="3"/>
  <c r="BC153" i="3"/>
  <c r="Q150" i="3"/>
  <c r="P150" i="3"/>
  <c r="S148" i="3"/>
  <c r="BC141" i="3"/>
  <c r="BC142" i="3"/>
  <c r="Q146" i="3"/>
  <c r="P146" i="3"/>
  <c r="BC113" i="3"/>
  <c r="BC132" i="3"/>
  <c r="BC111" i="3"/>
  <c r="Q131" i="3"/>
  <c r="P131" i="3"/>
  <c r="Q132" i="3"/>
  <c r="P132" i="3"/>
  <c r="Q122" i="3"/>
  <c r="P122" i="3"/>
  <c r="S122" i="3" s="1"/>
  <c r="AN86" i="3"/>
  <c r="BC86" i="3" s="1"/>
  <c r="P85" i="3"/>
  <c r="S85" i="3" s="1"/>
  <c r="Q85" i="3"/>
  <c r="Q94" i="3"/>
  <c r="P94" i="3"/>
  <c r="Q38" i="3"/>
  <c r="P38" i="3"/>
  <c r="BC22" i="3"/>
  <c r="BC68" i="3"/>
  <c r="Q17" i="3"/>
  <c r="P17" i="3"/>
  <c r="AN43" i="3"/>
  <c r="AD15" i="3"/>
  <c r="AC15" i="3"/>
  <c r="BC66" i="3"/>
  <c r="BC41" i="3"/>
  <c r="BC60" i="3"/>
  <c r="BC45" i="3"/>
  <c r="AA11" i="3"/>
  <c r="Y18" i="3"/>
  <c r="BC20" i="3"/>
  <c r="AN13" i="3"/>
  <c r="BC13" i="3" s="1"/>
  <c r="Q34" i="3"/>
  <c r="P34" i="3"/>
  <c r="S34" i="3" s="1"/>
  <c r="BC39" i="3"/>
  <c r="P33" i="3"/>
  <c r="S33" i="3" s="1"/>
  <c r="Q33" i="3"/>
  <c r="AN138" i="3"/>
  <c r="BC146" i="3"/>
  <c r="BC137" i="3"/>
  <c r="Q134" i="3"/>
  <c r="P134" i="3"/>
  <c r="S134" i="3" s="1"/>
  <c r="Q116" i="3"/>
  <c r="P116" i="3"/>
  <c r="AN49" i="3"/>
  <c r="BC49" i="3" s="1"/>
  <c r="BC74" i="3"/>
  <c r="Q96" i="3"/>
  <c r="P96" i="3"/>
  <c r="BC94" i="3"/>
  <c r="BC150" i="3"/>
  <c r="Q89" i="3"/>
  <c r="P89" i="3"/>
  <c r="AN128" i="3"/>
  <c r="Q30" i="3"/>
  <c r="P30" i="3"/>
  <c r="BC64" i="3"/>
  <c r="Q139" i="3"/>
  <c r="P139" i="3"/>
  <c r="Q135" i="3"/>
  <c r="P135" i="3"/>
  <c r="Q128" i="3"/>
  <c r="P128" i="3"/>
  <c r="Q124" i="3"/>
  <c r="P124" i="3"/>
  <c r="AN111" i="3"/>
  <c r="P80" i="3"/>
  <c r="Q80" i="3"/>
  <c r="BC54" i="3"/>
  <c r="BC81" i="3"/>
  <c r="Q25" i="3"/>
  <c r="P25" i="3"/>
  <c r="BC79" i="3"/>
  <c r="AB163" i="3"/>
  <c r="AN34" i="3"/>
  <c r="BC34" i="3" s="1"/>
  <c r="O161" i="3"/>
  <c r="O163" i="3" s="1"/>
  <c r="BC50" i="3"/>
  <c r="BC92" i="3"/>
  <c r="BC48" i="3"/>
  <c r="BC35" i="3"/>
  <c r="AD16" i="3"/>
  <c r="AO16" i="3" s="1"/>
  <c r="AC16" i="3"/>
  <c r="BC99" i="3"/>
  <c r="BC72" i="3"/>
  <c r="AN56" i="3"/>
  <c r="BC56" i="3" s="1"/>
  <c r="BC42" i="3"/>
  <c r="BC28" i="3"/>
  <c r="BC9" i="3"/>
  <c r="S68" i="3" l="1"/>
  <c r="S80" i="3"/>
  <c r="S129" i="3"/>
  <c r="S86" i="3"/>
  <c r="S60" i="3"/>
  <c r="S53" i="3"/>
  <c r="S132" i="3"/>
  <c r="S87" i="3"/>
  <c r="S128" i="3"/>
  <c r="S136" i="3"/>
  <c r="S8" i="3"/>
  <c r="S30" i="3"/>
  <c r="S38" i="3"/>
  <c r="S96" i="3"/>
  <c r="S50" i="3"/>
  <c r="S130" i="3"/>
  <c r="S89" i="3"/>
  <c r="S12" i="3"/>
  <c r="T12" i="3" s="1"/>
  <c r="S133" i="3"/>
  <c r="Q18" i="3"/>
  <c r="S150" i="3"/>
  <c r="S97" i="3"/>
  <c r="S124" i="3"/>
  <c r="S116" i="3"/>
  <c r="S131" i="3"/>
  <c r="S142" i="3"/>
  <c r="S88" i="3"/>
  <c r="S154" i="3"/>
  <c r="S46" i="3"/>
  <c r="S103" i="3"/>
  <c r="Q161" i="3"/>
  <c r="Q163" i="3" s="1"/>
  <c r="S135" i="3"/>
  <c r="S108" i="3"/>
  <c r="S120" i="3"/>
  <c r="S17" i="3"/>
  <c r="T17" i="3" s="1"/>
  <c r="S94" i="3"/>
  <c r="S10" i="3"/>
  <c r="S126" i="3"/>
  <c r="AN16" i="3"/>
  <c r="AP16" i="3" s="1"/>
  <c r="AP18" i="3" s="1"/>
  <c r="S139" i="3"/>
  <c r="AN6" i="3"/>
  <c r="AN10" i="3" s="1"/>
  <c r="AA10" i="3"/>
  <c r="AG6" i="3"/>
  <c r="AA161" i="3"/>
  <c r="AG19" i="3"/>
  <c r="S28" i="3"/>
  <c r="AO18" i="3"/>
  <c r="AO163" i="3" s="1"/>
  <c r="S25" i="3"/>
  <c r="AN15" i="3"/>
  <c r="BC15" i="3" s="1"/>
  <c r="S49" i="3"/>
  <c r="P18" i="3"/>
  <c r="T11" i="3"/>
  <c r="P161" i="3"/>
  <c r="AC18" i="3"/>
  <c r="AC163" i="3" s="1"/>
  <c r="AN12" i="3"/>
  <c r="BC12" i="3" s="1"/>
  <c r="S146" i="3"/>
  <c r="S74" i="3"/>
  <c r="AD18" i="3"/>
  <c r="AD163" i="3" s="1"/>
  <c r="AN11" i="3"/>
  <c r="AA18" i="3"/>
  <c r="AG11" i="3"/>
  <c r="BC21" i="3"/>
  <c r="S20" i="3"/>
  <c r="AR16" i="3" l="1"/>
  <c r="AR18" i="3" s="1"/>
  <c r="S161" i="3"/>
  <c r="AN18" i="3"/>
  <c r="S18" i="3"/>
  <c r="S163" i="3" s="1"/>
  <c r="T18" i="3"/>
  <c r="T163" i="3" s="1"/>
  <c r="P163" i="3"/>
  <c r="AA163" i="3"/>
  <c r="AS16" i="3"/>
  <c r="AS18" i="3" s="1"/>
  <c r="AT16" i="3"/>
  <c r="AT18" i="3" s="1"/>
  <c r="AG18" i="3"/>
  <c r="BC11" i="3"/>
  <c r="AG161" i="3"/>
  <c r="AN19" i="3"/>
  <c r="AN161" i="3" s="1"/>
  <c r="AN163" i="3" s="1"/>
  <c r="BC16" i="3"/>
  <c r="BC6" i="3"/>
  <c r="BC10" i="3" s="1"/>
  <c r="AG10" i="3"/>
  <c r="AV16" i="3" l="1"/>
  <c r="AU16" i="3"/>
  <c r="AW16" i="3" s="1"/>
  <c r="BC18" i="3"/>
  <c r="BC19" i="3"/>
  <c r="BC161" i="3" s="1"/>
  <c r="AG163" i="3"/>
  <c r="AY16" i="3" l="1"/>
  <c r="BC163" i="3"/>
  <c r="AX16" i="3"/>
  <c r="BA16" i="3" s="1"/>
  <c r="AZ16" i="3"/>
  <c r="BB16" i="3" s="1"/>
  <c r="BB18" i="3" s="1"/>
  <c r="BB163" i="3" s="1"/>
  <c r="N29" i="1" l="1"/>
  <c r="N161" i="1" s="1"/>
  <c r="AN161" i="1"/>
  <c r="AM161" i="1"/>
  <c r="AI161" i="1"/>
  <c r="AH161" i="1"/>
  <c r="AG161" i="1"/>
  <c r="AA161" i="1"/>
  <c r="Z161" i="1"/>
  <c r="Y161" i="1"/>
  <c r="X161" i="1"/>
  <c r="W161" i="1"/>
  <c r="V161" i="1"/>
  <c r="U161" i="1"/>
  <c r="M161" i="1"/>
  <c r="AM147" i="1" l="1"/>
  <c r="X147" i="1"/>
  <c r="Y147" i="1" s="1"/>
  <c r="AA147" i="1" s="1"/>
  <c r="N147" i="1"/>
  <c r="O147" i="1" s="1"/>
  <c r="AM146" i="1"/>
  <c r="X146" i="1"/>
  <c r="Y146" i="1" s="1"/>
  <c r="AA146" i="1" s="1"/>
  <c r="N146" i="1"/>
  <c r="AB146" i="1" s="1"/>
  <c r="AM145" i="1"/>
  <c r="X145" i="1"/>
  <c r="Y145" i="1" s="1"/>
  <c r="AA145" i="1" s="1"/>
  <c r="N145" i="1"/>
  <c r="O145" i="1" s="1"/>
  <c r="AM144" i="1"/>
  <c r="X144" i="1"/>
  <c r="Y144" i="1" s="1"/>
  <c r="AA144" i="1" s="1"/>
  <c r="N144" i="1"/>
  <c r="O144" i="1" s="1"/>
  <c r="Q144" i="1" s="1"/>
  <c r="AM156" i="1"/>
  <c r="X156" i="1"/>
  <c r="Y156" i="1" s="1"/>
  <c r="AA156" i="1" s="1"/>
  <c r="N156" i="1"/>
  <c r="AB156" i="1" s="1"/>
  <c r="AM155" i="1"/>
  <c r="X155" i="1"/>
  <c r="Y155" i="1" s="1"/>
  <c r="AA155" i="1" s="1"/>
  <c r="N155" i="1"/>
  <c r="O155" i="1" s="1"/>
  <c r="Q155" i="1" s="1"/>
  <c r="AM154" i="1"/>
  <c r="X154" i="1"/>
  <c r="Y154" i="1" s="1"/>
  <c r="AA154" i="1" s="1"/>
  <c r="N154" i="1"/>
  <c r="O154" i="1" s="1"/>
  <c r="AM153" i="1"/>
  <c r="X153" i="1"/>
  <c r="Y153" i="1" s="1"/>
  <c r="AA153" i="1" s="1"/>
  <c r="N153" i="1"/>
  <c r="O153" i="1" s="1"/>
  <c r="Q153" i="1" s="1"/>
  <c r="AM152" i="1"/>
  <c r="X152" i="1"/>
  <c r="Y152" i="1" s="1"/>
  <c r="AA152" i="1" s="1"/>
  <c r="N152" i="1"/>
  <c r="O152" i="1" s="1"/>
  <c r="AM151" i="1"/>
  <c r="X151" i="1"/>
  <c r="Y151" i="1" s="1"/>
  <c r="AA151" i="1" s="1"/>
  <c r="N151" i="1"/>
  <c r="O151" i="1" s="1"/>
  <c r="AM150" i="1"/>
  <c r="X150" i="1"/>
  <c r="Y150" i="1" s="1"/>
  <c r="AA150" i="1" s="1"/>
  <c r="N150" i="1"/>
  <c r="O150" i="1" s="1"/>
  <c r="AM149" i="1"/>
  <c r="X149" i="1"/>
  <c r="Y149" i="1" s="1"/>
  <c r="AA149" i="1" s="1"/>
  <c r="N149" i="1"/>
  <c r="O149" i="1" s="1"/>
  <c r="AM148" i="1"/>
  <c r="X148" i="1"/>
  <c r="Y148" i="1" s="1"/>
  <c r="AA148" i="1" s="1"/>
  <c r="N148" i="1"/>
  <c r="O148" i="1" s="1"/>
  <c r="O146" i="1" l="1"/>
  <c r="P146" i="1" s="1"/>
  <c r="Q152" i="1"/>
  <c r="P152" i="1"/>
  <c r="S152" i="1" s="1"/>
  <c r="Q147" i="1"/>
  <c r="P147" i="1"/>
  <c r="Q150" i="1"/>
  <c r="P150" i="1"/>
  <c r="AG152" i="1"/>
  <c r="AG154" i="1"/>
  <c r="AG156" i="1"/>
  <c r="AG145" i="1"/>
  <c r="AN145" i="1" s="1"/>
  <c r="AG147" i="1"/>
  <c r="AN147" i="1" s="1"/>
  <c r="AG150" i="1"/>
  <c r="AG148" i="1"/>
  <c r="Q151" i="1"/>
  <c r="P151" i="1"/>
  <c r="Q149" i="1"/>
  <c r="P149" i="1"/>
  <c r="AG151" i="1"/>
  <c r="AG153" i="1"/>
  <c r="AG155" i="1"/>
  <c r="AG144" i="1"/>
  <c r="AN144" i="1" s="1"/>
  <c r="AG146" i="1"/>
  <c r="AN146" i="1" s="1"/>
  <c r="AG149" i="1"/>
  <c r="Q154" i="1"/>
  <c r="P154" i="1"/>
  <c r="Q145" i="1"/>
  <c r="P145" i="1"/>
  <c r="Q148" i="1"/>
  <c r="P148" i="1"/>
  <c r="AB151" i="1"/>
  <c r="AB153" i="1"/>
  <c r="AB155" i="1"/>
  <c r="AB144" i="1"/>
  <c r="AB149" i="1"/>
  <c r="P153" i="1"/>
  <c r="S153" i="1" s="1"/>
  <c r="P155" i="1"/>
  <c r="S155" i="1" s="1"/>
  <c r="P144" i="1"/>
  <c r="S144" i="1" s="1"/>
  <c r="AB148" i="1"/>
  <c r="AB150" i="1"/>
  <c r="AB152" i="1"/>
  <c r="AB154" i="1"/>
  <c r="AB145" i="1"/>
  <c r="AB147" i="1"/>
  <c r="O156" i="1"/>
  <c r="S149" i="1" l="1"/>
  <c r="S150" i="1"/>
  <c r="AN152" i="1"/>
  <c r="BC152" i="1" s="1"/>
  <c r="AN148" i="1"/>
  <c r="BC148" i="1" s="1"/>
  <c r="AN155" i="1"/>
  <c r="BC155" i="1" s="1"/>
  <c r="AN150" i="1"/>
  <c r="BC150" i="1" s="1"/>
  <c r="AN151" i="1"/>
  <c r="BC151" i="1" s="1"/>
  <c r="AN156" i="1"/>
  <c r="BC156" i="1" s="1"/>
  <c r="AN153" i="1"/>
  <c r="BC153" i="1" s="1"/>
  <c r="AN149" i="1"/>
  <c r="BC149" i="1" s="1"/>
  <c r="AN154" i="1"/>
  <c r="BC154" i="1" s="1"/>
  <c r="S154" i="1"/>
  <c r="S145" i="1"/>
  <c r="Q146" i="1"/>
  <c r="S146" i="1" s="1"/>
  <c r="S148" i="1"/>
  <c r="S151" i="1"/>
  <c r="S147" i="1"/>
  <c r="Q156" i="1"/>
  <c r="P156" i="1"/>
  <c r="S156" i="1" l="1"/>
  <c r="Z13" i="1" l="1"/>
  <c r="X65" i="1" l="1"/>
  <c r="AI16" i="1"/>
  <c r="AM159" i="1" l="1"/>
  <c r="AB159" i="1"/>
  <c r="X159" i="1"/>
  <c r="Y159" i="1" s="1"/>
  <c r="AA159" i="1" s="1"/>
  <c r="AM158" i="1"/>
  <c r="AB158" i="1"/>
  <c r="X158" i="1"/>
  <c r="Y158" i="1" s="1"/>
  <c r="AA158" i="1" s="1"/>
  <c r="AM157" i="1"/>
  <c r="AB157" i="1"/>
  <c r="X157" i="1"/>
  <c r="Y157" i="1" s="1"/>
  <c r="AA157" i="1" s="1"/>
  <c r="AG157" i="1" l="1"/>
  <c r="AG158" i="1"/>
  <c r="AG159" i="1"/>
  <c r="BC145" i="1" l="1"/>
  <c r="AN158" i="1"/>
  <c r="BC158" i="1" s="1"/>
  <c r="BC146" i="1"/>
  <c r="AN157" i="1"/>
  <c r="BC157" i="1" s="1"/>
  <c r="AN159" i="1"/>
  <c r="BC159" i="1" s="1"/>
  <c r="BC144" i="1"/>
  <c r="BC147" i="1"/>
  <c r="AB14" i="1" l="1"/>
  <c r="AB11" i="1"/>
  <c r="AO10" i="1"/>
  <c r="AP10" i="1"/>
  <c r="BB10" i="1"/>
  <c r="BB161" i="1"/>
  <c r="AN165" i="1"/>
  <c r="BC167" i="1"/>
  <c r="X47" i="1"/>
  <c r="Y47" i="1" s="1"/>
  <c r="AM143" i="1"/>
  <c r="X143" i="1"/>
  <c r="Y143" i="1" s="1"/>
  <c r="N143" i="1"/>
  <c r="AB143" i="1" s="1"/>
  <c r="AA143" i="1" l="1"/>
  <c r="AG143" i="1" s="1"/>
  <c r="O143" i="1"/>
  <c r="AB160" i="1"/>
  <c r="AB162" i="1"/>
  <c r="AF161" i="1"/>
  <c r="AE161" i="1"/>
  <c r="AD161" i="1"/>
  <c r="AC161" i="1"/>
  <c r="T161" i="1"/>
  <c r="R161" i="1"/>
  <c r="AI18" i="1"/>
  <c r="AH18" i="1"/>
  <c r="Z18" i="1"/>
  <c r="W18" i="1"/>
  <c r="U18" i="1"/>
  <c r="V18" i="1"/>
  <c r="M18" i="1"/>
  <c r="AC10" i="1"/>
  <c r="Z10" i="1"/>
  <c r="W10" i="1"/>
  <c r="V10" i="1"/>
  <c r="U10" i="1"/>
  <c r="T10" i="1"/>
  <c r="M10" i="1"/>
  <c r="AN143" i="1" l="1"/>
  <c r="BC143" i="1" s="1"/>
  <c r="Q143" i="1"/>
  <c r="P143" i="1"/>
  <c r="AM66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S143" i="1" l="1"/>
  <c r="X142" i="1"/>
  <c r="Y142" i="1" s="1"/>
  <c r="N142" i="1"/>
  <c r="AB142" i="1" s="1"/>
  <c r="O142" i="1" l="1"/>
  <c r="Q142" i="1" s="1"/>
  <c r="P142" i="1" l="1"/>
  <c r="S142" i="1" s="1"/>
  <c r="X141" i="1"/>
  <c r="Y141" i="1" s="1"/>
  <c r="N141" i="1"/>
  <c r="AB141" i="1" s="1"/>
  <c r="AA142" i="1"/>
  <c r="AJ161" i="1"/>
  <c r="R10" i="1"/>
  <c r="X102" i="1"/>
  <c r="Y102" i="1" s="1"/>
  <c r="X46" i="1"/>
  <c r="Y46" i="1" s="1"/>
  <c r="X34" i="1"/>
  <c r="Y34" i="1" s="1"/>
  <c r="AA141" i="1" l="1"/>
  <c r="AG142" i="1"/>
  <c r="O141" i="1"/>
  <c r="X113" i="1"/>
  <c r="Y113" i="1" s="1"/>
  <c r="AG141" i="1" l="1"/>
  <c r="AN141" i="1" s="1"/>
  <c r="AN142" i="1"/>
  <c r="BC142" i="1" s="1"/>
  <c r="P141" i="1"/>
  <c r="Q141" i="1"/>
  <c r="AB29" i="1"/>
  <c r="AB161" i="1" s="1"/>
  <c r="X36" i="1"/>
  <c r="Y36" i="1" s="1"/>
  <c r="X35" i="1"/>
  <c r="Y35" i="1" s="1"/>
  <c r="X33" i="1"/>
  <c r="Y33" i="1" s="1"/>
  <c r="X32" i="1"/>
  <c r="Y32" i="1" s="1"/>
  <c r="BC141" i="1" l="1"/>
  <c r="S141" i="1"/>
  <c r="O29" i="1"/>
  <c r="O161" i="1" s="1"/>
  <c r="J20" i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Q29" i="1" l="1"/>
  <c r="Q161" i="1" s="1"/>
  <c r="P29" i="1"/>
  <c r="P161" i="1" s="1"/>
  <c r="N139" i="1"/>
  <c r="AB139" i="1" s="1"/>
  <c r="X139" i="1"/>
  <c r="Y139" i="1" s="1"/>
  <c r="AA139" i="1" l="1"/>
  <c r="S29" i="1"/>
  <c r="S161" i="1" s="1"/>
  <c r="O139" i="1"/>
  <c r="AG139" i="1" l="1"/>
  <c r="P139" i="1"/>
  <c r="Q139" i="1"/>
  <c r="AN139" i="1" l="1"/>
  <c r="S139" i="1"/>
  <c r="BC139" i="1" l="1"/>
  <c r="X140" i="1"/>
  <c r="Y140" i="1" s="1"/>
  <c r="N140" i="1"/>
  <c r="AB140" i="1" s="1"/>
  <c r="N138" i="1"/>
  <c r="AB138" i="1" s="1"/>
  <c r="AL18" i="1"/>
  <c r="AK18" i="1"/>
  <c r="AJ18" i="1"/>
  <c r="R18" i="1"/>
  <c r="N137" i="1"/>
  <c r="AB137" i="1" s="1"/>
  <c r="AA140" i="1" l="1"/>
  <c r="O137" i="1"/>
  <c r="P137" i="1" s="1"/>
  <c r="O138" i="1"/>
  <c r="P138" i="1" s="1"/>
  <c r="O140" i="1"/>
  <c r="P140" i="1" s="1"/>
  <c r="AG140" i="1" l="1"/>
  <c r="AN140" i="1" s="1"/>
  <c r="Q137" i="1"/>
  <c r="S137" i="1" s="1"/>
  <c r="Q138" i="1"/>
  <c r="S138" i="1" s="1"/>
  <c r="Q140" i="1"/>
  <c r="S140" i="1" s="1"/>
  <c r="BC140" i="1" l="1"/>
  <c r="N136" i="1"/>
  <c r="AB136" i="1" s="1"/>
  <c r="X136" i="1"/>
  <c r="Y136" i="1" s="1"/>
  <c r="C12" i="1"/>
  <c r="O136" i="1" l="1"/>
  <c r="Q136" i="1" s="1"/>
  <c r="AA136" i="1"/>
  <c r="X135" i="1"/>
  <c r="Y135" i="1" s="1"/>
  <c r="N135" i="1"/>
  <c r="AB135" i="1" s="1"/>
  <c r="AG136" i="1" l="1"/>
  <c r="AN136" i="1" s="1"/>
  <c r="P136" i="1"/>
  <c r="S136" i="1" s="1"/>
  <c r="O135" i="1"/>
  <c r="P135" i="1" s="1"/>
  <c r="AA135" i="1"/>
  <c r="AG135" i="1" l="1"/>
  <c r="BC136" i="1"/>
  <c r="Q135" i="1"/>
  <c r="S135" i="1" s="1"/>
  <c r="AN135" i="1" l="1"/>
  <c r="BC135" i="1" s="1"/>
  <c r="X121" i="1"/>
  <c r="Y121" i="1" s="1"/>
  <c r="N121" i="1"/>
  <c r="AB121" i="1" s="1"/>
  <c r="AA121" i="1" l="1"/>
  <c r="O121" i="1"/>
  <c r="P121" i="1" s="1"/>
  <c r="AG121" i="1" l="1"/>
  <c r="AN121" i="1" s="1"/>
  <c r="Q121" i="1"/>
  <c r="S121" i="1" s="1"/>
  <c r="BC121" i="1" l="1"/>
  <c r="X129" i="1"/>
  <c r="Y129" i="1" s="1"/>
  <c r="X130" i="1"/>
  <c r="Y130" i="1" s="1"/>
  <c r="X131" i="1"/>
  <c r="Y131" i="1" s="1"/>
  <c r="X132" i="1"/>
  <c r="Y132" i="1" s="1"/>
  <c r="X133" i="1"/>
  <c r="Y133" i="1" s="1"/>
  <c r="X134" i="1"/>
  <c r="Y134" i="1" s="1"/>
  <c r="X137" i="1"/>
  <c r="Y137" i="1" s="1"/>
  <c r="X138" i="1"/>
  <c r="Y138" i="1" s="1"/>
  <c r="X160" i="1"/>
  <c r="Y160" i="1" s="1"/>
  <c r="N134" i="1"/>
  <c r="AB134" i="1" s="1"/>
  <c r="N133" i="1"/>
  <c r="AB133" i="1" s="1"/>
  <c r="N132" i="1"/>
  <c r="AB132" i="1" s="1"/>
  <c r="N131" i="1"/>
  <c r="AB131" i="1" s="1"/>
  <c r="AA137" i="1" l="1"/>
  <c r="AA160" i="1"/>
  <c r="AA138" i="1"/>
  <c r="AA134" i="1"/>
  <c r="AA133" i="1"/>
  <c r="AA131" i="1"/>
  <c r="AA130" i="1"/>
  <c r="AA132" i="1"/>
  <c r="AA129" i="1"/>
  <c r="O132" i="1"/>
  <c r="Q132" i="1" s="1"/>
  <c r="O133" i="1"/>
  <c r="P133" i="1" s="1"/>
  <c r="O131" i="1"/>
  <c r="O134" i="1"/>
  <c r="AG130" i="1" l="1"/>
  <c r="AN130" i="1" s="1"/>
  <c r="AG131" i="1"/>
  <c r="AN131" i="1" s="1"/>
  <c r="AG134" i="1"/>
  <c r="AN134" i="1" s="1"/>
  <c r="AG132" i="1"/>
  <c r="AN132" i="1" s="1"/>
  <c r="AG138" i="1"/>
  <c r="AN138" i="1" s="1"/>
  <c r="AG133" i="1"/>
  <c r="AN133" i="1" s="1"/>
  <c r="AG160" i="1"/>
  <c r="AN160" i="1" s="1"/>
  <c r="AG129" i="1"/>
  <c r="AN129" i="1" s="1"/>
  <c r="AG137" i="1"/>
  <c r="AN137" i="1" s="1"/>
  <c r="P132" i="1"/>
  <c r="S132" i="1" s="1"/>
  <c r="Q133" i="1"/>
  <c r="S133" i="1" s="1"/>
  <c r="P134" i="1"/>
  <c r="Q134" i="1"/>
  <c r="P131" i="1"/>
  <c r="Q131" i="1"/>
  <c r="BC132" i="1" l="1"/>
  <c r="BC133" i="1"/>
  <c r="BC129" i="1"/>
  <c r="BC160" i="1"/>
  <c r="BC134" i="1"/>
  <c r="BC131" i="1"/>
  <c r="BC137" i="1"/>
  <c r="BC138" i="1"/>
  <c r="BC130" i="1"/>
  <c r="S134" i="1"/>
  <c r="S131" i="1"/>
  <c r="N127" i="1"/>
  <c r="AB127" i="1" s="1"/>
  <c r="O127" i="1" l="1"/>
  <c r="Q127" i="1" s="1"/>
  <c r="P127" i="1" l="1"/>
  <c r="S127" i="1" s="1"/>
  <c r="X127" i="1" l="1"/>
  <c r="Y127" i="1" s="1"/>
  <c r="X126" i="1"/>
  <c r="Y126" i="1" s="1"/>
  <c r="N126" i="1"/>
  <c r="AB126" i="1" s="1"/>
  <c r="N125" i="1"/>
  <c r="AB125" i="1" s="1"/>
  <c r="X125" i="1"/>
  <c r="Y125" i="1" s="1"/>
  <c r="AA125" i="1" l="1"/>
  <c r="AA126" i="1"/>
  <c r="AA127" i="1"/>
  <c r="O125" i="1"/>
  <c r="Q125" i="1" s="1"/>
  <c r="O126" i="1"/>
  <c r="AG127" i="1" l="1"/>
  <c r="AG125" i="1"/>
  <c r="AG126" i="1"/>
  <c r="P125" i="1"/>
  <c r="S125" i="1" s="1"/>
  <c r="Q126" i="1"/>
  <c r="P126" i="1"/>
  <c r="AN125" i="1" l="1"/>
  <c r="AN127" i="1"/>
  <c r="BC127" i="1" s="1"/>
  <c r="AN126" i="1"/>
  <c r="S126" i="1"/>
  <c r="BC126" i="1" l="1"/>
  <c r="BC125" i="1"/>
  <c r="AM160" i="1"/>
  <c r="X122" i="1"/>
  <c r="Y122" i="1" s="1"/>
  <c r="X123" i="1"/>
  <c r="Y123" i="1" s="1"/>
  <c r="X124" i="1"/>
  <c r="Y124" i="1" s="1"/>
  <c r="X128" i="1"/>
  <c r="Y128" i="1" s="1"/>
  <c r="N122" i="1"/>
  <c r="AB122" i="1" s="1"/>
  <c r="N123" i="1"/>
  <c r="AB123" i="1" s="1"/>
  <c r="N124" i="1"/>
  <c r="AB124" i="1" s="1"/>
  <c r="N128" i="1"/>
  <c r="AB128" i="1" s="1"/>
  <c r="N129" i="1"/>
  <c r="AB129" i="1" s="1"/>
  <c r="N130" i="1"/>
  <c r="AB130" i="1" s="1"/>
  <c r="AA128" i="1" l="1"/>
  <c r="AA124" i="1"/>
  <c r="O122" i="1"/>
  <c r="Q122" i="1" s="1"/>
  <c r="O128" i="1"/>
  <c r="P128" i="1" s="1"/>
  <c r="O124" i="1"/>
  <c r="O123" i="1"/>
  <c r="P123" i="1" s="1"/>
  <c r="O130" i="1"/>
  <c r="O129" i="1"/>
  <c r="AG124" i="1" l="1"/>
  <c r="AN124" i="1" s="1"/>
  <c r="AG128" i="1"/>
  <c r="AN128" i="1" s="1"/>
  <c r="AA122" i="1"/>
  <c r="AA123" i="1"/>
  <c r="P122" i="1"/>
  <c r="S122" i="1" s="1"/>
  <c r="Q128" i="1"/>
  <c r="S128" i="1" s="1"/>
  <c r="P124" i="1"/>
  <c r="Q124" i="1"/>
  <c r="Q123" i="1"/>
  <c r="S123" i="1" s="1"/>
  <c r="Q129" i="1"/>
  <c r="P129" i="1"/>
  <c r="Q130" i="1"/>
  <c r="P130" i="1"/>
  <c r="BC128" i="1" l="1"/>
  <c r="AG123" i="1"/>
  <c r="AG122" i="1"/>
  <c r="AN122" i="1" s="1"/>
  <c r="BC124" i="1"/>
  <c r="S129" i="1"/>
  <c r="S130" i="1"/>
  <c r="S124" i="1"/>
  <c r="AN123" i="1" l="1"/>
  <c r="BC123" i="1" s="1"/>
  <c r="BC122" i="1"/>
  <c r="X84" i="1"/>
  <c r="Y84" i="1" s="1"/>
  <c r="AL161" i="1" l="1"/>
  <c r="AK161" i="1"/>
  <c r="D161" i="1"/>
  <c r="D18" i="1"/>
  <c r="C10" i="1"/>
  <c r="N120" i="1"/>
  <c r="AB120" i="1" s="1"/>
  <c r="N119" i="1"/>
  <c r="AB119" i="1" s="1"/>
  <c r="O120" i="1" l="1"/>
  <c r="P120" i="1" s="1"/>
  <c r="W163" i="1"/>
  <c r="V163" i="1"/>
  <c r="U163" i="1"/>
  <c r="O119" i="1"/>
  <c r="Q120" i="1" l="1"/>
  <c r="S120" i="1" s="1"/>
  <c r="P119" i="1"/>
  <c r="Q119" i="1"/>
  <c r="S119" i="1" l="1"/>
  <c r="X116" i="1" l="1"/>
  <c r="Y116" i="1" s="1"/>
  <c r="X117" i="1"/>
  <c r="Y117" i="1" s="1"/>
  <c r="X118" i="1"/>
  <c r="Y118" i="1" s="1"/>
  <c r="X119" i="1"/>
  <c r="Y119" i="1" s="1"/>
  <c r="X120" i="1"/>
  <c r="Y120" i="1" s="1"/>
  <c r="AA118" i="1" l="1"/>
  <c r="AA116" i="1"/>
  <c r="AA119" i="1"/>
  <c r="AA117" i="1"/>
  <c r="AA120" i="1"/>
  <c r="AG119" i="1" l="1"/>
  <c r="AN119" i="1" s="1"/>
  <c r="AG117" i="1"/>
  <c r="AN117" i="1" s="1"/>
  <c r="AG116" i="1"/>
  <c r="AG118" i="1"/>
  <c r="AG120" i="1"/>
  <c r="AN120" i="1" s="1"/>
  <c r="BC120" i="1" l="1"/>
  <c r="BC117" i="1"/>
  <c r="AN118" i="1"/>
  <c r="BC118" i="1" s="1"/>
  <c r="AN116" i="1"/>
  <c r="BC116" i="1" s="1"/>
  <c r="BC119" i="1"/>
  <c r="X15" i="1"/>
  <c r="Y15" i="1" s="1"/>
  <c r="C27" i="1"/>
  <c r="C161" i="1" s="1"/>
  <c r="C18" i="1" l="1"/>
  <c r="X110" i="1"/>
  <c r="Y110" i="1" s="1"/>
  <c r="AL10" i="1" l="1"/>
  <c r="AK10" i="1"/>
  <c r="AJ10" i="1"/>
  <c r="AI10" i="1"/>
  <c r="AH10" i="1"/>
  <c r="AF10" i="1"/>
  <c r="AE10" i="1"/>
  <c r="AD10" i="1"/>
  <c r="Z163" i="1"/>
  <c r="D10" i="1"/>
  <c r="N118" i="1"/>
  <c r="AB118" i="1" s="1"/>
  <c r="O118" i="1" l="1"/>
  <c r="Q118" i="1" s="1"/>
  <c r="P118" i="1" l="1"/>
  <c r="S118" i="1" s="1"/>
  <c r="X112" i="1" l="1"/>
  <c r="Y112" i="1" s="1"/>
  <c r="X114" i="1"/>
  <c r="Y114" i="1" s="1"/>
  <c r="X115" i="1"/>
  <c r="Y115" i="1" s="1"/>
  <c r="N112" i="1"/>
  <c r="AB112" i="1" s="1"/>
  <c r="N113" i="1"/>
  <c r="AB113" i="1" s="1"/>
  <c r="N114" i="1"/>
  <c r="AB114" i="1" s="1"/>
  <c r="N115" i="1"/>
  <c r="AB115" i="1" s="1"/>
  <c r="N116" i="1"/>
  <c r="AB116" i="1" s="1"/>
  <c r="N117" i="1"/>
  <c r="AB117" i="1" s="1"/>
  <c r="AA115" i="1" l="1"/>
  <c r="AA114" i="1"/>
  <c r="O116" i="1"/>
  <c r="P116" i="1" s="1"/>
  <c r="O115" i="1"/>
  <c r="P115" i="1" s="1"/>
  <c r="O114" i="1"/>
  <c r="P114" i="1" s="1"/>
  <c r="O112" i="1"/>
  <c r="P112" i="1" s="1"/>
  <c r="AA113" i="1"/>
  <c r="AA112" i="1"/>
  <c r="O117" i="1"/>
  <c r="O113" i="1"/>
  <c r="AG113" i="1" l="1"/>
  <c r="AN113" i="1" s="1"/>
  <c r="AG114" i="1"/>
  <c r="AN114" i="1" s="1"/>
  <c r="AG112" i="1"/>
  <c r="AN112" i="1" s="1"/>
  <c r="AG115" i="1"/>
  <c r="Q116" i="1"/>
  <c r="S116" i="1" s="1"/>
  <c r="Q115" i="1"/>
  <c r="S115" i="1" s="1"/>
  <c r="Q112" i="1"/>
  <c r="S112" i="1" s="1"/>
  <c r="Q114" i="1"/>
  <c r="S114" i="1" s="1"/>
  <c r="Q113" i="1"/>
  <c r="P113" i="1"/>
  <c r="Q117" i="1"/>
  <c r="P117" i="1"/>
  <c r="AN115" i="1" l="1"/>
  <c r="BC115" i="1" s="1"/>
  <c r="BC112" i="1"/>
  <c r="BC114" i="1"/>
  <c r="BC113" i="1"/>
  <c r="S113" i="1"/>
  <c r="S117" i="1"/>
  <c r="X111" i="1"/>
  <c r="Y111" i="1" s="1"/>
  <c r="N111" i="1"/>
  <c r="AB111" i="1" s="1"/>
  <c r="O111" i="1" l="1"/>
  <c r="P111" i="1" s="1"/>
  <c r="AA111" i="1"/>
  <c r="AG111" i="1" l="1"/>
  <c r="AN111" i="1" s="1"/>
  <c r="Q111" i="1"/>
  <c r="S111" i="1" s="1"/>
  <c r="AI163" i="1"/>
  <c r="AH163" i="1"/>
  <c r="BC111" i="1" l="1"/>
  <c r="X39" i="1"/>
  <c r="Y39" i="1" s="1"/>
  <c r="M163" i="1" l="1"/>
  <c r="N110" i="1" l="1"/>
  <c r="AB110" i="1" s="1"/>
  <c r="O110" i="1" l="1"/>
  <c r="P110" i="1" s="1"/>
  <c r="Q110" i="1" l="1"/>
  <c r="S110" i="1" s="1"/>
  <c r="N109" i="1" l="1"/>
  <c r="AB109" i="1" s="1"/>
  <c r="X164" i="1"/>
  <c r="X162" i="1"/>
  <c r="X109" i="1"/>
  <c r="Y109" i="1" s="1"/>
  <c r="X108" i="1"/>
  <c r="Y108" i="1" s="1"/>
  <c r="N108" i="1"/>
  <c r="AB108" i="1" s="1"/>
  <c r="O108" i="1" l="1"/>
  <c r="Q108" i="1" s="1"/>
  <c r="O109" i="1"/>
  <c r="Q109" i="1" s="1"/>
  <c r="AG162" i="1"/>
  <c r="BC162" i="1" s="1"/>
  <c r="AA108" i="1"/>
  <c r="AA109" i="1"/>
  <c r="X107" i="1"/>
  <c r="Y107" i="1" s="1"/>
  <c r="N107" i="1"/>
  <c r="AB107" i="1" s="1"/>
  <c r="AG108" i="1" l="1"/>
  <c r="AN108" i="1" s="1"/>
  <c r="AA107" i="1"/>
  <c r="P108" i="1"/>
  <c r="S108" i="1" s="1"/>
  <c r="P109" i="1"/>
  <c r="S109" i="1" s="1"/>
  <c r="O107" i="1"/>
  <c r="P107" i="1" s="1"/>
  <c r="AG109" i="1"/>
  <c r="AG107" i="1" l="1"/>
  <c r="AN107" i="1" s="1"/>
  <c r="BC108" i="1"/>
  <c r="AN109" i="1"/>
  <c r="Q107" i="1"/>
  <c r="S107" i="1" s="1"/>
  <c r="BC109" i="1" l="1"/>
  <c r="BC107" i="1"/>
  <c r="N106" i="1"/>
  <c r="AB106" i="1" s="1"/>
  <c r="O106" i="1" l="1"/>
  <c r="P106" i="1" s="1"/>
  <c r="Q106" i="1" l="1"/>
  <c r="S106" i="1" s="1"/>
  <c r="X105" i="1"/>
  <c r="Y105" i="1" s="1"/>
  <c r="X106" i="1"/>
  <c r="Y106" i="1" s="1"/>
  <c r="N105" i="1"/>
  <c r="AB105" i="1" s="1"/>
  <c r="O105" i="1" l="1"/>
  <c r="Q105" i="1" s="1"/>
  <c r="AA106" i="1"/>
  <c r="AA105" i="1"/>
  <c r="AM103" i="1"/>
  <c r="AM104" i="1"/>
  <c r="X104" i="1"/>
  <c r="Y104" i="1" s="1"/>
  <c r="N104" i="1"/>
  <c r="AB104" i="1" s="1"/>
  <c r="AG105" i="1" l="1"/>
  <c r="AN105" i="1" s="1"/>
  <c r="AG106" i="1"/>
  <c r="P105" i="1"/>
  <c r="S105" i="1" s="1"/>
  <c r="O104" i="1"/>
  <c r="AN106" i="1" l="1"/>
  <c r="BC106" i="1" s="1"/>
  <c r="BC105" i="1"/>
  <c r="P104" i="1"/>
  <c r="Q104" i="1"/>
  <c r="S104" i="1" l="1"/>
  <c r="AA104" i="1" l="1"/>
  <c r="AA110" i="1"/>
  <c r="AG110" i="1" l="1"/>
  <c r="AN110" i="1" s="1"/>
  <c r="AG104" i="1"/>
  <c r="AN104" i="1" s="1"/>
  <c r="X103" i="1"/>
  <c r="Y103" i="1" s="1"/>
  <c r="N103" i="1"/>
  <c r="AB103" i="1" s="1"/>
  <c r="BC104" i="1" l="1"/>
  <c r="BC110" i="1"/>
  <c r="O103" i="1"/>
  <c r="Q103" i="1" s="1"/>
  <c r="AA103" i="1"/>
  <c r="P103" i="1" l="1"/>
  <c r="S103" i="1" s="1"/>
  <c r="AG103" i="1" l="1"/>
  <c r="AN103" i="1" l="1"/>
  <c r="BC103" i="1" s="1"/>
  <c r="AM102" i="1"/>
  <c r="AM101" i="1"/>
  <c r="AM100" i="1"/>
  <c r="AM99" i="1"/>
  <c r="AM98" i="1"/>
  <c r="AM97" i="1"/>
  <c r="N102" i="1" l="1"/>
  <c r="AB102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N101" i="1"/>
  <c r="AB101" i="1" s="1"/>
  <c r="N100" i="1"/>
  <c r="AB100" i="1" s="1"/>
  <c r="N99" i="1"/>
  <c r="AB99" i="1" s="1"/>
  <c r="N98" i="1"/>
  <c r="AB98" i="1" s="1"/>
  <c r="N97" i="1"/>
  <c r="AB97" i="1" s="1"/>
  <c r="AA96" i="1" l="1"/>
  <c r="O97" i="1"/>
  <c r="P97" i="1" s="1"/>
  <c r="O99" i="1"/>
  <c r="Q99" i="1" s="1"/>
  <c r="O100" i="1"/>
  <c r="P100" i="1" s="1"/>
  <c r="O101" i="1"/>
  <c r="Q101" i="1" s="1"/>
  <c r="O98" i="1"/>
  <c r="P98" i="1" s="1"/>
  <c r="O102" i="1"/>
  <c r="Q102" i="1" s="1"/>
  <c r="AA97" i="1"/>
  <c r="AA99" i="1"/>
  <c r="AA98" i="1"/>
  <c r="AA100" i="1"/>
  <c r="AA102" i="1"/>
  <c r="AA101" i="1"/>
  <c r="AM96" i="1"/>
  <c r="AG102" i="1" l="1"/>
  <c r="AN102" i="1" s="1"/>
  <c r="AG100" i="1"/>
  <c r="AN100" i="1" s="1"/>
  <c r="AG98" i="1"/>
  <c r="AN98" i="1" s="1"/>
  <c r="AG101" i="1"/>
  <c r="AN101" i="1" s="1"/>
  <c r="AG99" i="1"/>
  <c r="AN99" i="1" s="1"/>
  <c r="AG97" i="1"/>
  <c r="AN97" i="1" s="1"/>
  <c r="AG96" i="1"/>
  <c r="AN96" i="1" s="1"/>
  <c r="P101" i="1"/>
  <c r="S101" i="1" s="1"/>
  <c r="Q97" i="1"/>
  <c r="S97" i="1" s="1"/>
  <c r="Q100" i="1"/>
  <c r="S100" i="1" s="1"/>
  <c r="P99" i="1"/>
  <c r="S99" i="1" s="1"/>
  <c r="P102" i="1"/>
  <c r="S102" i="1" s="1"/>
  <c r="Q98" i="1"/>
  <c r="S98" i="1" s="1"/>
  <c r="AM95" i="1"/>
  <c r="AM94" i="1"/>
  <c r="AM91" i="1"/>
  <c r="AM90" i="1"/>
  <c r="AM89" i="1"/>
  <c r="AM88" i="1"/>
  <c r="AM87" i="1"/>
  <c r="AM86" i="1"/>
  <c r="AM85" i="1"/>
  <c r="AM93" i="1"/>
  <c r="AM92" i="1"/>
  <c r="AM82" i="1"/>
  <c r="N96" i="1"/>
  <c r="AB96" i="1" s="1"/>
  <c r="X95" i="1"/>
  <c r="Y95" i="1" s="1"/>
  <c r="N95" i="1"/>
  <c r="AB95" i="1" s="1"/>
  <c r="N91" i="1"/>
  <c r="AB91" i="1" s="1"/>
  <c r="N92" i="1"/>
  <c r="AB92" i="1" s="1"/>
  <c r="N93" i="1"/>
  <c r="AB93" i="1" s="1"/>
  <c r="D163" i="1"/>
  <c r="BC98" i="1" l="1"/>
  <c r="BC99" i="1"/>
  <c r="BC100" i="1"/>
  <c r="BC97" i="1"/>
  <c r="BC96" i="1"/>
  <c r="BC101" i="1"/>
  <c r="BC102" i="1"/>
  <c r="AA95" i="1"/>
  <c r="O96" i="1"/>
  <c r="Q96" i="1" s="1"/>
  <c r="O95" i="1"/>
  <c r="AG95" i="1" l="1"/>
  <c r="AN95" i="1" s="1"/>
  <c r="P96" i="1"/>
  <c r="S96" i="1" s="1"/>
  <c r="P95" i="1"/>
  <c r="Q95" i="1"/>
  <c r="BC95" i="1" l="1"/>
  <c r="S95" i="1"/>
  <c r="X92" i="1"/>
  <c r="Y92" i="1" s="1"/>
  <c r="X93" i="1"/>
  <c r="Y93" i="1" s="1"/>
  <c r="AA93" i="1" l="1"/>
  <c r="AA92" i="1"/>
  <c r="AG92" i="1" l="1"/>
  <c r="AN92" i="1" s="1"/>
  <c r="AG93" i="1"/>
  <c r="AN93" i="1" s="1"/>
  <c r="BC93" i="1" l="1"/>
  <c r="BC92" i="1"/>
  <c r="X91" i="1"/>
  <c r="Y91" i="1" s="1"/>
  <c r="X88" i="1"/>
  <c r="Y88" i="1" s="1"/>
  <c r="X89" i="1"/>
  <c r="Y89" i="1" s="1"/>
  <c r="X90" i="1"/>
  <c r="Y90" i="1" s="1"/>
  <c r="O91" i="1"/>
  <c r="O92" i="1"/>
  <c r="Q92" i="1" s="1"/>
  <c r="O93" i="1"/>
  <c r="N89" i="1"/>
  <c r="AB89" i="1" s="1"/>
  <c r="N90" i="1"/>
  <c r="AB90" i="1" s="1"/>
  <c r="N88" i="1"/>
  <c r="AB88" i="1" s="1"/>
  <c r="X87" i="1"/>
  <c r="Y87" i="1" s="1"/>
  <c r="N87" i="1"/>
  <c r="AB87" i="1" s="1"/>
  <c r="AA90" i="1" l="1"/>
  <c r="AN90" i="1" s="1"/>
  <c r="AA88" i="1"/>
  <c r="AN88" i="1" s="1"/>
  <c r="O87" i="1"/>
  <c r="Q87" i="1" s="1"/>
  <c r="AA87" i="1"/>
  <c r="AN87" i="1" s="1"/>
  <c r="AA91" i="1"/>
  <c r="AN91" i="1" s="1"/>
  <c r="AA89" i="1"/>
  <c r="AN89" i="1" s="1"/>
  <c r="Q93" i="1"/>
  <c r="P93" i="1"/>
  <c r="O90" i="1"/>
  <c r="Q90" i="1" s="1"/>
  <c r="O89" i="1"/>
  <c r="P92" i="1"/>
  <c r="S92" i="1" s="1"/>
  <c r="Q91" i="1"/>
  <c r="P91" i="1"/>
  <c r="O88" i="1"/>
  <c r="BC89" i="1" l="1"/>
  <c r="BC88" i="1"/>
  <c r="BC91" i="1"/>
  <c r="BC87" i="1"/>
  <c r="BC90" i="1"/>
  <c r="P87" i="1"/>
  <c r="S87" i="1" s="1"/>
  <c r="S93" i="1"/>
  <c r="S91" i="1"/>
  <c r="P90" i="1"/>
  <c r="S90" i="1" s="1"/>
  <c r="Q89" i="1"/>
  <c r="P89" i="1"/>
  <c r="P88" i="1"/>
  <c r="Q88" i="1"/>
  <c r="S88" i="1" l="1"/>
  <c r="S89" i="1"/>
  <c r="N86" i="1" l="1"/>
  <c r="AB86" i="1" s="1"/>
  <c r="X86" i="1"/>
  <c r="Y86" i="1" s="1"/>
  <c r="O86" i="1" l="1"/>
  <c r="P86" i="1" s="1"/>
  <c r="AA86" i="1"/>
  <c r="Q86" i="1" l="1"/>
  <c r="S86" i="1" s="1"/>
  <c r="AG86" i="1" l="1"/>
  <c r="X85" i="1"/>
  <c r="Y85" i="1" s="1"/>
  <c r="N85" i="1"/>
  <c r="AB85" i="1" s="1"/>
  <c r="AM84" i="1"/>
  <c r="AM79" i="1"/>
  <c r="AN86" i="1" l="1"/>
  <c r="O85" i="1"/>
  <c r="P85" i="1" s="1"/>
  <c r="N84" i="1"/>
  <c r="AB84" i="1" s="1"/>
  <c r="N83" i="1"/>
  <c r="AB83" i="1" s="1"/>
  <c r="AA84" i="1"/>
  <c r="AA85" i="1"/>
  <c r="X83" i="1"/>
  <c r="Y83" i="1" s="1"/>
  <c r="X82" i="1"/>
  <c r="Y82" i="1" s="1"/>
  <c r="N82" i="1"/>
  <c r="AB82" i="1" s="1"/>
  <c r="BC86" i="1" l="1"/>
  <c r="O82" i="1"/>
  <c r="Q82" i="1" s="1"/>
  <c r="O84" i="1"/>
  <c r="Q84" i="1" s="1"/>
  <c r="Q85" i="1"/>
  <c r="S85" i="1" s="1"/>
  <c r="AG85" i="1"/>
  <c r="AG84" i="1"/>
  <c r="AN84" i="1" s="1"/>
  <c r="AA83" i="1"/>
  <c r="O83" i="1"/>
  <c r="AA82" i="1"/>
  <c r="AG82" i="1" l="1"/>
  <c r="AN82" i="1" s="1"/>
  <c r="BC84" i="1"/>
  <c r="AG83" i="1"/>
  <c r="AN83" i="1" s="1"/>
  <c r="AN85" i="1"/>
  <c r="P82" i="1"/>
  <c r="S82" i="1" s="1"/>
  <c r="P84" i="1"/>
  <c r="S84" i="1" s="1"/>
  <c r="P83" i="1"/>
  <c r="Q83" i="1"/>
  <c r="BC85" i="1" l="1"/>
  <c r="BC83" i="1"/>
  <c r="BC82" i="1"/>
  <c r="S83" i="1"/>
  <c r="X8" i="1"/>
  <c r="Y8" i="1" s="1"/>
  <c r="N78" i="1"/>
  <c r="AB78" i="1" s="1"/>
  <c r="X78" i="1"/>
  <c r="Y78" i="1" s="1"/>
  <c r="X79" i="1"/>
  <c r="Y79" i="1" s="1"/>
  <c r="X80" i="1"/>
  <c r="Y80" i="1" s="1"/>
  <c r="X81" i="1"/>
  <c r="Y81" i="1" s="1"/>
  <c r="N79" i="1"/>
  <c r="AB79" i="1" s="1"/>
  <c r="N80" i="1"/>
  <c r="AB80" i="1" s="1"/>
  <c r="N81" i="1"/>
  <c r="AB81" i="1" s="1"/>
  <c r="AA79" i="1" l="1"/>
  <c r="O78" i="1"/>
  <c r="P78" i="1" s="1"/>
  <c r="AA80" i="1"/>
  <c r="O81" i="1"/>
  <c r="O80" i="1"/>
  <c r="O79" i="1"/>
  <c r="Q78" i="1" l="1"/>
  <c r="AG80" i="1"/>
  <c r="AG79" i="1"/>
  <c r="AN79" i="1" s="1"/>
  <c r="P81" i="1"/>
  <c r="Q81" i="1"/>
  <c r="Q80" i="1"/>
  <c r="P80" i="1"/>
  <c r="Q79" i="1"/>
  <c r="P79" i="1"/>
  <c r="BC79" i="1" l="1"/>
  <c r="AN80" i="1"/>
  <c r="S81" i="1"/>
  <c r="S79" i="1"/>
  <c r="S80" i="1"/>
  <c r="AM73" i="1"/>
  <c r="AM74" i="1"/>
  <c r="AM75" i="1"/>
  <c r="AM76" i="1"/>
  <c r="AM77" i="1"/>
  <c r="AM78" i="1"/>
  <c r="AM81" i="1"/>
  <c r="N77" i="1"/>
  <c r="AB77" i="1" s="1"/>
  <c r="BC80" i="1" l="1"/>
  <c r="AA81" i="1"/>
  <c r="AA78" i="1"/>
  <c r="O77" i="1"/>
  <c r="AG78" i="1" l="1"/>
  <c r="P77" i="1"/>
  <c r="Q77" i="1"/>
  <c r="AN78" i="1" l="1"/>
  <c r="BC78" i="1" s="1"/>
  <c r="S77" i="1"/>
  <c r="X94" i="1" l="1"/>
  <c r="Y94" i="1" s="1"/>
  <c r="X77" i="1" l="1"/>
  <c r="Y77" i="1" s="1"/>
  <c r="AA77" i="1" l="1"/>
  <c r="AG77" i="1" l="1"/>
  <c r="AN77" i="1" s="1"/>
  <c r="X76" i="1"/>
  <c r="Y76" i="1" s="1"/>
  <c r="N76" i="1"/>
  <c r="AB76" i="1" s="1"/>
  <c r="BC77" i="1" l="1"/>
  <c r="O76" i="1"/>
  <c r="P76" i="1" s="1"/>
  <c r="Q76" i="1" l="1"/>
  <c r="S76" i="1" s="1"/>
  <c r="AG81" i="1"/>
  <c r="X75" i="1"/>
  <c r="Y75" i="1" s="1"/>
  <c r="AA76" i="1"/>
  <c r="N75" i="1"/>
  <c r="AB75" i="1" s="1"/>
  <c r="X74" i="1"/>
  <c r="Y74" i="1" s="1"/>
  <c r="N74" i="1"/>
  <c r="AB74" i="1" s="1"/>
  <c r="AG76" i="1" l="1"/>
  <c r="AN76" i="1" s="1"/>
  <c r="AN81" i="1"/>
  <c r="AA74" i="1"/>
  <c r="O75" i="1"/>
  <c r="P75" i="1" s="1"/>
  <c r="O74" i="1"/>
  <c r="Q74" i="1" s="1"/>
  <c r="AA75" i="1"/>
  <c r="BC81" i="1" l="1"/>
  <c r="BC76" i="1"/>
  <c r="AG75" i="1"/>
  <c r="AN75" i="1" s="1"/>
  <c r="AG74" i="1"/>
  <c r="Q75" i="1"/>
  <c r="S75" i="1" s="1"/>
  <c r="P74" i="1"/>
  <c r="S74" i="1" s="1"/>
  <c r="BC75" i="1" l="1"/>
  <c r="AN74" i="1"/>
  <c r="BC74" i="1" s="1"/>
  <c r="X73" i="1"/>
  <c r="Y73" i="1" s="1"/>
  <c r="N73" i="1"/>
  <c r="AB73" i="1" s="1"/>
  <c r="AA73" i="1" l="1"/>
  <c r="O73" i="1"/>
  <c r="AG73" i="1" l="1"/>
  <c r="AN73" i="1" s="1"/>
  <c r="Q73" i="1"/>
  <c r="P73" i="1"/>
  <c r="BC73" i="1" l="1"/>
  <c r="S73" i="1"/>
  <c r="N72" i="1" l="1"/>
  <c r="AB72" i="1" s="1"/>
  <c r="X72" i="1"/>
  <c r="Y72" i="1" s="1"/>
  <c r="AM71" i="1"/>
  <c r="AM72" i="1"/>
  <c r="AA72" i="1" l="1"/>
  <c r="O72" i="1"/>
  <c r="AM70" i="1"/>
  <c r="X70" i="1"/>
  <c r="Y70" i="1" s="1"/>
  <c r="X71" i="1"/>
  <c r="Y71" i="1" s="1"/>
  <c r="N71" i="1"/>
  <c r="AB71" i="1" s="1"/>
  <c r="N70" i="1"/>
  <c r="AB70" i="1" s="1"/>
  <c r="AG72" i="1" l="1"/>
  <c r="AA70" i="1"/>
  <c r="AA71" i="1"/>
  <c r="P72" i="1"/>
  <c r="Q72" i="1"/>
  <c r="O71" i="1"/>
  <c r="O70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7" i="1"/>
  <c r="AM44" i="1"/>
  <c r="AM69" i="1"/>
  <c r="AM45" i="1"/>
  <c r="AM46" i="1"/>
  <c r="AM47" i="1"/>
  <c r="AM48" i="1"/>
  <c r="AM49" i="1"/>
  <c r="AN72" i="1" l="1"/>
  <c r="BC72" i="1" s="1"/>
  <c r="AG70" i="1"/>
  <c r="AG71" i="1"/>
  <c r="S72" i="1"/>
  <c r="Q71" i="1"/>
  <c r="P71" i="1"/>
  <c r="P70" i="1"/>
  <c r="Q70" i="1"/>
  <c r="AN71" i="1" l="1"/>
  <c r="AN70" i="1"/>
  <c r="S71" i="1"/>
  <c r="S70" i="1"/>
  <c r="BC70" i="1" l="1"/>
  <c r="BC71" i="1"/>
  <c r="X44" i="1"/>
  <c r="Y44" i="1" s="1"/>
  <c r="X69" i="1"/>
  <c r="Y69" i="1" s="1"/>
  <c r="X63" i="1"/>
  <c r="Y63" i="1" s="1"/>
  <c r="N63" i="1"/>
  <c r="AB63" i="1" s="1"/>
  <c r="N69" i="1"/>
  <c r="AB69" i="1" s="1"/>
  <c r="N44" i="1"/>
  <c r="AB44" i="1" s="1"/>
  <c r="X64" i="1"/>
  <c r="Y64" i="1" s="1"/>
  <c r="Y65" i="1"/>
  <c r="X66" i="1"/>
  <c r="Y66" i="1" s="1"/>
  <c r="X67" i="1"/>
  <c r="Y67" i="1" s="1"/>
  <c r="N64" i="1"/>
  <c r="AB64" i="1" s="1"/>
  <c r="N65" i="1"/>
  <c r="AB65" i="1" s="1"/>
  <c r="N66" i="1"/>
  <c r="AB66" i="1" s="1"/>
  <c r="N67" i="1"/>
  <c r="AB67" i="1" s="1"/>
  <c r="AA63" i="1" l="1"/>
  <c r="O66" i="1"/>
  <c r="Q66" i="1" s="1"/>
  <c r="AA66" i="1"/>
  <c r="AA94" i="1"/>
  <c r="AA67" i="1"/>
  <c r="AA69" i="1"/>
  <c r="AA44" i="1"/>
  <c r="O63" i="1"/>
  <c r="Q63" i="1" s="1"/>
  <c r="AA64" i="1"/>
  <c r="AA65" i="1"/>
  <c r="O44" i="1"/>
  <c r="Q44" i="1" s="1"/>
  <c r="O69" i="1"/>
  <c r="O67" i="1"/>
  <c r="O65" i="1"/>
  <c r="O64" i="1"/>
  <c r="N62" i="1"/>
  <c r="AB62" i="1" s="1"/>
  <c r="N94" i="1"/>
  <c r="AB94" i="1" s="1"/>
  <c r="AG66" i="1" l="1"/>
  <c r="AN66" i="1" s="1"/>
  <c r="AG44" i="1"/>
  <c r="AN44" i="1" s="1"/>
  <c r="AG67" i="1"/>
  <c r="AN67" i="1" s="1"/>
  <c r="AG65" i="1"/>
  <c r="AN65" i="1" s="1"/>
  <c r="AG64" i="1"/>
  <c r="AN64" i="1" s="1"/>
  <c r="AG63" i="1"/>
  <c r="AN63" i="1" s="1"/>
  <c r="O94" i="1"/>
  <c r="P94" i="1" s="1"/>
  <c r="P66" i="1"/>
  <c r="S66" i="1" s="1"/>
  <c r="P63" i="1"/>
  <c r="S63" i="1" s="1"/>
  <c r="AG94" i="1"/>
  <c r="AG69" i="1"/>
  <c r="AN69" i="1" s="1"/>
  <c r="O62" i="1"/>
  <c r="Q62" i="1" s="1"/>
  <c r="P44" i="1"/>
  <c r="S44" i="1" s="1"/>
  <c r="P69" i="1"/>
  <c r="Q69" i="1"/>
  <c r="Q67" i="1"/>
  <c r="P67" i="1"/>
  <c r="Q64" i="1"/>
  <c r="P64" i="1"/>
  <c r="P65" i="1"/>
  <c r="Q65" i="1"/>
  <c r="N61" i="1"/>
  <c r="AB61" i="1" s="1"/>
  <c r="X60" i="1"/>
  <c r="Y60" i="1" s="1"/>
  <c r="X61" i="1"/>
  <c r="Y61" i="1" s="1"/>
  <c r="N60" i="1"/>
  <c r="AB60" i="1" s="1"/>
  <c r="BC69" i="1" l="1"/>
  <c r="BC64" i="1"/>
  <c r="BC67" i="1"/>
  <c r="BC44" i="1"/>
  <c r="BC66" i="1"/>
  <c r="BC63" i="1"/>
  <c r="BC65" i="1"/>
  <c r="AN94" i="1"/>
  <c r="BC94" i="1" s="1"/>
  <c r="Q94" i="1"/>
  <c r="S94" i="1" s="1"/>
  <c r="P62" i="1"/>
  <c r="S62" i="1" s="1"/>
  <c r="S69" i="1"/>
  <c r="S64" i="1"/>
  <c r="S65" i="1"/>
  <c r="S67" i="1"/>
  <c r="O60" i="1"/>
  <c r="Q60" i="1" s="1"/>
  <c r="O61" i="1"/>
  <c r="AA60" i="1"/>
  <c r="AA61" i="1"/>
  <c r="AG61" i="1" l="1"/>
  <c r="AN61" i="1" s="1"/>
  <c r="AG60" i="1"/>
  <c r="AN60" i="1" s="1"/>
  <c r="P60" i="1"/>
  <c r="S60" i="1" s="1"/>
  <c r="Q61" i="1"/>
  <c r="P61" i="1"/>
  <c r="X59" i="1"/>
  <c r="Y59" i="1" s="1"/>
  <c r="N59" i="1"/>
  <c r="AB59" i="1" s="1"/>
  <c r="AM52" i="1"/>
  <c r="BC60" i="1" l="1"/>
  <c r="BC61" i="1"/>
  <c r="S61" i="1"/>
  <c r="O59" i="1"/>
  <c r="Q59" i="1" s="1"/>
  <c r="AA59" i="1"/>
  <c r="X58" i="1"/>
  <c r="Y58" i="1" s="1"/>
  <c r="P59" i="1" l="1"/>
  <c r="S59" i="1" s="1"/>
  <c r="AA58" i="1" l="1"/>
  <c r="N58" i="1"/>
  <c r="AB58" i="1" s="1"/>
  <c r="N57" i="1"/>
  <c r="AB57" i="1" s="1"/>
  <c r="X53" i="1"/>
  <c r="Y53" i="1" s="1"/>
  <c r="X54" i="1"/>
  <c r="Y54" i="1" s="1"/>
  <c r="X55" i="1"/>
  <c r="Y55" i="1" s="1"/>
  <c r="X56" i="1"/>
  <c r="Y56" i="1" s="1"/>
  <c r="X57" i="1"/>
  <c r="Y57" i="1" s="1"/>
  <c r="N56" i="1"/>
  <c r="AB56" i="1" s="1"/>
  <c r="N54" i="1"/>
  <c r="AB54" i="1" s="1"/>
  <c r="N55" i="1"/>
  <c r="AB55" i="1" s="1"/>
  <c r="N53" i="1"/>
  <c r="AB53" i="1" s="1"/>
  <c r="X52" i="1"/>
  <c r="Y52" i="1" s="1"/>
  <c r="N52" i="1"/>
  <c r="AB52" i="1" s="1"/>
  <c r="X49" i="1"/>
  <c r="Y49" i="1" s="1"/>
  <c r="N49" i="1"/>
  <c r="AB49" i="1" s="1"/>
  <c r="N50" i="1"/>
  <c r="AB50" i="1" s="1"/>
  <c r="N68" i="1"/>
  <c r="AB68" i="1" s="1"/>
  <c r="N48" i="1"/>
  <c r="AB48" i="1" s="1"/>
  <c r="X48" i="1"/>
  <c r="Y48" i="1" s="1"/>
  <c r="X45" i="1"/>
  <c r="Y45" i="1" s="1"/>
  <c r="N45" i="1"/>
  <c r="AB45" i="1" s="1"/>
  <c r="N46" i="1"/>
  <c r="AB46" i="1" s="1"/>
  <c r="N47" i="1"/>
  <c r="AB47" i="1" s="1"/>
  <c r="O56" i="1" l="1"/>
  <c r="Q56" i="1" s="1"/>
  <c r="AA49" i="1"/>
  <c r="AA57" i="1"/>
  <c r="O52" i="1"/>
  <c r="Q52" i="1" s="1"/>
  <c r="AA56" i="1"/>
  <c r="AA55" i="1"/>
  <c r="AA48" i="1"/>
  <c r="AA53" i="1"/>
  <c r="AA52" i="1"/>
  <c r="AA54" i="1"/>
  <c r="O68" i="1"/>
  <c r="P68" i="1" s="1"/>
  <c r="AG58" i="1"/>
  <c r="O58" i="1"/>
  <c r="O57" i="1"/>
  <c r="O53" i="1"/>
  <c r="P53" i="1" s="1"/>
  <c r="O55" i="1"/>
  <c r="O54" i="1"/>
  <c r="AG59" i="1"/>
  <c r="O49" i="1"/>
  <c r="O50" i="1"/>
  <c r="AA46" i="1"/>
  <c r="AA47" i="1"/>
  <c r="AA45" i="1"/>
  <c r="O48" i="1"/>
  <c r="O47" i="1"/>
  <c r="Q47" i="1" s="1"/>
  <c r="O46" i="1"/>
  <c r="O45" i="1"/>
  <c r="AG45" i="1" l="1"/>
  <c r="AN45" i="1" s="1"/>
  <c r="AN59" i="1"/>
  <c r="BC59" i="1" s="1"/>
  <c r="AG47" i="1"/>
  <c r="AG56" i="1"/>
  <c r="AN56" i="1" s="1"/>
  <c r="AG57" i="1"/>
  <c r="AN57" i="1" s="1"/>
  <c r="AG54" i="1"/>
  <c r="AN54" i="1" s="1"/>
  <c r="AG55" i="1"/>
  <c r="AN58" i="1"/>
  <c r="P56" i="1"/>
  <c r="S56" i="1" s="1"/>
  <c r="P52" i="1"/>
  <c r="S52" i="1" s="1"/>
  <c r="AG52" i="1"/>
  <c r="AN52" i="1" s="1"/>
  <c r="AG53" i="1"/>
  <c r="AN53" i="1" s="1"/>
  <c r="AG48" i="1"/>
  <c r="AN48" i="1" s="1"/>
  <c r="AG49" i="1"/>
  <c r="AN49" i="1" s="1"/>
  <c r="Q68" i="1"/>
  <c r="S68" i="1" s="1"/>
  <c r="Q58" i="1"/>
  <c r="P58" i="1"/>
  <c r="Q57" i="1"/>
  <c r="P57" i="1"/>
  <c r="Q53" i="1"/>
  <c r="S53" i="1" s="1"/>
  <c r="Q54" i="1"/>
  <c r="P54" i="1"/>
  <c r="Q55" i="1"/>
  <c r="P55" i="1"/>
  <c r="P49" i="1"/>
  <c r="Q49" i="1"/>
  <c r="Q50" i="1"/>
  <c r="P50" i="1"/>
  <c r="AG46" i="1"/>
  <c r="AN46" i="1" s="1"/>
  <c r="P48" i="1"/>
  <c r="Q48" i="1"/>
  <c r="P47" i="1"/>
  <c r="S47" i="1" s="1"/>
  <c r="Q46" i="1"/>
  <c r="P46" i="1"/>
  <c r="P45" i="1"/>
  <c r="Q45" i="1"/>
  <c r="BC58" i="1" l="1"/>
  <c r="BC53" i="1"/>
  <c r="BC52" i="1"/>
  <c r="BC56" i="1"/>
  <c r="BC54" i="1"/>
  <c r="BC49" i="1"/>
  <c r="BC46" i="1"/>
  <c r="BC48" i="1"/>
  <c r="BC57" i="1"/>
  <c r="AN55" i="1"/>
  <c r="BC55" i="1" s="1"/>
  <c r="AN47" i="1"/>
  <c r="BC45" i="1"/>
  <c r="S58" i="1"/>
  <c r="S57" i="1"/>
  <c r="S54" i="1"/>
  <c r="S55" i="1"/>
  <c r="S50" i="1"/>
  <c r="S49" i="1"/>
  <c r="S48" i="1"/>
  <c r="S45" i="1"/>
  <c r="S46" i="1"/>
  <c r="BC47" i="1" l="1"/>
  <c r="X62" i="1"/>
  <c r="Y62" i="1" s="1"/>
  <c r="AM43" i="1"/>
  <c r="AM51" i="1"/>
  <c r="AM50" i="1"/>
  <c r="AM68" i="1"/>
  <c r="X51" i="1"/>
  <c r="Y51" i="1" s="1"/>
  <c r="X50" i="1"/>
  <c r="Y50" i="1" s="1"/>
  <c r="X68" i="1"/>
  <c r="Y68" i="1" s="1"/>
  <c r="N51" i="1"/>
  <c r="AB51" i="1" s="1"/>
  <c r="X43" i="1"/>
  <c r="Y43" i="1" s="1"/>
  <c r="N43" i="1"/>
  <c r="AB43" i="1" s="1"/>
  <c r="AA62" i="1" l="1"/>
  <c r="AA68" i="1"/>
  <c r="AA50" i="1"/>
  <c r="AA51" i="1"/>
  <c r="O51" i="1"/>
  <c r="AA43" i="1"/>
  <c r="O43" i="1"/>
  <c r="AG43" i="1" l="1"/>
  <c r="AN43" i="1" s="1"/>
  <c r="AG51" i="1"/>
  <c r="AN51" i="1" s="1"/>
  <c r="AG50" i="1"/>
  <c r="AN50" i="1" s="1"/>
  <c r="AG68" i="1"/>
  <c r="AN68" i="1" s="1"/>
  <c r="P51" i="1"/>
  <c r="Q51" i="1"/>
  <c r="Q43" i="1"/>
  <c r="P43" i="1"/>
  <c r="BC68" i="1" l="1"/>
  <c r="BC51" i="1"/>
  <c r="BC50" i="1"/>
  <c r="BC43" i="1"/>
  <c r="S51" i="1"/>
  <c r="S43" i="1"/>
  <c r="X42" i="1"/>
  <c r="Y42" i="1" s="1"/>
  <c r="N42" i="1"/>
  <c r="AB42" i="1" s="1"/>
  <c r="AA42" i="1" l="1"/>
  <c r="O42" i="1"/>
  <c r="AG42" i="1" l="1"/>
  <c r="AN42" i="1" s="1"/>
  <c r="Q42" i="1"/>
  <c r="P42" i="1"/>
  <c r="BC42" i="1" l="1"/>
  <c r="X41" i="1"/>
  <c r="Y41" i="1" s="1"/>
  <c r="N41" i="1"/>
  <c r="AB41" i="1" s="1"/>
  <c r="AA41" i="1" l="1"/>
  <c r="O41" i="1"/>
  <c r="P41" i="1" s="1"/>
  <c r="AM41" i="1" l="1"/>
  <c r="AM42" i="1"/>
  <c r="S42" i="1"/>
  <c r="Q41" i="1"/>
  <c r="S41" i="1" s="1"/>
  <c r="AG41" i="1" l="1"/>
  <c r="AN41" i="1" l="1"/>
  <c r="BC41" i="1" s="1"/>
  <c r="X40" i="1"/>
  <c r="Y40" i="1" s="1"/>
  <c r="N40" i="1"/>
  <c r="AB40" i="1" s="1"/>
  <c r="AM35" i="1"/>
  <c r="AM36" i="1"/>
  <c r="AM37" i="1"/>
  <c r="AM38" i="1"/>
  <c r="AM39" i="1"/>
  <c r="AM40" i="1"/>
  <c r="N39" i="1"/>
  <c r="AB39" i="1" s="1"/>
  <c r="AG62" i="1" l="1"/>
  <c r="AA40" i="1"/>
  <c r="O40" i="1"/>
  <c r="X38" i="1"/>
  <c r="Y38" i="1" s="1"/>
  <c r="N38" i="1"/>
  <c r="AB38" i="1" s="1"/>
  <c r="X37" i="1"/>
  <c r="Y37" i="1" s="1"/>
  <c r="N37" i="1"/>
  <c r="AB37" i="1" s="1"/>
  <c r="N36" i="1"/>
  <c r="AB36" i="1" s="1"/>
  <c r="N35" i="1"/>
  <c r="AB35" i="1" s="1"/>
  <c r="AM34" i="1"/>
  <c r="N34" i="1"/>
  <c r="AB34" i="1" s="1"/>
  <c r="AM33" i="1"/>
  <c r="N33" i="1"/>
  <c r="AB33" i="1" s="1"/>
  <c r="AM32" i="1"/>
  <c r="N32" i="1"/>
  <c r="AB32" i="1" s="1"/>
  <c r="AM31" i="1"/>
  <c r="X31" i="1"/>
  <c r="Y31" i="1" s="1"/>
  <c r="N31" i="1"/>
  <c r="AB31" i="1" s="1"/>
  <c r="AM30" i="1"/>
  <c r="X30" i="1"/>
  <c r="Y30" i="1" s="1"/>
  <c r="N30" i="1"/>
  <c r="AB30" i="1" s="1"/>
  <c r="AM29" i="1"/>
  <c r="X29" i="1"/>
  <c r="Y29" i="1" s="1"/>
  <c r="AM28" i="1"/>
  <c r="X28" i="1"/>
  <c r="Y28" i="1" s="1"/>
  <c r="N28" i="1"/>
  <c r="AB28" i="1" s="1"/>
  <c r="AM27" i="1"/>
  <c r="X27" i="1"/>
  <c r="Y27" i="1" s="1"/>
  <c r="N27" i="1"/>
  <c r="AB27" i="1" s="1"/>
  <c r="AM26" i="1"/>
  <c r="X26" i="1"/>
  <c r="Y26" i="1" s="1"/>
  <c r="N26" i="1"/>
  <c r="AB26" i="1" s="1"/>
  <c r="AM25" i="1"/>
  <c r="X25" i="1"/>
  <c r="Y25" i="1" s="1"/>
  <c r="N25" i="1"/>
  <c r="AB25" i="1" s="1"/>
  <c r="AM24" i="1"/>
  <c r="X24" i="1"/>
  <c r="Y24" i="1" s="1"/>
  <c r="N24" i="1"/>
  <c r="AB24" i="1" s="1"/>
  <c r="AM23" i="1"/>
  <c r="X23" i="1"/>
  <c r="Y23" i="1" s="1"/>
  <c r="N23" i="1"/>
  <c r="AB23" i="1" s="1"/>
  <c r="AM22" i="1"/>
  <c r="X22" i="1"/>
  <c r="Y22" i="1" s="1"/>
  <c r="N22" i="1"/>
  <c r="AB22" i="1" s="1"/>
  <c r="AM21" i="1"/>
  <c r="X21" i="1"/>
  <c r="Y21" i="1" s="1"/>
  <c r="N21" i="1"/>
  <c r="AB21" i="1" s="1"/>
  <c r="AM20" i="1"/>
  <c r="X20" i="1"/>
  <c r="Y20" i="1" s="1"/>
  <c r="N20" i="1"/>
  <c r="AB20" i="1" s="1"/>
  <c r="AM19" i="1"/>
  <c r="X19" i="1"/>
  <c r="Y19" i="1" s="1"/>
  <c r="N19" i="1"/>
  <c r="AB19" i="1" s="1"/>
  <c r="AM17" i="1"/>
  <c r="X17" i="1"/>
  <c r="Y17" i="1" s="1"/>
  <c r="N17" i="1"/>
  <c r="AB17" i="1" s="1"/>
  <c r="AM16" i="1"/>
  <c r="X16" i="1"/>
  <c r="Y16" i="1" s="1"/>
  <c r="N16" i="1"/>
  <c r="AB16" i="1" s="1"/>
  <c r="AM15" i="1"/>
  <c r="N15" i="1"/>
  <c r="AB15" i="1" s="1"/>
  <c r="AM14" i="1"/>
  <c r="X14" i="1"/>
  <c r="Y14" i="1" s="1"/>
  <c r="O14" i="1"/>
  <c r="AM13" i="1"/>
  <c r="X13" i="1"/>
  <c r="Y13" i="1" s="1"/>
  <c r="N13" i="1"/>
  <c r="AB13" i="1" s="1"/>
  <c r="AM12" i="1"/>
  <c r="X12" i="1"/>
  <c r="Y12" i="1" s="1"/>
  <c r="N12" i="1"/>
  <c r="AB12" i="1" s="1"/>
  <c r="X11" i="1"/>
  <c r="Y11" i="1" s="1"/>
  <c r="O11" i="1"/>
  <c r="J12" i="1"/>
  <c r="J13" i="1" s="1"/>
  <c r="J14" i="1" s="1"/>
  <c r="J15" i="1" s="1"/>
  <c r="J16" i="1" s="1"/>
  <c r="J17" i="1" s="1"/>
  <c r="AM9" i="1"/>
  <c r="X9" i="1"/>
  <c r="Y9" i="1" s="1"/>
  <c r="N9" i="1"/>
  <c r="AB9" i="1" s="1"/>
  <c r="AM8" i="1"/>
  <c r="N8" i="1"/>
  <c r="AB8" i="1" s="1"/>
  <c r="AM7" i="1"/>
  <c r="X7" i="1"/>
  <c r="Y7" i="1" s="1"/>
  <c r="N7" i="1"/>
  <c r="AB7" i="1" s="1"/>
  <c r="J7" i="1"/>
  <c r="J8" i="1" s="1"/>
  <c r="J9" i="1" s="1"/>
  <c r="AM6" i="1"/>
  <c r="X6" i="1"/>
  <c r="Y6" i="1" s="1"/>
  <c r="N6" i="1"/>
  <c r="AB6" i="1" s="1"/>
  <c r="J163" i="1" l="1"/>
  <c r="AN62" i="1"/>
  <c r="AB10" i="1"/>
  <c r="N10" i="1"/>
  <c r="AB18" i="1"/>
  <c r="N18" i="1"/>
  <c r="Y10" i="1"/>
  <c r="X10" i="1"/>
  <c r="Y18" i="1"/>
  <c r="X18" i="1"/>
  <c r="AA13" i="1"/>
  <c r="AA12" i="1"/>
  <c r="O15" i="1"/>
  <c r="Q15" i="1" s="1"/>
  <c r="O17" i="1"/>
  <c r="Q17" i="1" s="1"/>
  <c r="O13" i="1"/>
  <c r="Q13" i="1" s="1"/>
  <c r="AM10" i="1"/>
  <c r="AA26" i="1"/>
  <c r="P11" i="1"/>
  <c r="O12" i="1"/>
  <c r="Q12" i="1" s="1"/>
  <c r="AG40" i="1"/>
  <c r="AA15" i="1"/>
  <c r="AA39" i="1"/>
  <c r="AA16" i="1"/>
  <c r="Q40" i="1"/>
  <c r="P40" i="1"/>
  <c r="O39" i="1"/>
  <c r="P39" i="1" s="1"/>
  <c r="O20" i="1"/>
  <c r="P20" i="1" s="1"/>
  <c r="O35" i="1"/>
  <c r="P35" i="1" s="1"/>
  <c r="O37" i="1"/>
  <c r="O36" i="1"/>
  <c r="P36" i="1" s="1"/>
  <c r="O22" i="1"/>
  <c r="P22" i="1" s="1"/>
  <c r="O26" i="1"/>
  <c r="P26" i="1" s="1"/>
  <c r="O8" i="1"/>
  <c r="P8" i="1" s="1"/>
  <c r="AA7" i="1"/>
  <c r="AA14" i="1"/>
  <c r="AA33" i="1"/>
  <c r="AA30" i="1"/>
  <c r="AA34" i="1"/>
  <c r="AA36" i="1"/>
  <c r="AA32" i="1"/>
  <c r="AA23" i="1"/>
  <c r="AA20" i="1"/>
  <c r="AA24" i="1"/>
  <c r="AA27" i="1"/>
  <c r="AA38" i="1"/>
  <c r="AA8" i="1"/>
  <c r="AA37" i="1"/>
  <c r="AA35" i="1"/>
  <c r="AA31" i="1"/>
  <c r="AA29" i="1"/>
  <c r="AA22" i="1"/>
  <c r="AA21" i="1"/>
  <c r="AA25" i="1"/>
  <c r="AA28" i="1"/>
  <c r="AA17" i="1"/>
  <c r="AA9" i="1"/>
  <c r="O19" i="1"/>
  <c r="O7" i="1"/>
  <c r="Q7" i="1" s="1"/>
  <c r="O21" i="1"/>
  <c r="O28" i="1"/>
  <c r="Q28" i="1" s="1"/>
  <c r="O23" i="1"/>
  <c r="Q23" i="1" s="1"/>
  <c r="O25" i="1"/>
  <c r="O27" i="1"/>
  <c r="O33" i="1"/>
  <c r="O38" i="1"/>
  <c r="O24" i="1"/>
  <c r="Q24" i="1" s="1"/>
  <c r="O30" i="1"/>
  <c r="Q14" i="1"/>
  <c r="P14" i="1"/>
  <c r="O32" i="1"/>
  <c r="O9" i="1"/>
  <c r="Q11" i="1"/>
  <c r="O16" i="1"/>
  <c r="O31" i="1"/>
  <c r="O6" i="1"/>
  <c r="O34" i="1"/>
  <c r="BC62" i="1" l="1"/>
  <c r="AG38" i="1"/>
  <c r="AN38" i="1" s="1"/>
  <c r="AG30" i="1"/>
  <c r="AN30" i="1" s="1"/>
  <c r="AG20" i="1"/>
  <c r="AN20" i="1" s="1"/>
  <c r="AG26" i="1"/>
  <c r="AN26" i="1" s="1"/>
  <c r="AG27" i="1"/>
  <c r="AN27" i="1" s="1"/>
  <c r="AG24" i="1"/>
  <c r="AN24" i="1" s="1"/>
  <c r="AG31" i="1"/>
  <c r="AN31" i="1" s="1"/>
  <c r="AG23" i="1"/>
  <c r="AG35" i="1"/>
  <c r="AN35" i="1" s="1"/>
  <c r="AG32" i="1"/>
  <c r="AN32" i="1" s="1"/>
  <c r="AG33" i="1"/>
  <c r="AN33" i="1" s="1"/>
  <c r="AG22" i="1"/>
  <c r="AN22" i="1" s="1"/>
  <c r="AV22" i="1" s="1"/>
  <c r="AG37" i="1"/>
  <c r="AN37" i="1" s="1"/>
  <c r="AG36" i="1"/>
  <c r="AN36" i="1" s="1"/>
  <c r="AG29" i="1"/>
  <c r="AN29" i="1" s="1"/>
  <c r="AG28" i="1"/>
  <c r="AN28" i="1" s="1"/>
  <c r="AV28" i="1" s="1"/>
  <c r="AG34" i="1"/>
  <c r="AN34" i="1" s="1"/>
  <c r="AN40" i="1"/>
  <c r="O10" i="1"/>
  <c r="O18" i="1"/>
  <c r="AG13" i="1"/>
  <c r="AE13" i="1"/>
  <c r="AE18" i="1" s="1"/>
  <c r="AA11" i="1"/>
  <c r="Y163" i="1"/>
  <c r="P15" i="1"/>
  <c r="S15" i="1" s="1"/>
  <c r="T15" i="1" s="1"/>
  <c r="P17" i="1"/>
  <c r="S17" i="1" s="1"/>
  <c r="T17" i="1" s="1"/>
  <c r="P13" i="1"/>
  <c r="S13" i="1" s="1"/>
  <c r="T13" i="1" s="1"/>
  <c r="N163" i="1"/>
  <c r="AB163" i="1" s="1"/>
  <c r="X163" i="1"/>
  <c r="AG14" i="1"/>
  <c r="AG21" i="1"/>
  <c r="AA19" i="1"/>
  <c r="P19" i="1"/>
  <c r="P12" i="1"/>
  <c r="S12" i="1" s="1"/>
  <c r="T12" i="1" s="1"/>
  <c r="S11" i="1"/>
  <c r="P37" i="1"/>
  <c r="Q37" i="1"/>
  <c r="Q25" i="1"/>
  <c r="AG25" i="1"/>
  <c r="AC15" i="1"/>
  <c r="AG39" i="1"/>
  <c r="AN39" i="1" s="1"/>
  <c r="AG15" i="1"/>
  <c r="AG16" i="1"/>
  <c r="S40" i="1"/>
  <c r="Q22" i="1"/>
  <c r="S22" i="1" s="1"/>
  <c r="Q26" i="1"/>
  <c r="S26" i="1" s="1"/>
  <c r="Q36" i="1"/>
  <c r="S36" i="1" s="1"/>
  <c r="Q39" i="1"/>
  <c r="S39" i="1" s="1"/>
  <c r="Q35" i="1"/>
  <c r="S35" i="1" s="1"/>
  <c r="Q8" i="1"/>
  <c r="S8" i="1" s="1"/>
  <c r="Q20" i="1"/>
  <c r="S20" i="1" s="1"/>
  <c r="AG7" i="1"/>
  <c r="AN7" i="1" s="1"/>
  <c r="AG12" i="1"/>
  <c r="AG17" i="1"/>
  <c r="AG8" i="1"/>
  <c r="AG9" i="1"/>
  <c r="AF13" i="1"/>
  <c r="AF18" i="1" s="1"/>
  <c r="P23" i="1"/>
  <c r="S23" i="1" s="1"/>
  <c r="P25" i="1"/>
  <c r="Q19" i="1"/>
  <c r="P7" i="1"/>
  <c r="S7" i="1" s="1"/>
  <c r="P28" i="1"/>
  <c r="S28" i="1" s="1"/>
  <c r="P21" i="1"/>
  <c r="Q21" i="1"/>
  <c r="S14" i="1"/>
  <c r="T14" i="1" s="1"/>
  <c r="P24" i="1"/>
  <c r="S24" i="1" s="1"/>
  <c r="Q33" i="1"/>
  <c r="P33" i="1"/>
  <c r="Q30" i="1"/>
  <c r="P30" i="1"/>
  <c r="Q27" i="1"/>
  <c r="P27" i="1"/>
  <c r="Q38" i="1"/>
  <c r="P38" i="1"/>
  <c r="Q6" i="1"/>
  <c r="P6" i="1"/>
  <c r="AA6" i="1"/>
  <c r="P32" i="1"/>
  <c r="Q32" i="1"/>
  <c r="Q31" i="1"/>
  <c r="P31" i="1"/>
  <c r="Q9" i="1"/>
  <c r="P9" i="1"/>
  <c r="Q16" i="1"/>
  <c r="Q18" i="1" s="1"/>
  <c r="P16" i="1"/>
  <c r="P34" i="1"/>
  <c r="Q34" i="1"/>
  <c r="BC40" i="1" l="1"/>
  <c r="AA18" i="1"/>
  <c r="BC33" i="1"/>
  <c r="BC26" i="1"/>
  <c r="BC34" i="1"/>
  <c r="BC36" i="1"/>
  <c r="BC31" i="1"/>
  <c r="AN15" i="1"/>
  <c r="AA10" i="1"/>
  <c r="AN8" i="1"/>
  <c r="BC32" i="1"/>
  <c r="AN21" i="1"/>
  <c r="AV21" i="1" s="1"/>
  <c r="BC7" i="1"/>
  <c r="BC37" i="1"/>
  <c r="BC30" i="1"/>
  <c r="BC28" i="1"/>
  <c r="BC35" i="1"/>
  <c r="BC24" i="1"/>
  <c r="BC20" i="1"/>
  <c r="AN9" i="1"/>
  <c r="BC9" i="1" s="1"/>
  <c r="BC38" i="1"/>
  <c r="BC39" i="1"/>
  <c r="BC29" i="1"/>
  <c r="BC22" i="1"/>
  <c r="AN23" i="1"/>
  <c r="BC23" i="1" s="1"/>
  <c r="BC27" i="1"/>
  <c r="AN25" i="1"/>
  <c r="Q10" i="1"/>
  <c r="P10" i="1"/>
  <c r="P18" i="1"/>
  <c r="AF163" i="1"/>
  <c r="AE163" i="1"/>
  <c r="O163" i="1"/>
  <c r="AG19" i="1"/>
  <c r="S19" i="1"/>
  <c r="AG11" i="1"/>
  <c r="AG18" i="1" s="1"/>
  <c r="AC12" i="1"/>
  <c r="T11" i="1"/>
  <c r="S37" i="1"/>
  <c r="S25" i="1"/>
  <c r="AD15" i="1"/>
  <c r="S9" i="1"/>
  <c r="S31" i="1"/>
  <c r="S32" i="1"/>
  <c r="AC13" i="1"/>
  <c r="AD14" i="1"/>
  <c r="AD17" i="1"/>
  <c r="S38" i="1"/>
  <c r="S30" i="1"/>
  <c r="S6" i="1"/>
  <c r="S27" i="1"/>
  <c r="S33" i="1"/>
  <c r="S16" i="1"/>
  <c r="T16" i="1" s="1"/>
  <c r="S34" i="1"/>
  <c r="S21" i="1"/>
  <c r="AG6" i="1"/>
  <c r="AN6" i="1" s="1"/>
  <c r="AA163" i="1" l="1"/>
  <c r="AN10" i="1"/>
  <c r="BC21" i="1"/>
  <c r="AN19" i="1"/>
  <c r="BC25" i="1"/>
  <c r="BC15" i="1"/>
  <c r="AN13" i="1"/>
  <c r="AN12" i="1"/>
  <c r="BC8" i="1"/>
  <c r="AG10" i="1"/>
  <c r="BC6" i="1"/>
  <c r="T18" i="1"/>
  <c r="T163" i="1" s="1"/>
  <c r="S10" i="1"/>
  <c r="S18" i="1"/>
  <c r="P163" i="1"/>
  <c r="Q163" i="1"/>
  <c r="AD12" i="1"/>
  <c r="AD16" i="1"/>
  <c r="AC14" i="1"/>
  <c r="AC17" i="1"/>
  <c r="AD13" i="1"/>
  <c r="BC13" i="1" l="1"/>
  <c r="AN17" i="1"/>
  <c r="AN14" i="1"/>
  <c r="BC14" i="1" s="1"/>
  <c r="BC12" i="1"/>
  <c r="BC19" i="1"/>
  <c r="BC161" i="1" s="1"/>
  <c r="AO16" i="1"/>
  <c r="BC10" i="1"/>
  <c r="AG163" i="1"/>
  <c r="S163" i="1"/>
  <c r="AC11" i="1"/>
  <c r="AD11" i="1"/>
  <c r="AD18" i="1" s="1"/>
  <c r="AC16" i="1"/>
  <c r="AN11" i="1" l="1"/>
  <c r="BC11" i="1" s="1"/>
  <c r="AO18" i="1"/>
  <c r="AO163" i="1" s="1"/>
  <c r="BC17" i="1"/>
  <c r="AN16" i="1"/>
  <c r="AC18" i="1"/>
  <c r="AD163" i="1"/>
  <c r="AR16" i="1" l="1"/>
  <c r="BC16" i="1"/>
  <c r="BC18" i="1" s="1"/>
  <c r="BC163" i="1" s="1"/>
  <c r="AP16" i="1"/>
  <c r="AN18" i="1"/>
  <c r="AN163" i="1" s="1"/>
  <c r="AC163" i="1"/>
  <c r="AM11" i="1"/>
  <c r="AM18" i="1" s="1"/>
  <c r="AS16" i="1" l="1"/>
  <c r="AS18" i="1" s="1"/>
  <c r="AT16" i="1"/>
  <c r="AT18" i="1" s="1"/>
  <c r="AP18" i="1"/>
  <c r="AR18" i="1"/>
  <c r="AM163" i="1"/>
  <c r="AU16" i="1" l="1"/>
  <c r="AW16" i="1" s="1"/>
  <c r="AV16" i="1"/>
  <c r="AJ163" i="1"/>
  <c r="AK163" i="1"/>
  <c r="AL163" i="1"/>
  <c r="R163" i="1"/>
  <c r="AX16" i="1" l="1"/>
  <c r="AZ16" i="1" s="1"/>
  <c r="AY16" i="1"/>
  <c r="BA16" i="1" l="1"/>
  <c r="BB16" i="1"/>
  <c r="BB18" i="1" s="1"/>
  <c r="BB163" i="1" s="1"/>
</calcChain>
</file>

<file path=xl/sharedStrings.xml><?xml version="1.0" encoding="utf-8"?>
<sst xmlns="http://schemas.openxmlformats.org/spreadsheetml/2006/main" count="1708" uniqueCount="454">
  <si>
    <t>EARNING</t>
  </si>
  <si>
    <t>Deduction 01</t>
  </si>
  <si>
    <t>Other Deduction 02</t>
  </si>
  <si>
    <t>PF KYC</t>
  </si>
  <si>
    <t xml:space="preserve">ESI KYC </t>
  </si>
  <si>
    <t>DAY</t>
  </si>
  <si>
    <t>REMARK</t>
  </si>
  <si>
    <t xml:space="preserve">GROUP </t>
  </si>
  <si>
    <t>STATUS</t>
  </si>
  <si>
    <t>PF</t>
  </si>
  <si>
    <t>UAN NO.</t>
  </si>
  <si>
    <t>SR.</t>
  </si>
  <si>
    <t>RUNING/
LEFT</t>
  </si>
  <si>
    <t xml:space="preserve">EMPLOYEE NAME </t>
  </si>
  <si>
    <t xml:space="preserve">SALARY AMOUNT </t>
  </si>
  <si>
    <t>BASIC</t>
  </si>
  <si>
    <t>H.R.A</t>
  </si>
  <si>
    <t>CONV.</t>
  </si>
  <si>
    <t>MEDICAL</t>
  </si>
  <si>
    <t>SPECIAL ALLO.</t>
  </si>
  <si>
    <t xml:space="preserve">TOTAL </t>
  </si>
  <si>
    <t>PF Salary</t>
  </si>
  <si>
    <t>Present</t>
  </si>
  <si>
    <t>w-off</t>
  </si>
  <si>
    <t>other.
All</t>
  </si>
  <si>
    <t>TOTAL DAYS</t>
  </si>
  <si>
    <t>OTHER ALL</t>
  </si>
  <si>
    <t>GROSS</t>
  </si>
  <si>
    <t>EARNING BASIC</t>
  </si>
  <si>
    <t>P.F.
12%</t>
  </si>
  <si>
    <t>P.F.
13%</t>
  </si>
  <si>
    <t>E.S.I.
0.75%</t>
  </si>
  <si>
    <t>E.S.I.
3.25%</t>
  </si>
  <si>
    <t xml:space="preserve">PT </t>
  </si>
  <si>
    <t>TDS</t>
  </si>
  <si>
    <t xml:space="preserve">Advance </t>
  </si>
  <si>
    <t xml:space="preserve">meal </t>
  </si>
  <si>
    <t>Stote</t>
  </si>
  <si>
    <t xml:space="preserve">Other </t>
  </si>
  <si>
    <t xml:space="preserve">Total </t>
  </si>
  <si>
    <t>NET AMOUNT</t>
  </si>
  <si>
    <t>RoundoffNet</t>
  </si>
  <si>
    <t>ADHARCARD NO.</t>
  </si>
  <si>
    <t>BANK ACCOUNT NO.</t>
  </si>
  <si>
    <t>IFSC CODE</t>
  </si>
  <si>
    <t>MOBILE NO.</t>
  </si>
  <si>
    <t>Father Or HusbandName</t>
  </si>
  <si>
    <t>DOB</t>
  </si>
  <si>
    <t>DOJ</t>
  </si>
  <si>
    <t>GENDER</t>
  </si>
  <si>
    <t>NOMINEE</t>
  </si>
  <si>
    <t>MARITAL STATUS</t>
  </si>
  <si>
    <t>ADDRESS</t>
  </si>
  <si>
    <t>*</t>
  </si>
  <si>
    <t>MANISH-MH</t>
  </si>
  <si>
    <t>RUNNING</t>
  </si>
  <si>
    <t>EXEPMTED FROM NOV.18</t>
  </si>
  <si>
    <t>DHANANJAYKUMAR.R. PANDEY</t>
  </si>
  <si>
    <t>MANISH - CH</t>
  </si>
  <si>
    <t>EXEPTED FROM APRIL.19</t>
  </si>
  <si>
    <t xml:space="preserve">SEETA BHANJU  SINGH </t>
  </si>
  <si>
    <t>EXEPTED FROM JUNE.19</t>
  </si>
  <si>
    <t>CHANDRABHUSHAN.J. SAHU</t>
  </si>
  <si>
    <t>GAUTAMKUMAR.S. GUPTA</t>
  </si>
  <si>
    <t>UNDER PF</t>
  </si>
  <si>
    <t>JUGAL KISHORE CHTURVEDI</t>
  </si>
  <si>
    <t>VINOD J KHARAT</t>
  </si>
  <si>
    <t>MAHENDRAKUMAR CHHAGNBHAI RATHOD</t>
  </si>
  <si>
    <t>VAISHNAV RAJNIKANT NATVARLAL</t>
  </si>
  <si>
    <t>RATHOD RAJESHBHAI DHANJIBHAI</t>
  </si>
  <si>
    <t>PATEL MAULIK SHANTIBHAI</t>
  </si>
  <si>
    <t>MANISH-RAJ.</t>
  </si>
  <si>
    <t xml:space="preserve">CHANDRAPRAKASH.R.SAMARIYA </t>
  </si>
  <si>
    <t>ANIL N. PANCHAL</t>
  </si>
  <si>
    <t>MANISH - AMD</t>
  </si>
  <si>
    <t>KAPIL BAROT</t>
  </si>
  <si>
    <t>MANISH L. SOLANKI</t>
  </si>
  <si>
    <t>MILAN R.GOHEL</t>
  </si>
  <si>
    <t>MONTU GAJJAR</t>
  </si>
  <si>
    <t>VASANT B. NAI</t>
  </si>
  <si>
    <t>HETAL M SOLANKI</t>
  </si>
  <si>
    <t>DINESH G. VADALIYA</t>
  </si>
  <si>
    <t>ANIL L. SOLANKI</t>
  </si>
  <si>
    <t>POOJA SALUNKE</t>
  </si>
  <si>
    <t>HEENA HITESH LIMBANI</t>
  </si>
  <si>
    <t>EXEPTED FROM FEB.20</t>
  </si>
  <si>
    <t>KHUSHBU A CHAVDA</t>
  </si>
  <si>
    <t>EXEPTED FROM OCT.20</t>
  </si>
  <si>
    <t>PREM PATEL</t>
  </si>
  <si>
    <t>GUDDU KHALIFA</t>
  </si>
  <si>
    <t>MANISH-HARYANA</t>
  </si>
  <si>
    <t>RAHUL B. SAINI</t>
  </si>
  <si>
    <t>YELLA ANJANEYULU</t>
  </si>
  <si>
    <t>EXEPTED FROM DEC.20</t>
  </si>
  <si>
    <t xml:space="preserve">JAGMOHAN VERMA </t>
  </si>
  <si>
    <t>EXEPTED FROM NOV.21</t>
  </si>
  <si>
    <t>RAMILABEN KAMLESHBHAI PATEL</t>
  </si>
  <si>
    <t>ANIL-AMD</t>
  </si>
  <si>
    <t>JAVNIKA ANIL PANCHAL</t>
  </si>
  <si>
    <t>EXEPTED FROM APRIL.22</t>
  </si>
  <si>
    <t>SURAJ PRAKASH</t>
  </si>
  <si>
    <t>EMP</t>
  </si>
  <si>
    <t>ASHWIN MANUBHAI CHAVDA</t>
  </si>
  <si>
    <t>EXEPTED FROM MAY.22</t>
  </si>
  <si>
    <t>101434370448</t>
  </si>
  <si>
    <t>100407830121</t>
  </si>
  <si>
    <t>101820560493</t>
  </si>
  <si>
    <t>101820560527</t>
  </si>
  <si>
    <t>101820560515</t>
  </si>
  <si>
    <t>101434370476</t>
  </si>
  <si>
    <t>BHARAT RAMJIBHAI PARMAR</t>
  </si>
  <si>
    <t>101838625293</t>
  </si>
  <si>
    <t>EXEPTED FROM SEP.22</t>
  </si>
  <si>
    <t>MANOJ BABURAO MEHARKAR</t>
  </si>
  <si>
    <t>MANISH - PB</t>
  </si>
  <si>
    <t>CHOUHAN ASHVIN NANJIBHAI</t>
  </si>
  <si>
    <t>PARUL RAMESHBHAI SHARMA</t>
  </si>
  <si>
    <t>HEMIN BHARATBHAI PATEL</t>
  </si>
  <si>
    <t>MANJEET RANA</t>
  </si>
  <si>
    <t>AMIT BOSE</t>
  </si>
  <si>
    <t>SURENDRA PRASAD SINGH</t>
  </si>
  <si>
    <t>EXEPTED FROM NOV.22</t>
  </si>
  <si>
    <t>EXEPTED FROM DEC.22</t>
  </si>
  <si>
    <t>TRUPTI MILANKUMAR GOHEL</t>
  </si>
  <si>
    <t>NILESHBHAI LABANA</t>
  </si>
  <si>
    <t>PRASHANT BHARATBHAI PATEL</t>
  </si>
  <si>
    <t>KAILASHBA KIRITSINGH PARMAR</t>
  </si>
  <si>
    <t>HITESHKUMAR NAGJIBHAI LIMBANI</t>
  </si>
  <si>
    <t>MANISH-MB</t>
  </si>
  <si>
    <t>DHRUVILKUMAR PATEL</t>
  </si>
  <si>
    <t>HARISHCHANDER SARDARILAL MANAN</t>
  </si>
  <si>
    <t>EXEPTED FROM JAN.23</t>
  </si>
  <si>
    <t>ANANDIBEN VASANTKUMAR NAI</t>
  </si>
  <si>
    <t>BUNDHELIYA HIRAL AKASHBHAI</t>
  </si>
  <si>
    <t>MAHAVEER SINGH RAJ.</t>
  </si>
  <si>
    <t>COMPANY-g</t>
  </si>
  <si>
    <t>SUKHWINDER SINGH</t>
  </si>
  <si>
    <t>EXEPTED FROM FEB.23</t>
  </si>
  <si>
    <t>EXEPTED FROM MARCH.23</t>
  </si>
  <si>
    <t>SATPAL SATYANARAYAN</t>
  </si>
  <si>
    <t>RICHA V. PANDEY</t>
  </si>
  <si>
    <t>BHAGIRATH L. KUSHWAH</t>
  </si>
  <si>
    <t>JYOTI S. PATEL</t>
  </si>
  <si>
    <t>EXEPTED FROM APRIL.23</t>
  </si>
  <si>
    <t>POST</t>
  </si>
  <si>
    <t>A.S.M</t>
  </si>
  <si>
    <t>A.S.E</t>
  </si>
  <si>
    <t>SUPERVISOR</t>
  </si>
  <si>
    <t>S.S.O</t>
  </si>
  <si>
    <t>R.S.M</t>
  </si>
  <si>
    <t>S.O</t>
  </si>
  <si>
    <t>B.D.M</t>
  </si>
  <si>
    <t>KAMLESHBHAI H. PATEL</t>
  </si>
  <si>
    <t>MANAGER</t>
  </si>
  <si>
    <t>PACKAGING MANAGER</t>
  </si>
  <si>
    <t>N.S.M</t>
  </si>
  <si>
    <t>DRIVER</t>
  </si>
  <si>
    <t>DISPATCH MANAGER</t>
  </si>
  <si>
    <t>PACKAGING SUPERVISOR</t>
  </si>
  <si>
    <t>DISPATCH EXECUTIVE</t>
  </si>
  <si>
    <t>PURCHASE MANAGER</t>
  </si>
  <si>
    <t>CHEMIST</t>
  </si>
  <si>
    <t>ACCOUNTANT</t>
  </si>
  <si>
    <t>PRAKASH M PRAJAPATI</t>
  </si>
  <si>
    <t>LEB ASSI.</t>
  </si>
  <si>
    <t>PACKAGING EXECUTIVE</t>
  </si>
  <si>
    <t>ADITYA GUPTA</t>
  </si>
  <si>
    <t>GAUD RAMVILAS NAUMIRAM</t>
  </si>
  <si>
    <t>PATEL KANTABEN BHARATBHAI</t>
  </si>
  <si>
    <t>RAVARANI RAMESHBHAI GORADHANBHAI</t>
  </si>
  <si>
    <t>KRUTIKA NARAYANRAO CHORE</t>
  </si>
  <si>
    <t>NEHA GANGADHARRAO SONKAR</t>
  </si>
  <si>
    <t>EXEPTED FROM MAY.23</t>
  </si>
  <si>
    <t>EXEPTED FROM JUNE.23</t>
  </si>
  <si>
    <t xml:space="preserve">TARUN ANILBHAI BUNDHELIYA </t>
  </si>
  <si>
    <t>NITABEN DILIPBHAI CHAVDA</t>
  </si>
  <si>
    <t>PANKAJ BHATTI</t>
  </si>
  <si>
    <t>SWETA KHANDELWAL</t>
  </si>
  <si>
    <t>101274131799</t>
  </si>
  <si>
    <t>EXEPTED FROM JULY.23</t>
  </si>
  <si>
    <t>ANIL BHANWARLAL VERMA</t>
  </si>
  <si>
    <t>BDM</t>
  </si>
  <si>
    <t>HITESH</t>
  </si>
  <si>
    <t>KOMAL SHANKAR PARATE</t>
  </si>
  <si>
    <t>EXEPTED FROM AUG.23</t>
  </si>
  <si>
    <t>EXEPTED FROM SEP.23</t>
  </si>
  <si>
    <t>GAJANAN MANOHAR SHILANKAR</t>
  </si>
  <si>
    <t>MANISH-NS</t>
  </si>
  <si>
    <t>TECHNICIAN</t>
  </si>
  <si>
    <t>ANKUSH KIRTIKUMAR JAIN</t>
  </si>
  <si>
    <t>EXEPTED FROM OCT.23</t>
  </si>
  <si>
    <t>TECHNOSALES</t>
  </si>
  <si>
    <t>KAJAL PAL</t>
  </si>
  <si>
    <t>BA SUPERVISOR</t>
  </si>
  <si>
    <t>SHRIKANT SUBHASH SALUNKE</t>
  </si>
  <si>
    <t>ASHKA SURYAKANT PATEL</t>
  </si>
  <si>
    <t>HARDIK DILIPBHAI CHAVDA</t>
  </si>
  <si>
    <t>EXEPTED FROM DEC.23</t>
  </si>
  <si>
    <t>EXEPTED FROM JAN.24</t>
  </si>
  <si>
    <t>PARESHKUMAR VAKANI</t>
  </si>
  <si>
    <t>JINAL KINJALKUMAR NAYI</t>
  </si>
  <si>
    <t>SURAJ PAL</t>
  </si>
  <si>
    <t>ASLAM YUNUS SHAIKH</t>
  </si>
  <si>
    <t>EXEPTED FROM MARCH.24</t>
  </si>
  <si>
    <t>NARENDRA TANK</t>
  </si>
  <si>
    <t>TUSHAR A CHAVDA</t>
  </si>
  <si>
    <t>ARVINDBHAI V CHAVDA</t>
  </si>
  <si>
    <t>SURYAKANT K PATEL</t>
  </si>
  <si>
    <t>DILIP R CHAVDA</t>
  </si>
  <si>
    <t>RAMABEN A CHAVDA</t>
  </si>
  <si>
    <t>DIRECTOR</t>
  </si>
  <si>
    <t>EXEPTED FROM APRIL.24</t>
  </si>
  <si>
    <t>NANDINI</t>
  </si>
  <si>
    <t>CHAUDHARI SHRUTIKUMARI</t>
  </si>
  <si>
    <t>RITA RAJESHKUMAR SONI</t>
  </si>
  <si>
    <t>SHUKLA TWINKLE SHIVANAND</t>
  </si>
  <si>
    <t>NITIN TREHAN</t>
  </si>
  <si>
    <t>NANDINI RAMANNA</t>
  </si>
  <si>
    <t>EXEPTED FROM MAY.24</t>
  </si>
  <si>
    <t>ASHOK AMRELIYA</t>
  </si>
  <si>
    <t>SANGITA AMRELIYA</t>
  </si>
  <si>
    <t>HETAL AMRELIYA</t>
  </si>
  <si>
    <t>SNEHA CHAVDA</t>
  </si>
  <si>
    <t>HARDIK AMRELIYA</t>
  </si>
  <si>
    <t>EXEPTED FROM JUNE.24</t>
  </si>
  <si>
    <t>WORKING</t>
  </si>
  <si>
    <t>Y-MANISH - TN</t>
  </si>
  <si>
    <t>Y-MANISH - AP</t>
  </si>
  <si>
    <t>Y-MANISH - KT</t>
  </si>
  <si>
    <t>NITIN VERMA</t>
  </si>
  <si>
    <t>EXEPTED FROM SEP.24</t>
  </si>
  <si>
    <t>NUTAN KADREKAR</t>
  </si>
  <si>
    <t>ANIL - U.P.-W</t>
  </si>
  <si>
    <t>ANIL - U.P.-E</t>
  </si>
  <si>
    <t>SUHEEL AHMED QUADRI</t>
  </si>
  <si>
    <t>AKSHAY SRIVASTAV</t>
  </si>
  <si>
    <t>ANIL-AGRA</t>
  </si>
  <si>
    <t>EXEPTED FROM OCT.24</t>
  </si>
  <si>
    <t>EXPORT MANAGER</t>
  </si>
  <si>
    <t>EXEPTED FROM NOV.24</t>
  </si>
  <si>
    <t>ELIKATTE SARITHA</t>
  </si>
  <si>
    <t>KEVIN GLADVIN ROZARIO</t>
  </si>
  <si>
    <t>CHRO</t>
  </si>
  <si>
    <t>FARHEEN KHAN</t>
  </si>
  <si>
    <t>S.R</t>
  </si>
  <si>
    <t>VINODKUMAR VITHALBHAI RAVRANI</t>
  </si>
  <si>
    <t>EXEPTED FROM DEC.24</t>
  </si>
  <si>
    <t>KAPIL-GUJ</t>
  </si>
  <si>
    <t>KAPIL- AMD</t>
  </si>
  <si>
    <t>GARD</t>
  </si>
  <si>
    <t>ASE</t>
  </si>
  <si>
    <t>KIRAN KUMARI GUPTA</t>
  </si>
  <si>
    <t>EXEPTED FROM MARCH-25</t>
  </si>
  <si>
    <t>NEW POST</t>
  </si>
  <si>
    <t>NEW SALARY</t>
  </si>
  <si>
    <t>NANDANI HARDIK CHAVDA</t>
  </si>
  <si>
    <t>DEEPAK CHAWLA</t>
  </si>
  <si>
    <t>E-COMMERCE-MANAGER</t>
  </si>
  <si>
    <t>EXEPTED FROM APRIL-25</t>
  </si>
  <si>
    <t>A.S.O</t>
  </si>
  <si>
    <t>MANISH-BIHAR</t>
  </si>
  <si>
    <t>MANISH KUMAR OJHA</t>
  </si>
  <si>
    <t>RISABH KUMAR</t>
  </si>
  <si>
    <t>MAHESH KUSHWAH</t>
  </si>
  <si>
    <t>SURESH AMRELIYA</t>
  </si>
  <si>
    <t>MANISH-PUNE</t>
  </si>
  <si>
    <t>MEENA SUNNYDEV BAJAJ</t>
  </si>
  <si>
    <t>KIRAN ASHOK KUMAR TALREJA</t>
  </si>
  <si>
    <t>NAINA KUMARI BEBOORAM CHANDWANI</t>
  </si>
  <si>
    <t>KANWAL AADRASH RAMNANI</t>
  </si>
  <si>
    <t>EXEPTED FROM MAY-25</t>
  </si>
  <si>
    <t>RISHU KUMAR</t>
  </si>
  <si>
    <t>SULOCHNA RAWAT</t>
  </si>
  <si>
    <t>AMARNATH SHARMA</t>
  </si>
  <si>
    <t>THAKOR NARESHJI RAMESHJI</t>
  </si>
  <si>
    <t>PRIYANKKUMAR POONAMBHAI SOLANKI</t>
  </si>
  <si>
    <t>SANTOSH BABUBHAI PARMAR</t>
  </si>
  <si>
    <t>RELIEVER</t>
  </si>
  <si>
    <t>KARUNA KUMARI</t>
  </si>
  <si>
    <t>YELLA MANGA</t>
  </si>
  <si>
    <t>SHIVSHANKAR</t>
  </si>
  <si>
    <t>ARCHNA CHAUDHARI</t>
  </si>
  <si>
    <t>AISHWARYA SINGH</t>
  </si>
  <si>
    <t>SUMITA R. VAISHNAV</t>
  </si>
  <si>
    <t>EXEPTED FROM JULY-25</t>
  </si>
  <si>
    <t>PANCARD</t>
  </si>
  <si>
    <t>AYBPC2020K</t>
  </si>
  <si>
    <t>BMFPC2009D</t>
  </si>
  <si>
    <t>BFQPC5595E</t>
  </si>
  <si>
    <t>AAVPC0810F</t>
  </si>
  <si>
    <t>BCMPS8102G</t>
  </si>
  <si>
    <t>AKCPC9286C</t>
  </si>
  <si>
    <t>AFCPP7693B</t>
  </si>
  <si>
    <t>AHFPP6596A</t>
  </si>
  <si>
    <t>AGTPC9208K</t>
  </si>
  <si>
    <t>ACJPC2098R</t>
  </si>
  <si>
    <t>AJWPG8071G</t>
  </si>
  <si>
    <t>AHRPN2570N</t>
  </si>
  <si>
    <t>ACKPV8116C</t>
  </si>
  <si>
    <t>IICPB4909R</t>
  </si>
  <si>
    <t>AZIPC5161B</t>
  </si>
  <si>
    <t>AVDPC6488J</t>
  </si>
  <si>
    <t>BCUPG9899Q</t>
  </si>
  <si>
    <t>GVSPS1489A</t>
  </si>
  <si>
    <t>AVAPP9964H</t>
  </si>
  <si>
    <t>AMKPR6366E</t>
  </si>
  <si>
    <t>DTDPB1142P</t>
  </si>
  <si>
    <t>AMTPP7138H</t>
  </si>
  <si>
    <t>BELPP2023L</t>
  </si>
  <si>
    <t>GWRPP6160B</t>
  </si>
  <si>
    <t>ABJPR0221N</t>
  </si>
  <si>
    <t>BRFPV3582H</t>
  </si>
  <si>
    <t>FSNPR3250P</t>
  </si>
  <si>
    <t>BWRPC4449R</t>
  </si>
  <si>
    <t>NBDPS8503K</t>
  </si>
  <si>
    <t>ACUPL9775B</t>
  </si>
  <si>
    <t>AMSPM1079P</t>
  </si>
  <si>
    <t>BWLPG9054J</t>
  </si>
  <si>
    <t>AFKPB6475R</t>
  </si>
  <si>
    <t>BIXPP0689L</t>
  </si>
  <si>
    <t>CEEPG4809P</t>
  </si>
  <si>
    <t>CZSPP5371G</t>
  </si>
  <si>
    <t>AUBPN3637R</t>
  </si>
  <si>
    <t>DAXPP0083G</t>
  </si>
  <si>
    <t>BBNPP4775N</t>
  </si>
  <si>
    <t>DTVPK9431C</t>
  </si>
  <si>
    <t>BFMPK3062A</t>
  </si>
  <si>
    <t>DHDPS1749P</t>
  </si>
  <si>
    <t>BKCPS9703D</t>
  </si>
  <si>
    <t>AOHPJ6424Q</t>
  </si>
  <si>
    <t>CQRPS3322L</t>
  </si>
  <si>
    <t>EOKPP8416R</t>
  </si>
  <si>
    <t>BCXPM3430L</t>
  </si>
  <si>
    <t>GSUPK2453P</t>
  </si>
  <si>
    <t>DEWPS9683J</t>
  </si>
  <si>
    <t>AEKPV3820M</t>
  </si>
  <si>
    <t>BEIPG8505D</t>
  </si>
  <si>
    <t>ARLPT7973P</t>
  </si>
  <si>
    <t>AARPO4704C</t>
  </si>
  <si>
    <t>EZCPB1082C</t>
  </si>
  <si>
    <t>BSAPR3328B</t>
  </si>
  <si>
    <t>APRPV2562G</t>
  </si>
  <si>
    <t>BNN PP5845B</t>
  </si>
  <si>
    <t>KZWPS1986N</t>
  </si>
  <si>
    <t>BEZPS7208L</t>
  </si>
  <si>
    <t>AMOPP0288R</t>
  </si>
  <si>
    <t>AXNPP4527B</t>
  </si>
  <si>
    <t>CAWPP8764N</t>
  </si>
  <si>
    <t>AOBPP5215M</t>
  </si>
  <si>
    <t>BFVPD8288N</t>
  </si>
  <si>
    <t>ADMIN EXECUTIVE</t>
  </si>
  <si>
    <t>CHSPP9905N</t>
  </si>
  <si>
    <t>CUTPS5652M</t>
  </si>
  <si>
    <t>BLVPK4624B</t>
  </si>
  <si>
    <t>BEPPK4520K</t>
  </si>
  <si>
    <t>AAVPQ1946L</t>
  </si>
  <si>
    <t>BPMPK1503A</t>
  </si>
  <si>
    <t>CWBPT3640Q</t>
  </si>
  <si>
    <t>RQEPS1321F</t>
  </si>
  <si>
    <t>ALYPA6828K</t>
  </si>
  <si>
    <t>CEXPN2456J</t>
  </si>
  <si>
    <t>DIJPS6885P</t>
  </si>
  <si>
    <t>BOYPC3513D</t>
  </si>
  <si>
    <t>NDGPS4999A</t>
  </si>
  <si>
    <t>CBYPR9718R</t>
  </si>
  <si>
    <t>BZVPK3765P</t>
  </si>
  <si>
    <t>DRJPK5638D</t>
  </si>
  <si>
    <t>BTYPS7099P</t>
  </si>
  <si>
    <t>MWPPS5927P</t>
  </si>
  <si>
    <t>CTIPS6770E</t>
  </si>
  <si>
    <t>SNEHLATA SHARMA</t>
  </si>
  <si>
    <t>NGWPS1509D</t>
  </si>
  <si>
    <t>BRUPK7892L</t>
  </si>
  <si>
    <t>BQFPV3604M</t>
  </si>
  <si>
    <t>BTBPK8292H</t>
  </si>
  <si>
    <t>BBSPR6922G</t>
  </si>
  <si>
    <t>BAMPS3673L</t>
  </si>
  <si>
    <t>CDHPK7097R</t>
  </si>
  <si>
    <t>CDPPK1848A</t>
  </si>
  <si>
    <t>RAJESHKUMAR  GUPTA</t>
  </si>
  <si>
    <t>CRAP6183K</t>
  </si>
  <si>
    <t>ADMPA2479E</t>
  </si>
  <si>
    <t>DCEPR8345J</t>
  </si>
  <si>
    <t>FNAPP6866D</t>
  </si>
  <si>
    <t>AGLPL7729C</t>
  </si>
  <si>
    <t>CPKPN3425B</t>
  </si>
  <si>
    <t>ELNPP3747R</t>
  </si>
  <si>
    <t>CGSPA3702R</t>
  </si>
  <si>
    <t>AYTPB5335J</t>
  </si>
  <si>
    <t>DIRPP2549R</t>
  </si>
  <si>
    <t>AMDPC6090R</t>
  </si>
  <si>
    <t>ECOPP5955D</t>
  </si>
  <si>
    <t>EOWPP6958G</t>
  </si>
  <si>
    <t>AAVPC0809Q</t>
  </si>
  <si>
    <t>ACVPL6316K</t>
  </si>
  <si>
    <t>MHPPS3859B</t>
  </si>
  <si>
    <t>BCFPT1862B</t>
  </si>
  <si>
    <t>AFRPV8632F</t>
  </si>
  <si>
    <t>EUTPP3134F</t>
  </si>
  <si>
    <t>CDAPP0941C</t>
  </si>
  <si>
    <t>BLGPC7432Q</t>
  </si>
  <si>
    <t>AMOPP0279N</t>
  </si>
  <si>
    <t>CYOPC9955N</t>
  </si>
  <si>
    <t>BSRPS0157A</t>
  </si>
  <si>
    <t>EBFPK0733Q</t>
  </si>
  <si>
    <t>GVKPS9176N</t>
  </si>
  <si>
    <t>BYLPA8832L</t>
  </si>
  <si>
    <t>AOBPA1302C</t>
  </si>
  <si>
    <t>CVIPA9019G</t>
  </si>
  <si>
    <t>AOBPA1331H</t>
  </si>
  <si>
    <t>MANISHKUMAR MISHRA</t>
  </si>
  <si>
    <t>LALITA DEVI</t>
  </si>
  <si>
    <t xml:space="preserve"> POOJA SHEHZAD KELAWALA</t>
  </si>
  <si>
    <t>EXEPTED FROM AUG-25</t>
  </si>
  <si>
    <t>PARVESHWAR JEET KAUR</t>
  </si>
  <si>
    <t>M. ANURADHA</t>
  </si>
  <si>
    <t>EXEPTED FROM SEP-25</t>
  </si>
  <si>
    <t>EXEPTED FROM OCT-25</t>
  </si>
  <si>
    <t>RAMNANI ASHOK GOPIRAM</t>
  </si>
  <si>
    <t>VICKY SITARAM</t>
  </si>
  <si>
    <t>B.D.E</t>
  </si>
  <si>
    <t>ANIL - M.P.-1</t>
  </si>
  <si>
    <t>ANIL - M.P.-2</t>
  </si>
  <si>
    <t>N.RAVI TEJA</t>
  </si>
  <si>
    <t>EXEPTED FROM NOV-25</t>
  </si>
  <si>
    <t>TUNUGUNTLA VENKATA APPARAO GUPTA</t>
  </si>
  <si>
    <t>COMPANY…</t>
  </si>
  <si>
    <t>AEKU RAJU</t>
  </si>
  <si>
    <t>N.RAKESH</t>
  </si>
  <si>
    <t>EXEPTED FROM FEB-26</t>
  </si>
  <si>
    <t>KANCHAN POKHARKAR</t>
  </si>
  <si>
    <t>EXEPTED FROM MARCH-26</t>
  </si>
  <si>
    <t>NANDINI HERBLE CARE PVT.LTD APRIL.-2026</t>
  </si>
  <si>
    <t>POONAM V. BUNDHELIYA</t>
  </si>
  <si>
    <t>VIRAL D. MAHATMA</t>
  </si>
  <si>
    <t>VARSHABEN J. PATEL</t>
  </si>
  <si>
    <t>NEW-26-27</t>
  </si>
  <si>
    <t>KAILASH MANWANI</t>
  </si>
  <si>
    <t>COMPANY.G</t>
  </si>
  <si>
    <t>25-26</t>
  </si>
  <si>
    <t>24-25</t>
  </si>
  <si>
    <t>LEFT</t>
  </si>
  <si>
    <t>MANISHA KAPIL</t>
  </si>
  <si>
    <t xml:space="preserve">MANJUNATH </t>
  </si>
  <si>
    <t>VISHAL HARNAM</t>
  </si>
  <si>
    <t>RAHUL RAO</t>
  </si>
  <si>
    <t>SARVJEET KAUR</t>
  </si>
  <si>
    <t>EXEPTED FROM APRIL-26</t>
  </si>
  <si>
    <t xml:space="preserve">MANISHA KAPIL </t>
  </si>
  <si>
    <t>MANISHA PAGARE</t>
  </si>
  <si>
    <t>JAGDISH KAPURE</t>
  </si>
  <si>
    <t>NIKHIL PURUSHOTTAM BORKAR</t>
  </si>
  <si>
    <t>ROZY MAMCHAND</t>
  </si>
  <si>
    <t>Z.S.M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</si>
</sst>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mbria"/>
      <family val="1"/>
    </font>
    <font>
      <b/>
      <sz val="18"/>
      <color theme="1"/>
      <name val="Cambria"/>
      <family val="1"/>
    </font>
    <font>
      <b/>
      <sz val="16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b/>
      <u/>
      <sz val="12"/>
      <name val="Cambria"/>
      <family val="1"/>
    </font>
    <font>
      <b/>
      <sz val="12"/>
      <color rgb="FFFF0000"/>
      <name val="Cambria"/>
      <family val="1"/>
    </font>
    <font>
      <sz val="12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b/>
      <sz val="11"/>
      <color rgb="FFFF0000"/>
      <name val="Cambria"/>
      <family val="1"/>
    </font>
    <font>
      <b/>
      <u/>
      <sz val="11"/>
      <name val="Cambria"/>
      <family val="1"/>
    </font>
    <font>
      <sz val="10"/>
      <name val="Cambria"/>
      <family val="1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8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b/>
      <u/>
      <sz val="10"/>
      <name val="Cambria"/>
      <family val="1"/>
    </font>
    <font>
      <sz val="18"/>
      <color theme="1"/>
      <name val="Cambria"/>
      <family val="1"/>
    </font>
    <font>
      <sz val="18"/>
      <name val="Cambria"/>
      <family val="1"/>
    </font>
    <font>
      <sz val="12"/>
      <color theme="1"/>
      <name val="Cambria"/>
      <family val="1"/>
    </font>
    <font>
      <sz val="10"/>
      <color rgb="FF222222"/>
      <name val="Cambria"/>
      <family val="1"/>
    </font>
    <font>
      <sz val="16"/>
      <name val="Cambria"/>
      <family val="1"/>
    </font>
    <font>
      <b/>
      <sz val="12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164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7" xfId="0" applyFont="1" applyBorder="1"/>
    <xf numFmtId="0" fontId="10" fillId="0" borderId="3" xfId="0" applyFont="1" applyBorder="1"/>
    <xf numFmtId="1" fontId="10" fillId="0" borderId="0" xfId="0" applyNumberFormat="1" applyFont="1"/>
    <xf numFmtId="1" fontId="5" fillId="0" borderId="0" xfId="0" applyNumberFormat="1" applyFont="1"/>
    <xf numFmtId="0" fontId="5" fillId="0" borderId="3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164" fontId="11" fillId="0" borderId="10" xfId="0" applyNumberFormat="1" applyFont="1" applyBorder="1"/>
    <xf numFmtId="1" fontId="6" fillId="0" borderId="10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vertical="center"/>
    </xf>
    <xf numFmtId="0" fontId="10" fillId="0" borderId="4" xfId="0" applyFont="1" applyBorder="1"/>
    <xf numFmtId="1" fontId="12" fillId="0" borderId="11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0" fontId="10" fillId="0" borderId="13" xfId="0" applyFont="1" applyBorder="1"/>
    <xf numFmtId="1" fontId="10" fillId="0" borderId="3" xfId="0" applyNumberFormat="1" applyFont="1" applyBorder="1"/>
    <xf numFmtId="0" fontId="5" fillId="0" borderId="0" xfId="0" applyFont="1"/>
    <xf numFmtId="0" fontId="5" fillId="0" borderId="3" xfId="0" applyFont="1" applyBorder="1"/>
    <xf numFmtId="0" fontId="2" fillId="0" borderId="3" xfId="0" applyFont="1" applyBorder="1" applyAlignment="1">
      <alignment horizontal="left" vertical="center"/>
    </xf>
    <xf numFmtId="15" fontId="5" fillId="0" borderId="3" xfId="0" applyNumberFormat="1" applyFont="1" applyBorder="1" applyAlignment="1">
      <alignment horizontal="center" vertical="center"/>
    </xf>
    <xf numFmtId="15" fontId="5" fillId="0" borderId="3" xfId="0" applyNumberFormat="1" applyFont="1" applyBorder="1"/>
    <xf numFmtId="0" fontId="2" fillId="0" borderId="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7" xfId="0" applyFont="1" applyBorder="1"/>
    <xf numFmtId="0" fontId="2" fillId="0" borderId="4" xfId="0" applyFont="1" applyBorder="1"/>
    <xf numFmtId="1" fontId="6" fillId="0" borderId="3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3" fillId="0" borderId="0" xfId="0" applyFont="1"/>
    <xf numFmtId="0" fontId="13" fillId="0" borderId="3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13" fillId="0" borderId="7" xfId="0" applyFont="1" applyBorder="1"/>
    <xf numFmtId="1" fontId="13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/>
    </xf>
    <xf numFmtId="0" fontId="5" fillId="0" borderId="19" xfId="0" applyFont="1" applyBorder="1"/>
    <xf numFmtId="1" fontId="6" fillId="0" borderId="18" xfId="0" applyNumberFormat="1" applyFont="1" applyBorder="1" applyAlignment="1">
      <alignment horizontal="center"/>
    </xf>
    <xf numFmtId="164" fontId="14" fillId="0" borderId="3" xfId="0" quotePrefix="1" applyNumberFormat="1" applyFont="1" applyBorder="1" applyAlignment="1">
      <alignment horizontal="center"/>
    </xf>
    <xf numFmtId="0" fontId="10" fillId="2" borderId="3" xfId="0" applyFont="1" applyFill="1" applyBorder="1"/>
    <xf numFmtId="0" fontId="9" fillId="0" borderId="3" xfId="0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/>
    </xf>
    <xf numFmtId="164" fontId="11" fillId="0" borderId="10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10" fillId="0" borderId="19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4" fillId="0" borderId="3" xfId="0" quotePrefix="1" applyFont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2" fillId="0" borderId="3" xfId="0" applyFont="1" applyBorder="1" applyAlignment="1">
      <alignment vertical="center"/>
    </xf>
    <xf numFmtId="1" fontId="10" fillId="0" borderId="0" xfId="0" applyNumberFormat="1" applyFont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left" vertical="center"/>
    </xf>
    <xf numFmtId="0" fontId="10" fillId="3" borderId="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left" vertical="center"/>
    </xf>
    <xf numFmtId="1" fontId="10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64" fontId="10" fillId="0" borderId="13" xfId="0" applyNumberFormat="1" applyFont="1" applyBorder="1" applyAlignment="1">
      <alignment horizontal="left" vertical="center"/>
    </xf>
    <xf numFmtId="14" fontId="10" fillId="0" borderId="1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4" xfId="0" applyFont="1" applyBorder="1"/>
    <xf numFmtId="0" fontId="14" fillId="0" borderId="3" xfId="0" applyFont="1" applyBorder="1"/>
    <xf numFmtId="0" fontId="5" fillId="0" borderId="1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5" borderId="3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20" fillId="0" borderId="3" xfId="0" applyNumberFormat="1" applyFont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/>
    </xf>
    <xf numFmtId="1" fontId="20" fillId="0" borderId="0" xfId="0" applyNumberFormat="1" applyFont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/>
    </xf>
    <xf numFmtId="0" fontId="5" fillId="0" borderId="3" xfId="0" quotePrefix="1" applyFont="1" applyBorder="1"/>
    <xf numFmtId="1" fontId="6" fillId="0" borderId="3" xfId="0" quotePrefix="1" applyNumberFormat="1" applyFont="1" applyBorder="1" applyAlignment="1">
      <alignment horizontal="left"/>
    </xf>
    <xf numFmtId="1" fontId="6" fillId="0" borderId="14" xfId="0" applyNumberFormat="1" applyFont="1" applyBorder="1" applyAlignment="1">
      <alignment horizontal="center"/>
    </xf>
    <xf numFmtId="1" fontId="6" fillId="0" borderId="3" xfId="0" quotePrefix="1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/>
    <xf numFmtId="0" fontId="5" fillId="2" borderId="3" xfId="0" quotePrefix="1" applyFont="1" applyFill="1" applyBorder="1"/>
    <xf numFmtId="1" fontId="6" fillId="2" borderId="3" xfId="0" quotePrefix="1" applyNumberFormat="1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" fontId="8" fillId="0" borderId="1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15" fontId="10" fillId="0" borderId="3" xfId="0" applyNumberFormat="1" applyFont="1" applyBorder="1" applyAlignment="1">
      <alignment horizontal="center" vertical="center"/>
    </xf>
    <xf numFmtId="15" fontId="10" fillId="0" borderId="3" xfId="0" applyNumberFormat="1" applyFont="1" applyBorder="1"/>
    <xf numFmtId="1" fontId="14" fillId="0" borderId="3" xfId="0" applyNumberFormat="1" applyFont="1" applyBorder="1" applyAlignment="1">
      <alignment horizontal="center" vertical="center"/>
    </xf>
    <xf numFmtId="1" fontId="26" fillId="0" borderId="3" xfId="0" applyNumberFormat="1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1" fontId="8" fillId="0" borderId="29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3" xfId="0" applyFont="1" applyBorder="1"/>
    <xf numFmtId="0" fontId="18" fillId="0" borderId="3" xfId="0" applyFont="1" applyBorder="1"/>
    <xf numFmtId="0" fontId="2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10" xfId="0" applyFont="1" applyBorder="1"/>
    <xf numFmtId="0" fontId="6" fillId="11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2">
    <cellStyle name="Normal" xfId="0" builtinId="0"/>
    <cellStyle name="Normal 2 10" xfId="1" xr:uid="{91F31CC6-8F8A-4232-ACAA-9F2B88956A7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198"/>
  <sheetViews>
    <sheetView tabSelected="1" topLeftCell="G1" zoomScale="85" zoomScaleNormal="85" workbookViewId="0">
      <selection activeCell="Q29" sqref="Q29"/>
    </sheetView>
  </sheetViews>
  <sheetFormatPr defaultRowHeight="22.5" outlineLevelCol="1" x14ac:dyDescent="0.3"/>
  <cols>
    <col min="1" max="1" width="7.7109375" style="14" customWidth="1"/>
    <col min="2" max="3" width="12.140625" style="106" hidden="1" customWidth="1"/>
    <col min="4" max="4" width="12.140625" style="139" hidden="1" customWidth="1"/>
    <col min="5" max="5" width="24" style="14" customWidth="1"/>
    <col min="6" max="6" width="22.7109375" style="106" customWidth="1"/>
    <col min="7" max="7" width="16.42578125" style="76" customWidth="1"/>
    <col min="8" max="8" width="12.140625" style="14" customWidth="1"/>
    <col min="9" max="9" width="16" style="14" customWidth="1"/>
    <col min="10" max="10" width="7.42578125" style="14" customWidth="1"/>
    <col min="11" max="11" width="30.28515625" style="90" customWidth="1"/>
    <col min="12" max="12" width="34" style="14" customWidth="1"/>
    <col min="13" max="13" width="17.7109375" style="76" customWidth="1"/>
    <col min="14" max="14" width="12.7109375" style="76" customWidth="1"/>
    <col min="15" max="17" width="12" style="76" customWidth="1"/>
    <col min="18" max="20" width="12" style="14" customWidth="1"/>
    <col min="21" max="23" width="8.85546875" style="14" customWidth="1"/>
    <col min="24" max="24" width="8.5703125" style="14" customWidth="1"/>
    <col min="25" max="25" width="14.140625" style="14" customWidth="1"/>
    <col min="26" max="26" width="8.5703125" style="14" customWidth="1"/>
    <col min="27" max="27" width="11.85546875" style="14" customWidth="1"/>
    <col min="28" max="28" width="11.42578125" style="14" customWidth="1"/>
    <col min="29" max="29" width="10.140625" style="14" customWidth="1"/>
    <col min="30" max="32" width="8.5703125" style="14" customWidth="1"/>
    <col min="33" max="33" width="10.7109375" style="14" customWidth="1"/>
    <col min="34" max="34" width="7.5703125" style="14" customWidth="1"/>
    <col min="35" max="39" width="12" style="14" customWidth="1"/>
    <col min="40" max="40" width="11.42578125" style="14" customWidth="1"/>
    <col min="41" max="41" width="15" style="14" hidden="1" customWidth="1"/>
    <col min="42" max="42" width="19.85546875" style="14" hidden="1" customWidth="1"/>
    <col min="43" max="43" width="19.85546875" style="50" hidden="1" customWidth="1"/>
    <col min="44" max="44" width="19" style="14" hidden="1" customWidth="1"/>
    <col min="45" max="45" width="12.42578125" style="14" hidden="1" customWidth="1"/>
    <col min="46" max="46" width="14.140625" style="14" hidden="1" customWidth="1"/>
    <col min="47" max="47" width="28.140625" style="14" hidden="1" customWidth="1" outlineLevel="1"/>
    <col min="48" max="48" width="6.5703125" style="76" hidden="1" customWidth="1" outlineLevel="1"/>
    <col min="49" max="49" width="5.28515625" style="14" hidden="1" customWidth="1" outlineLevel="1"/>
    <col min="50" max="50" width="10.28515625" style="14" hidden="1" customWidth="1" outlineLevel="1"/>
    <col min="51" max="51" width="11.7109375" style="14" hidden="1" customWidth="1" outlineLevel="1"/>
    <col min="52" max="52" width="11.42578125" style="14" hidden="1" customWidth="1" outlineLevel="1"/>
    <col min="53" max="53" width="11.28515625" style="14" hidden="1" customWidth="1" outlineLevel="1"/>
    <col min="54" max="54" width="0.140625" style="14" customWidth="1" collapsed="1"/>
    <col min="55" max="55" width="12.28515625" style="149" customWidth="1"/>
    <col min="56" max="56" width="12" style="14" customWidth="1"/>
    <col min="57" max="229" width="9.140625" style="14"/>
    <col min="230" max="231" width="9.140625" style="14" customWidth="1"/>
    <col min="232" max="232" width="8.5703125" style="14" customWidth="1"/>
    <col min="233" max="233" width="11.7109375" style="14" customWidth="1"/>
    <col min="234" max="234" width="19.28515625" style="14" customWidth="1"/>
    <col min="235" max="235" width="13.140625" style="14" customWidth="1"/>
    <col min="236" max="237" width="11.5703125" style="14" customWidth="1"/>
    <col min="238" max="238" width="5.7109375" style="14" customWidth="1"/>
    <col min="239" max="239" width="28.7109375" style="14" customWidth="1"/>
    <col min="240" max="240" width="40.5703125" style="14" customWidth="1"/>
    <col min="241" max="241" width="13.28515625" style="14" customWidth="1"/>
    <col min="242" max="242" width="14" style="14" customWidth="1"/>
    <col min="243" max="245" width="13.140625" style="14" customWidth="1"/>
    <col min="246" max="246" width="10.28515625" style="14" customWidth="1"/>
    <col min="247" max="248" width="13.5703125" style="14" customWidth="1"/>
    <col min="249" max="249" width="7.140625" style="14" customWidth="1"/>
    <col min="250" max="250" width="5.7109375" style="14" customWidth="1"/>
    <col min="251" max="251" width="6.42578125" style="14" customWidth="1"/>
    <col min="252" max="252" width="6.5703125" style="14" customWidth="1"/>
    <col min="253" max="256" width="9.140625" style="14" customWidth="1"/>
    <col min="257" max="257" width="7.7109375" style="14" customWidth="1"/>
    <col min="258" max="258" width="9.140625" style="14" customWidth="1"/>
    <col min="259" max="259" width="7.85546875" style="14" customWidth="1"/>
    <col min="260" max="260" width="9.140625" style="14" customWidth="1"/>
    <col min="261" max="261" width="8.7109375" style="14" customWidth="1"/>
    <col min="262" max="267" width="9.140625" style="14" customWidth="1"/>
    <col min="268" max="268" width="11.42578125" style="14" customWidth="1"/>
    <col min="269" max="281" width="9.140625" style="14" customWidth="1"/>
    <col min="282" max="282" width="11.140625" style="14" customWidth="1"/>
    <col min="283" max="485" width="9.140625" style="14"/>
    <col min="486" max="487" width="9.140625" style="14" customWidth="1"/>
    <col min="488" max="488" width="8.5703125" style="14" customWidth="1"/>
    <col min="489" max="489" width="11.7109375" style="14" customWidth="1"/>
    <col min="490" max="490" width="19.28515625" style="14" customWidth="1"/>
    <col min="491" max="491" width="13.140625" style="14" customWidth="1"/>
    <col min="492" max="493" width="11.5703125" style="14" customWidth="1"/>
    <col min="494" max="494" width="5.7109375" style="14" customWidth="1"/>
    <col min="495" max="495" width="28.7109375" style="14" customWidth="1"/>
    <col min="496" max="496" width="40.5703125" style="14" customWidth="1"/>
    <col min="497" max="497" width="13.28515625" style="14" customWidth="1"/>
    <col min="498" max="498" width="14" style="14" customWidth="1"/>
    <col min="499" max="501" width="13.140625" style="14" customWidth="1"/>
    <col min="502" max="502" width="10.28515625" style="14" customWidth="1"/>
    <col min="503" max="504" width="13.5703125" style="14" customWidth="1"/>
    <col min="505" max="505" width="7.140625" style="14" customWidth="1"/>
    <col min="506" max="506" width="5.7109375" style="14" customWidth="1"/>
    <col min="507" max="507" width="6.42578125" style="14" customWidth="1"/>
    <col min="508" max="508" width="6.5703125" style="14" customWidth="1"/>
    <col min="509" max="512" width="9.140625" style="14" customWidth="1"/>
    <col min="513" max="513" width="7.7109375" style="14" customWidth="1"/>
    <col min="514" max="514" width="9.140625" style="14" customWidth="1"/>
    <col min="515" max="515" width="7.85546875" style="14" customWidth="1"/>
    <col min="516" max="516" width="9.140625" style="14" customWidth="1"/>
    <col min="517" max="517" width="8.7109375" style="14" customWidth="1"/>
    <col min="518" max="523" width="9.140625" style="14" customWidth="1"/>
    <col min="524" max="524" width="11.42578125" style="14" customWidth="1"/>
    <col min="525" max="537" width="9.140625" style="14" customWidth="1"/>
    <col min="538" max="538" width="11.140625" style="14" customWidth="1"/>
    <col min="539" max="741" width="9.140625" style="14"/>
    <col min="742" max="743" width="9.140625" style="14" customWidth="1"/>
    <col min="744" max="744" width="8.5703125" style="14" customWidth="1"/>
    <col min="745" max="745" width="11.7109375" style="14" customWidth="1"/>
    <col min="746" max="746" width="19.28515625" style="14" customWidth="1"/>
    <col min="747" max="747" width="13.140625" style="14" customWidth="1"/>
    <col min="748" max="749" width="11.5703125" style="14" customWidth="1"/>
    <col min="750" max="750" width="5.7109375" style="14" customWidth="1"/>
    <col min="751" max="751" width="28.7109375" style="14" customWidth="1"/>
    <col min="752" max="752" width="40.5703125" style="14" customWidth="1"/>
    <col min="753" max="753" width="13.28515625" style="14" customWidth="1"/>
    <col min="754" max="754" width="14" style="14" customWidth="1"/>
    <col min="755" max="757" width="13.140625" style="14" customWidth="1"/>
    <col min="758" max="758" width="10.28515625" style="14" customWidth="1"/>
    <col min="759" max="760" width="13.5703125" style="14" customWidth="1"/>
    <col min="761" max="761" width="7.140625" style="14" customWidth="1"/>
    <col min="762" max="762" width="5.7109375" style="14" customWidth="1"/>
    <col min="763" max="763" width="6.42578125" style="14" customWidth="1"/>
    <col min="764" max="764" width="6.5703125" style="14" customWidth="1"/>
    <col min="765" max="768" width="9.140625" style="14" customWidth="1"/>
    <col min="769" max="769" width="7.7109375" style="14" customWidth="1"/>
    <col min="770" max="770" width="9.140625" style="14" customWidth="1"/>
    <col min="771" max="771" width="7.85546875" style="14" customWidth="1"/>
    <col min="772" max="772" width="9.140625" style="14" customWidth="1"/>
    <col min="773" max="773" width="8.7109375" style="14" customWidth="1"/>
    <col min="774" max="779" width="9.140625" style="14" customWidth="1"/>
    <col min="780" max="780" width="11.42578125" style="14" customWidth="1"/>
    <col min="781" max="793" width="9.140625" style="14" customWidth="1"/>
    <col min="794" max="794" width="11.140625" style="14" customWidth="1"/>
    <col min="795" max="997" width="9.140625" style="14"/>
    <col min="998" max="999" width="9.140625" style="14" customWidth="1"/>
    <col min="1000" max="1000" width="8.5703125" style="14" customWidth="1"/>
    <col min="1001" max="1001" width="11.7109375" style="14" customWidth="1"/>
    <col min="1002" max="1002" width="19.28515625" style="14" customWidth="1"/>
    <col min="1003" max="1003" width="13.140625" style="14" customWidth="1"/>
    <col min="1004" max="1005" width="11.5703125" style="14" customWidth="1"/>
    <col min="1006" max="1006" width="5.7109375" style="14" customWidth="1"/>
    <col min="1007" max="1007" width="28.7109375" style="14" customWidth="1"/>
    <col min="1008" max="1008" width="40.5703125" style="14" customWidth="1"/>
    <col min="1009" max="1009" width="13.28515625" style="14" customWidth="1"/>
    <col min="1010" max="1010" width="14" style="14" customWidth="1"/>
    <col min="1011" max="1013" width="13.140625" style="14" customWidth="1"/>
    <col min="1014" max="1014" width="10.28515625" style="14" customWidth="1"/>
    <col min="1015" max="1016" width="13.5703125" style="14" customWidth="1"/>
    <col min="1017" max="1017" width="7.140625" style="14" customWidth="1"/>
    <col min="1018" max="1018" width="5.7109375" style="14" customWidth="1"/>
    <col min="1019" max="1019" width="6.42578125" style="14" customWidth="1"/>
    <col min="1020" max="1020" width="6.5703125" style="14" customWidth="1"/>
    <col min="1021" max="1024" width="9.140625" style="14" customWidth="1"/>
    <col min="1025" max="1025" width="7.7109375" style="14" customWidth="1"/>
    <col min="1026" max="1026" width="9.140625" style="14" customWidth="1"/>
    <col min="1027" max="1027" width="7.85546875" style="14" customWidth="1"/>
    <col min="1028" max="1028" width="9.140625" style="14" customWidth="1"/>
    <col min="1029" max="1029" width="8.7109375" style="14" customWidth="1"/>
    <col min="1030" max="1035" width="9.140625" style="14" customWidth="1"/>
    <col min="1036" max="1036" width="11.42578125" style="14" customWidth="1"/>
    <col min="1037" max="1049" width="9.140625" style="14" customWidth="1"/>
    <col min="1050" max="1050" width="11.140625" style="14" customWidth="1"/>
    <col min="1051" max="1253" width="9.140625" style="14"/>
    <col min="1254" max="1255" width="9.140625" style="14" customWidth="1"/>
    <col min="1256" max="1256" width="8.5703125" style="14" customWidth="1"/>
    <col min="1257" max="1257" width="11.7109375" style="14" customWidth="1"/>
    <col min="1258" max="1258" width="19.28515625" style="14" customWidth="1"/>
    <col min="1259" max="1259" width="13.140625" style="14" customWidth="1"/>
    <col min="1260" max="1261" width="11.5703125" style="14" customWidth="1"/>
    <col min="1262" max="1262" width="5.7109375" style="14" customWidth="1"/>
    <col min="1263" max="1263" width="28.7109375" style="14" customWidth="1"/>
    <col min="1264" max="1264" width="40.5703125" style="14" customWidth="1"/>
    <col min="1265" max="1265" width="13.28515625" style="14" customWidth="1"/>
    <col min="1266" max="1266" width="14" style="14" customWidth="1"/>
    <col min="1267" max="1269" width="13.140625" style="14" customWidth="1"/>
    <col min="1270" max="1270" width="10.28515625" style="14" customWidth="1"/>
    <col min="1271" max="1272" width="13.5703125" style="14" customWidth="1"/>
    <col min="1273" max="1273" width="7.140625" style="14" customWidth="1"/>
    <col min="1274" max="1274" width="5.7109375" style="14" customWidth="1"/>
    <col min="1275" max="1275" width="6.42578125" style="14" customWidth="1"/>
    <col min="1276" max="1276" width="6.5703125" style="14" customWidth="1"/>
    <col min="1277" max="1280" width="9.140625" style="14" customWidth="1"/>
    <col min="1281" max="1281" width="7.7109375" style="14" customWidth="1"/>
    <col min="1282" max="1282" width="9.140625" style="14" customWidth="1"/>
    <col min="1283" max="1283" width="7.85546875" style="14" customWidth="1"/>
    <col min="1284" max="1284" width="9.140625" style="14" customWidth="1"/>
    <col min="1285" max="1285" width="8.7109375" style="14" customWidth="1"/>
    <col min="1286" max="1291" width="9.140625" style="14" customWidth="1"/>
    <col min="1292" max="1292" width="11.42578125" style="14" customWidth="1"/>
    <col min="1293" max="1305" width="9.140625" style="14" customWidth="1"/>
    <col min="1306" max="1306" width="11.140625" style="14" customWidth="1"/>
    <col min="1307" max="1509" width="9.140625" style="14"/>
    <col min="1510" max="1511" width="9.140625" style="14" customWidth="1"/>
    <col min="1512" max="1512" width="8.5703125" style="14" customWidth="1"/>
    <col min="1513" max="1513" width="11.7109375" style="14" customWidth="1"/>
    <col min="1514" max="1514" width="19.28515625" style="14" customWidth="1"/>
    <col min="1515" max="1515" width="13.140625" style="14" customWidth="1"/>
    <col min="1516" max="1517" width="11.5703125" style="14" customWidth="1"/>
    <col min="1518" max="1518" width="5.7109375" style="14" customWidth="1"/>
    <col min="1519" max="1519" width="28.7109375" style="14" customWidth="1"/>
    <col min="1520" max="1520" width="40.5703125" style="14" customWidth="1"/>
    <col min="1521" max="1521" width="13.28515625" style="14" customWidth="1"/>
    <col min="1522" max="1522" width="14" style="14" customWidth="1"/>
    <col min="1523" max="1525" width="13.140625" style="14" customWidth="1"/>
    <col min="1526" max="1526" width="10.28515625" style="14" customWidth="1"/>
    <col min="1527" max="1528" width="13.5703125" style="14" customWidth="1"/>
    <col min="1529" max="1529" width="7.140625" style="14" customWidth="1"/>
    <col min="1530" max="1530" width="5.7109375" style="14" customWidth="1"/>
    <col min="1531" max="1531" width="6.42578125" style="14" customWidth="1"/>
    <col min="1532" max="1532" width="6.5703125" style="14" customWidth="1"/>
    <col min="1533" max="1536" width="9.140625" style="14" customWidth="1"/>
    <col min="1537" max="1537" width="7.7109375" style="14" customWidth="1"/>
    <col min="1538" max="1538" width="9.140625" style="14" customWidth="1"/>
    <col min="1539" max="1539" width="7.85546875" style="14" customWidth="1"/>
    <col min="1540" max="1540" width="9.140625" style="14" customWidth="1"/>
    <col min="1541" max="1541" width="8.7109375" style="14" customWidth="1"/>
    <col min="1542" max="1547" width="9.140625" style="14" customWidth="1"/>
    <col min="1548" max="1548" width="11.42578125" style="14" customWidth="1"/>
    <col min="1549" max="1561" width="9.140625" style="14" customWidth="1"/>
    <col min="1562" max="1562" width="11.140625" style="14" customWidth="1"/>
    <col min="1563" max="1765" width="9.140625" style="14"/>
    <col min="1766" max="1767" width="9.140625" style="14" customWidth="1"/>
    <col min="1768" max="1768" width="8.5703125" style="14" customWidth="1"/>
    <col min="1769" max="1769" width="11.7109375" style="14" customWidth="1"/>
    <col min="1770" max="1770" width="19.28515625" style="14" customWidth="1"/>
    <col min="1771" max="1771" width="13.140625" style="14" customWidth="1"/>
    <col min="1772" max="1773" width="11.5703125" style="14" customWidth="1"/>
    <col min="1774" max="1774" width="5.7109375" style="14" customWidth="1"/>
    <col min="1775" max="1775" width="28.7109375" style="14" customWidth="1"/>
    <col min="1776" max="1776" width="40.5703125" style="14" customWidth="1"/>
    <col min="1777" max="1777" width="13.28515625" style="14" customWidth="1"/>
    <col min="1778" max="1778" width="14" style="14" customWidth="1"/>
    <col min="1779" max="1781" width="13.140625" style="14" customWidth="1"/>
    <col min="1782" max="1782" width="10.28515625" style="14" customWidth="1"/>
    <col min="1783" max="1784" width="13.5703125" style="14" customWidth="1"/>
    <col min="1785" max="1785" width="7.140625" style="14" customWidth="1"/>
    <col min="1786" max="1786" width="5.7109375" style="14" customWidth="1"/>
    <col min="1787" max="1787" width="6.42578125" style="14" customWidth="1"/>
    <col min="1788" max="1788" width="6.5703125" style="14" customWidth="1"/>
    <col min="1789" max="1792" width="9.140625" style="14" customWidth="1"/>
    <col min="1793" max="1793" width="7.7109375" style="14" customWidth="1"/>
    <col min="1794" max="1794" width="9.140625" style="14" customWidth="1"/>
    <col min="1795" max="1795" width="7.85546875" style="14" customWidth="1"/>
    <col min="1796" max="1796" width="9.140625" style="14" customWidth="1"/>
    <col min="1797" max="1797" width="8.7109375" style="14" customWidth="1"/>
    <col min="1798" max="1803" width="9.140625" style="14" customWidth="1"/>
    <col min="1804" max="1804" width="11.42578125" style="14" customWidth="1"/>
    <col min="1805" max="1817" width="9.140625" style="14" customWidth="1"/>
    <col min="1818" max="1818" width="11.140625" style="14" customWidth="1"/>
    <col min="1819" max="2021" width="9.140625" style="14"/>
    <col min="2022" max="2023" width="9.140625" style="14" customWidth="1"/>
    <col min="2024" max="2024" width="8.5703125" style="14" customWidth="1"/>
    <col min="2025" max="2025" width="11.7109375" style="14" customWidth="1"/>
    <col min="2026" max="2026" width="19.28515625" style="14" customWidth="1"/>
    <col min="2027" max="2027" width="13.140625" style="14" customWidth="1"/>
    <col min="2028" max="2029" width="11.5703125" style="14" customWidth="1"/>
    <col min="2030" max="2030" width="5.7109375" style="14" customWidth="1"/>
    <col min="2031" max="2031" width="28.7109375" style="14" customWidth="1"/>
    <col min="2032" max="2032" width="40.5703125" style="14" customWidth="1"/>
    <col min="2033" max="2033" width="13.28515625" style="14" customWidth="1"/>
    <col min="2034" max="2034" width="14" style="14" customWidth="1"/>
    <col min="2035" max="2037" width="13.140625" style="14" customWidth="1"/>
    <col min="2038" max="2038" width="10.28515625" style="14" customWidth="1"/>
    <col min="2039" max="2040" width="13.5703125" style="14" customWidth="1"/>
    <col min="2041" max="2041" width="7.140625" style="14" customWidth="1"/>
    <col min="2042" max="2042" width="5.7109375" style="14" customWidth="1"/>
    <col min="2043" max="2043" width="6.42578125" style="14" customWidth="1"/>
    <col min="2044" max="2044" width="6.5703125" style="14" customWidth="1"/>
    <col min="2045" max="2048" width="9.140625" style="14" customWidth="1"/>
    <col min="2049" max="2049" width="7.7109375" style="14" customWidth="1"/>
    <col min="2050" max="2050" width="9.140625" style="14" customWidth="1"/>
    <col min="2051" max="2051" width="7.85546875" style="14" customWidth="1"/>
    <col min="2052" max="2052" width="9.140625" style="14" customWidth="1"/>
    <col min="2053" max="2053" width="8.7109375" style="14" customWidth="1"/>
    <col min="2054" max="2059" width="9.140625" style="14" customWidth="1"/>
    <col min="2060" max="2060" width="11.42578125" style="14" customWidth="1"/>
    <col min="2061" max="2073" width="9.140625" style="14" customWidth="1"/>
    <col min="2074" max="2074" width="11.140625" style="14" customWidth="1"/>
    <col min="2075" max="2277" width="9.140625" style="14"/>
    <col min="2278" max="2279" width="9.140625" style="14" customWidth="1"/>
    <col min="2280" max="2280" width="8.5703125" style="14" customWidth="1"/>
    <col min="2281" max="2281" width="11.7109375" style="14" customWidth="1"/>
    <col min="2282" max="2282" width="19.28515625" style="14" customWidth="1"/>
    <col min="2283" max="2283" width="13.140625" style="14" customWidth="1"/>
    <col min="2284" max="2285" width="11.5703125" style="14" customWidth="1"/>
    <col min="2286" max="2286" width="5.7109375" style="14" customWidth="1"/>
    <col min="2287" max="2287" width="28.7109375" style="14" customWidth="1"/>
    <col min="2288" max="2288" width="40.5703125" style="14" customWidth="1"/>
    <col min="2289" max="2289" width="13.28515625" style="14" customWidth="1"/>
    <col min="2290" max="2290" width="14" style="14" customWidth="1"/>
    <col min="2291" max="2293" width="13.140625" style="14" customWidth="1"/>
    <col min="2294" max="2294" width="10.28515625" style="14" customWidth="1"/>
    <col min="2295" max="2296" width="13.5703125" style="14" customWidth="1"/>
    <col min="2297" max="2297" width="7.140625" style="14" customWidth="1"/>
    <col min="2298" max="2298" width="5.7109375" style="14" customWidth="1"/>
    <col min="2299" max="2299" width="6.42578125" style="14" customWidth="1"/>
    <col min="2300" max="2300" width="6.5703125" style="14" customWidth="1"/>
    <col min="2301" max="2304" width="9.140625" style="14" customWidth="1"/>
    <col min="2305" max="2305" width="7.7109375" style="14" customWidth="1"/>
    <col min="2306" max="2306" width="9.140625" style="14" customWidth="1"/>
    <col min="2307" max="2307" width="7.85546875" style="14" customWidth="1"/>
    <col min="2308" max="2308" width="9.140625" style="14" customWidth="1"/>
    <col min="2309" max="2309" width="8.7109375" style="14" customWidth="1"/>
    <col min="2310" max="2315" width="9.140625" style="14" customWidth="1"/>
    <col min="2316" max="2316" width="11.42578125" style="14" customWidth="1"/>
    <col min="2317" max="2329" width="9.140625" style="14" customWidth="1"/>
    <col min="2330" max="2330" width="11.140625" style="14" customWidth="1"/>
    <col min="2331" max="2533" width="9.140625" style="14"/>
    <col min="2534" max="2535" width="9.140625" style="14" customWidth="1"/>
    <col min="2536" max="2536" width="8.5703125" style="14" customWidth="1"/>
    <col min="2537" max="2537" width="11.7109375" style="14" customWidth="1"/>
    <col min="2538" max="2538" width="19.28515625" style="14" customWidth="1"/>
    <col min="2539" max="2539" width="13.140625" style="14" customWidth="1"/>
    <col min="2540" max="2541" width="11.5703125" style="14" customWidth="1"/>
    <col min="2542" max="2542" width="5.7109375" style="14" customWidth="1"/>
    <col min="2543" max="2543" width="28.7109375" style="14" customWidth="1"/>
    <col min="2544" max="2544" width="40.5703125" style="14" customWidth="1"/>
    <col min="2545" max="2545" width="13.28515625" style="14" customWidth="1"/>
    <col min="2546" max="2546" width="14" style="14" customWidth="1"/>
    <col min="2547" max="2549" width="13.140625" style="14" customWidth="1"/>
    <col min="2550" max="2550" width="10.28515625" style="14" customWidth="1"/>
    <col min="2551" max="2552" width="13.5703125" style="14" customWidth="1"/>
    <col min="2553" max="2553" width="7.140625" style="14" customWidth="1"/>
    <col min="2554" max="2554" width="5.7109375" style="14" customWidth="1"/>
    <col min="2555" max="2555" width="6.42578125" style="14" customWidth="1"/>
    <col min="2556" max="2556" width="6.5703125" style="14" customWidth="1"/>
    <col min="2557" max="2560" width="9.140625" style="14" customWidth="1"/>
    <col min="2561" max="2561" width="7.7109375" style="14" customWidth="1"/>
    <col min="2562" max="2562" width="9.140625" style="14" customWidth="1"/>
    <col min="2563" max="2563" width="7.85546875" style="14" customWidth="1"/>
    <col min="2564" max="2564" width="9.140625" style="14" customWidth="1"/>
    <col min="2565" max="2565" width="8.7109375" style="14" customWidth="1"/>
    <col min="2566" max="2571" width="9.140625" style="14" customWidth="1"/>
    <col min="2572" max="2572" width="11.42578125" style="14" customWidth="1"/>
    <col min="2573" max="2585" width="9.140625" style="14" customWidth="1"/>
    <col min="2586" max="2586" width="11.140625" style="14" customWidth="1"/>
    <col min="2587" max="2789" width="9.140625" style="14"/>
    <col min="2790" max="2791" width="9.140625" style="14" customWidth="1"/>
    <col min="2792" max="2792" width="8.5703125" style="14" customWidth="1"/>
    <col min="2793" max="2793" width="11.7109375" style="14" customWidth="1"/>
    <col min="2794" max="2794" width="19.28515625" style="14" customWidth="1"/>
    <col min="2795" max="2795" width="13.140625" style="14" customWidth="1"/>
    <col min="2796" max="2797" width="11.5703125" style="14" customWidth="1"/>
    <col min="2798" max="2798" width="5.7109375" style="14" customWidth="1"/>
    <col min="2799" max="2799" width="28.7109375" style="14" customWidth="1"/>
    <col min="2800" max="2800" width="40.5703125" style="14" customWidth="1"/>
    <col min="2801" max="2801" width="13.28515625" style="14" customWidth="1"/>
    <col min="2802" max="2802" width="14" style="14" customWidth="1"/>
    <col min="2803" max="2805" width="13.140625" style="14" customWidth="1"/>
    <col min="2806" max="2806" width="10.28515625" style="14" customWidth="1"/>
    <col min="2807" max="2808" width="13.5703125" style="14" customWidth="1"/>
    <col min="2809" max="2809" width="7.140625" style="14" customWidth="1"/>
    <col min="2810" max="2810" width="5.7109375" style="14" customWidth="1"/>
    <col min="2811" max="2811" width="6.42578125" style="14" customWidth="1"/>
    <col min="2812" max="2812" width="6.5703125" style="14" customWidth="1"/>
    <col min="2813" max="2816" width="9.140625" style="14" customWidth="1"/>
    <col min="2817" max="2817" width="7.7109375" style="14" customWidth="1"/>
    <col min="2818" max="2818" width="9.140625" style="14" customWidth="1"/>
    <col min="2819" max="2819" width="7.85546875" style="14" customWidth="1"/>
    <col min="2820" max="2820" width="9.140625" style="14" customWidth="1"/>
    <col min="2821" max="2821" width="8.7109375" style="14" customWidth="1"/>
    <col min="2822" max="2827" width="9.140625" style="14" customWidth="1"/>
    <col min="2828" max="2828" width="11.42578125" style="14" customWidth="1"/>
    <col min="2829" max="2841" width="9.140625" style="14" customWidth="1"/>
    <col min="2842" max="2842" width="11.140625" style="14" customWidth="1"/>
    <col min="2843" max="3045" width="9.140625" style="14"/>
    <col min="3046" max="3047" width="9.140625" style="14" customWidth="1"/>
    <col min="3048" max="3048" width="8.5703125" style="14" customWidth="1"/>
    <col min="3049" max="3049" width="11.7109375" style="14" customWidth="1"/>
    <col min="3050" max="3050" width="19.28515625" style="14" customWidth="1"/>
    <col min="3051" max="3051" width="13.140625" style="14" customWidth="1"/>
    <col min="3052" max="3053" width="11.5703125" style="14" customWidth="1"/>
    <col min="3054" max="3054" width="5.7109375" style="14" customWidth="1"/>
    <col min="3055" max="3055" width="28.7109375" style="14" customWidth="1"/>
    <col min="3056" max="3056" width="40.5703125" style="14" customWidth="1"/>
    <col min="3057" max="3057" width="13.28515625" style="14" customWidth="1"/>
    <col min="3058" max="3058" width="14" style="14" customWidth="1"/>
    <col min="3059" max="3061" width="13.140625" style="14" customWidth="1"/>
    <col min="3062" max="3062" width="10.28515625" style="14" customWidth="1"/>
    <col min="3063" max="3064" width="13.5703125" style="14" customWidth="1"/>
    <col min="3065" max="3065" width="7.140625" style="14" customWidth="1"/>
    <col min="3066" max="3066" width="5.7109375" style="14" customWidth="1"/>
    <col min="3067" max="3067" width="6.42578125" style="14" customWidth="1"/>
    <col min="3068" max="3068" width="6.5703125" style="14" customWidth="1"/>
    <col min="3069" max="3072" width="9.140625" style="14" customWidth="1"/>
    <col min="3073" max="3073" width="7.7109375" style="14" customWidth="1"/>
    <col min="3074" max="3074" width="9.140625" style="14" customWidth="1"/>
    <col min="3075" max="3075" width="7.85546875" style="14" customWidth="1"/>
    <col min="3076" max="3076" width="9.140625" style="14" customWidth="1"/>
    <col min="3077" max="3077" width="8.7109375" style="14" customWidth="1"/>
    <col min="3078" max="3083" width="9.140625" style="14" customWidth="1"/>
    <col min="3084" max="3084" width="11.42578125" style="14" customWidth="1"/>
    <col min="3085" max="3097" width="9.140625" style="14" customWidth="1"/>
    <col min="3098" max="3098" width="11.140625" style="14" customWidth="1"/>
    <col min="3099" max="3301" width="9.140625" style="14"/>
    <col min="3302" max="3303" width="9.140625" style="14" customWidth="1"/>
    <col min="3304" max="3304" width="8.5703125" style="14" customWidth="1"/>
    <col min="3305" max="3305" width="11.7109375" style="14" customWidth="1"/>
    <col min="3306" max="3306" width="19.28515625" style="14" customWidth="1"/>
    <col min="3307" max="3307" width="13.140625" style="14" customWidth="1"/>
    <col min="3308" max="3309" width="11.5703125" style="14" customWidth="1"/>
    <col min="3310" max="3310" width="5.7109375" style="14" customWidth="1"/>
    <col min="3311" max="3311" width="28.7109375" style="14" customWidth="1"/>
    <col min="3312" max="3312" width="40.5703125" style="14" customWidth="1"/>
    <col min="3313" max="3313" width="13.28515625" style="14" customWidth="1"/>
    <col min="3314" max="3314" width="14" style="14" customWidth="1"/>
    <col min="3315" max="3317" width="13.140625" style="14" customWidth="1"/>
    <col min="3318" max="3318" width="10.28515625" style="14" customWidth="1"/>
    <col min="3319" max="3320" width="13.5703125" style="14" customWidth="1"/>
    <col min="3321" max="3321" width="7.140625" style="14" customWidth="1"/>
    <col min="3322" max="3322" width="5.7109375" style="14" customWidth="1"/>
    <col min="3323" max="3323" width="6.42578125" style="14" customWidth="1"/>
    <col min="3324" max="3324" width="6.5703125" style="14" customWidth="1"/>
    <col min="3325" max="3328" width="9.140625" style="14" customWidth="1"/>
    <col min="3329" max="3329" width="7.7109375" style="14" customWidth="1"/>
    <col min="3330" max="3330" width="9.140625" style="14" customWidth="1"/>
    <col min="3331" max="3331" width="7.85546875" style="14" customWidth="1"/>
    <col min="3332" max="3332" width="9.140625" style="14" customWidth="1"/>
    <col min="3333" max="3333" width="8.7109375" style="14" customWidth="1"/>
    <col min="3334" max="3339" width="9.140625" style="14" customWidth="1"/>
    <col min="3340" max="3340" width="11.42578125" style="14" customWidth="1"/>
    <col min="3341" max="3353" width="9.140625" style="14" customWidth="1"/>
    <col min="3354" max="3354" width="11.140625" style="14" customWidth="1"/>
    <col min="3355" max="3557" width="9.140625" style="14"/>
    <col min="3558" max="3559" width="9.140625" style="14" customWidth="1"/>
    <col min="3560" max="3560" width="8.5703125" style="14" customWidth="1"/>
    <col min="3561" max="3561" width="11.7109375" style="14" customWidth="1"/>
    <col min="3562" max="3562" width="19.28515625" style="14" customWidth="1"/>
    <col min="3563" max="3563" width="13.140625" style="14" customWidth="1"/>
    <col min="3564" max="3565" width="11.5703125" style="14" customWidth="1"/>
    <col min="3566" max="3566" width="5.7109375" style="14" customWidth="1"/>
    <col min="3567" max="3567" width="28.7109375" style="14" customWidth="1"/>
    <col min="3568" max="3568" width="40.5703125" style="14" customWidth="1"/>
    <col min="3569" max="3569" width="13.28515625" style="14" customWidth="1"/>
    <col min="3570" max="3570" width="14" style="14" customWidth="1"/>
    <col min="3571" max="3573" width="13.140625" style="14" customWidth="1"/>
    <col min="3574" max="3574" width="10.28515625" style="14" customWidth="1"/>
    <col min="3575" max="3576" width="13.5703125" style="14" customWidth="1"/>
    <col min="3577" max="3577" width="7.140625" style="14" customWidth="1"/>
    <col min="3578" max="3578" width="5.7109375" style="14" customWidth="1"/>
    <col min="3579" max="3579" width="6.42578125" style="14" customWidth="1"/>
    <col min="3580" max="3580" width="6.5703125" style="14" customWidth="1"/>
    <col min="3581" max="3584" width="9.140625" style="14" customWidth="1"/>
    <col min="3585" max="3585" width="7.7109375" style="14" customWidth="1"/>
    <col min="3586" max="3586" width="9.140625" style="14" customWidth="1"/>
    <col min="3587" max="3587" width="7.85546875" style="14" customWidth="1"/>
    <col min="3588" max="3588" width="9.140625" style="14" customWidth="1"/>
    <col min="3589" max="3589" width="8.7109375" style="14" customWidth="1"/>
    <col min="3590" max="3595" width="9.140625" style="14" customWidth="1"/>
    <col min="3596" max="3596" width="11.42578125" style="14" customWidth="1"/>
    <col min="3597" max="3609" width="9.140625" style="14" customWidth="1"/>
    <col min="3610" max="3610" width="11.140625" style="14" customWidth="1"/>
    <col min="3611" max="3813" width="9.140625" style="14"/>
    <col min="3814" max="3815" width="9.140625" style="14" customWidth="1"/>
    <col min="3816" max="3816" width="8.5703125" style="14" customWidth="1"/>
    <col min="3817" max="3817" width="11.7109375" style="14" customWidth="1"/>
    <col min="3818" max="3818" width="19.28515625" style="14" customWidth="1"/>
    <col min="3819" max="3819" width="13.140625" style="14" customWidth="1"/>
    <col min="3820" max="3821" width="11.5703125" style="14" customWidth="1"/>
    <col min="3822" max="3822" width="5.7109375" style="14" customWidth="1"/>
    <col min="3823" max="3823" width="28.7109375" style="14" customWidth="1"/>
    <col min="3824" max="3824" width="40.5703125" style="14" customWidth="1"/>
    <col min="3825" max="3825" width="13.28515625" style="14" customWidth="1"/>
    <col min="3826" max="3826" width="14" style="14" customWidth="1"/>
    <col min="3827" max="3829" width="13.140625" style="14" customWidth="1"/>
    <col min="3830" max="3830" width="10.28515625" style="14" customWidth="1"/>
    <col min="3831" max="3832" width="13.5703125" style="14" customWidth="1"/>
    <col min="3833" max="3833" width="7.140625" style="14" customWidth="1"/>
    <col min="3834" max="3834" width="5.7109375" style="14" customWidth="1"/>
    <col min="3835" max="3835" width="6.42578125" style="14" customWidth="1"/>
    <col min="3836" max="3836" width="6.5703125" style="14" customWidth="1"/>
    <col min="3837" max="3840" width="9.140625" style="14" customWidth="1"/>
    <col min="3841" max="3841" width="7.7109375" style="14" customWidth="1"/>
    <col min="3842" max="3842" width="9.140625" style="14" customWidth="1"/>
    <col min="3843" max="3843" width="7.85546875" style="14" customWidth="1"/>
    <col min="3844" max="3844" width="9.140625" style="14" customWidth="1"/>
    <col min="3845" max="3845" width="8.7109375" style="14" customWidth="1"/>
    <col min="3846" max="3851" width="9.140625" style="14" customWidth="1"/>
    <col min="3852" max="3852" width="11.42578125" style="14" customWidth="1"/>
    <col min="3853" max="3865" width="9.140625" style="14" customWidth="1"/>
    <col min="3866" max="3866" width="11.140625" style="14" customWidth="1"/>
    <col min="3867" max="4069" width="9.140625" style="14"/>
    <col min="4070" max="4071" width="9.140625" style="14" customWidth="1"/>
    <col min="4072" max="4072" width="8.5703125" style="14" customWidth="1"/>
    <col min="4073" max="4073" width="11.7109375" style="14" customWidth="1"/>
    <col min="4074" max="4074" width="19.28515625" style="14" customWidth="1"/>
    <col min="4075" max="4075" width="13.140625" style="14" customWidth="1"/>
    <col min="4076" max="4077" width="11.5703125" style="14" customWidth="1"/>
    <col min="4078" max="4078" width="5.7109375" style="14" customWidth="1"/>
    <col min="4079" max="4079" width="28.7109375" style="14" customWidth="1"/>
    <col min="4080" max="4080" width="40.5703125" style="14" customWidth="1"/>
    <col min="4081" max="4081" width="13.28515625" style="14" customWidth="1"/>
    <col min="4082" max="4082" width="14" style="14" customWidth="1"/>
    <col min="4083" max="4085" width="13.140625" style="14" customWidth="1"/>
    <col min="4086" max="4086" width="10.28515625" style="14" customWidth="1"/>
    <col min="4087" max="4088" width="13.5703125" style="14" customWidth="1"/>
    <col min="4089" max="4089" width="7.140625" style="14" customWidth="1"/>
    <col min="4090" max="4090" width="5.7109375" style="14" customWidth="1"/>
    <col min="4091" max="4091" width="6.42578125" style="14" customWidth="1"/>
    <col min="4092" max="4092" width="6.5703125" style="14" customWidth="1"/>
    <col min="4093" max="4096" width="9.140625" style="14" customWidth="1"/>
    <col min="4097" max="4097" width="7.7109375" style="14" customWidth="1"/>
    <col min="4098" max="4098" width="9.140625" style="14" customWidth="1"/>
    <col min="4099" max="4099" width="7.85546875" style="14" customWidth="1"/>
    <col min="4100" max="4100" width="9.140625" style="14" customWidth="1"/>
    <col min="4101" max="4101" width="8.7109375" style="14" customWidth="1"/>
    <col min="4102" max="4107" width="9.140625" style="14" customWidth="1"/>
    <col min="4108" max="4108" width="11.42578125" style="14" customWidth="1"/>
    <col min="4109" max="4121" width="9.140625" style="14" customWidth="1"/>
    <col min="4122" max="4122" width="11.140625" style="14" customWidth="1"/>
    <col min="4123" max="4325" width="9.140625" style="14"/>
    <col min="4326" max="4327" width="9.140625" style="14" customWidth="1"/>
    <col min="4328" max="4328" width="8.5703125" style="14" customWidth="1"/>
    <col min="4329" max="4329" width="11.7109375" style="14" customWidth="1"/>
    <col min="4330" max="4330" width="19.28515625" style="14" customWidth="1"/>
    <col min="4331" max="4331" width="13.140625" style="14" customWidth="1"/>
    <col min="4332" max="4333" width="11.5703125" style="14" customWidth="1"/>
    <col min="4334" max="4334" width="5.7109375" style="14" customWidth="1"/>
    <col min="4335" max="4335" width="28.7109375" style="14" customWidth="1"/>
    <col min="4336" max="4336" width="40.5703125" style="14" customWidth="1"/>
    <col min="4337" max="4337" width="13.28515625" style="14" customWidth="1"/>
    <col min="4338" max="4338" width="14" style="14" customWidth="1"/>
    <col min="4339" max="4341" width="13.140625" style="14" customWidth="1"/>
    <col min="4342" max="4342" width="10.28515625" style="14" customWidth="1"/>
    <col min="4343" max="4344" width="13.5703125" style="14" customWidth="1"/>
    <col min="4345" max="4345" width="7.140625" style="14" customWidth="1"/>
    <col min="4346" max="4346" width="5.7109375" style="14" customWidth="1"/>
    <col min="4347" max="4347" width="6.42578125" style="14" customWidth="1"/>
    <col min="4348" max="4348" width="6.5703125" style="14" customWidth="1"/>
    <col min="4349" max="4352" width="9.140625" style="14" customWidth="1"/>
    <col min="4353" max="4353" width="7.7109375" style="14" customWidth="1"/>
    <col min="4354" max="4354" width="9.140625" style="14" customWidth="1"/>
    <col min="4355" max="4355" width="7.85546875" style="14" customWidth="1"/>
    <col min="4356" max="4356" width="9.140625" style="14" customWidth="1"/>
    <col min="4357" max="4357" width="8.7109375" style="14" customWidth="1"/>
    <col min="4358" max="4363" width="9.140625" style="14" customWidth="1"/>
    <col min="4364" max="4364" width="11.42578125" style="14" customWidth="1"/>
    <col min="4365" max="4377" width="9.140625" style="14" customWidth="1"/>
    <col min="4378" max="4378" width="11.140625" style="14" customWidth="1"/>
    <col min="4379" max="4581" width="9.140625" style="14"/>
    <col min="4582" max="4583" width="9.140625" style="14" customWidth="1"/>
    <col min="4584" max="4584" width="8.5703125" style="14" customWidth="1"/>
    <col min="4585" max="4585" width="11.7109375" style="14" customWidth="1"/>
    <col min="4586" max="4586" width="19.28515625" style="14" customWidth="1"/>
    <col min="4587" max="4587" width="13.140625" style="14" customWidth="1"/>
    <col min="4588" max="4589" width="11.5703125" style="14" customWidth="1"/>
    <col min="4590" max="4590" width="5.7109375" style="14" customWidth="1"/>
    <col min="4591" max="4591" width="28.7109375" style="14" customWidth="1"/>
    <col min="4592" max="4592" width="40.5703125" style="14" customWidth="1"/>
    <col min="4593" max="4593" width="13.28515625" style="14" customWidth="1"/>
    <col min="4594" max="4594" width="14" style="14" customWidth="1"/>
    <col min="4595" max="4597" width="13.140625" style="14" customWidth="1"/>
    <col min="4598" max="4598" width="10.28515625" style="14" customWidth="1"/>
    <col min="4599" max="4600" width="13.5703125" style="14" customWidth="1"/>
    <col min="4601" max="4601" width="7.140625" style="14" customWidth="1"/>
    <col min="4602" max="4602" width="5.7109375" style="14" customWidth="1"/>
    <col min="4603" max="4603" width="6.42578125" style="14" customWidth="1"/>
    <col min="4604" max="4604" width="6.5703125" style="14" customWidth="1"/>
    <col min="4605" max="4608" width="9.140625" style="14" customWidth="1"/>
    <col min="4609" max="4609" width="7.7109375" style="14" customWidth="1"/>
    <col min="4610" max="4610" width="9.140625" style="14" customWidth="1"/>
    <col min="4611" max="4611" width="7.85546875" style="14" customWidth="1"/>
    <col min="4612" max="4612" width="9.140625" style="14" customWidth="1"/>
    <col min="4613" max="4613" width="8.7109375" style="14" customWidth="1"/>
    <col min="4614" max="4619" width="9.140625" style="14" customWidth="1"/>
    <col min="4620" max="4620" width="11.42578125" style="14" customWidth="1"/>
    <col min="4621" max="4633" width="9.140625" style="14" customWidth="1"/>
    <col min="4634" max="4634" width="11.140625" style="14" customWidth="1"/>
    <col min="4635" max="4837" width="9.140625" style="14"/>
    <col min="4838" max="4839" width="9.140625" style="14" customWidth="1"/>
    <col min="4840" max="4840" width="8.5703125" style="14" customWidth="1"/>
    <col min="4841" max="4841" width="11.7109375" style="14" customWidth="1"/>
    <col min="4842" max="4842" width="19.28515625" style="14" customWidth="1"/>
    <col min="4843" max="4843" width="13.140625" style="14" customWidth="1"/>
    <col min="4844" max="4845" width="11.5703125" style="14" customWidth="1"/>
    <col min="4846" max="4846" width="5.7109375" style="14" customWidth="1"/>
    <col min="4847" max="4847" width="28.7109375" style="14" customWidth="1"/>
    <col min="4848" max="4848" width="40.5703125" style="14" customWidth="1"/>
    <col min="4849" max="4849" width="13.28515625" style="14" customWidth="1"/>
    <col min="4850" max="4850" width="14" style="14" customWidth="1"/>
    <col min="4851" max="4853" width="13.140625" style="14" customWidth="1"/>
    <col min="4854" max="4854" width="10.28515625" style="14" customWidth="1"/>
    <col min="4855" max="4856" width="13.5703125" style="14" customWidth="1"/>
    <col min="4857" max="4857" width="7.140625" style="14" customWidth="1"/>
    <col min="4858" max="4858" width="5.7109375" style="14" customWidth="1"/>
    <col min="4859" max="4859" width="6.42578125" style="14" customWidth="1"/>
    <col min="4860" max="4860" width="6.5703125" style="14" customWidth="1"/>
    <col min="4861" max="4864" width="9.140625" style="14" customWidth="1"/>
    <col min="4865" max="4865" width="7.7109375" style="14" customWidth="1"/>
    <col min="4866" max="4866" width="9.140625" style="14" customWidth="1"/>
    <col min="4867" max="4867" width="7.85546875" style="14" customWidth="1"/>
    <col min="4868" max="4868" width="9.140625" style="14" customWidth="1"/>
    <col min="4869" max="4869" width="8.7109375" style="14" customWidth="1"/>
    <col min="4870" max="4875" width="9.140625" style="14" customWidth="1"/>
    <col min="4876" max="4876" width="11.42578125" style="14" customWidth="1"/>
    <col min="4877" max="4889" width="9.140625" style="14" customWidth="1"/>
    <col min="4890" max="4890" width="11.140625" style="14" customWidth="1"/>
    <col min="4891" max="5093" width="9.140625" style="14"/>
    <col min="5094" max="5095" width="9.140625" style="14" customWidth="1"/>
    <col min="5096" max="5096" width="8.5703125" style="14" customWidth="1"/>
    <col min="5097" max="5097" width="11.7109375" style="14" customWidth="1"/>
    <col min="5098" max="5098" width="19.28515625" style="14" customWidth="1"/>
    <col min="5099" max="5099" width="13.140625" style="14" customWidth="1"/>
    <col min="5100" max="5101" width="11.5703125" style="14" customWidth="1"/>
    <col min="5102" max="5102" width="5.7109375" style="14" customWidth="1"/>
    <col min="5103" max="5103" width="28.7109375" style="14" customWidth="1"/>
    <col min="5104" max="5104" width="40.5703125" style="14" customWidth="1"/>
    <col min="5105" max="5105" width="13.28515625" style="14" customWidth="1"/>
    <col min="5106" max="5106" width="14" style="14" customWidth="1"/>
    <col min="5107" max="5109" width="13.140625" style="14" customWidth="1"/>
    <col min="5110" max="5110" width="10.28515625" style="14" customWidth="1"/>
    <col min="5111" max="5112" width="13.5703125" style="14" customWidth="1"/>
    <col min="5113" max="5113" width="7.140625" style="14" customWidth="1"/>
    <col min="5114" max="5114" width="5.7109375" style="14" customWidth="1"/>
    <col min="5115" max="5115" width="6.42578125" style="14" customWidth="1"/>
    <col min="5116" max="5116" width="6.5703125" style="14" customWidth="1"/>
    <col min="5117" max="5120" width="9.140625" style="14" customWidth="1"/>
    <col min="5121" max="5121" width="7.7109375" style="14" customWidth="1"/>
    <col min="5122" max="5122" width="9.140625" style="14" customWidth="1"/>
    <col min="5123" max="5123" width="7.85546875" style="14" customWidth="1"/>
    <col min="5124" max="5124" width="9.140625" style="14" customWidth="1"/>
    <col min="5125" max="5125" width="8.7109375" style="14" customWidth="1"/>
    <col min="5126" max="5131" width="9.140625" style="14" customWidth="1"/>
    <col min="5132" max="5132" width="11.42578125" style="14" customWidth="1"/>
    <col min="5133" max="5145" width="9.140625" style="14" customWidth="1"/>
    <col min="5146" max="5146" width="11.140625" style="14" customWidth="1"/>
    <col min="5147" max="5349" width="9.140625" style="14"/>
    <col min="5350" max="5351" width="9.140625" style="14" customWidth="1"/>
    <col min="5352" max="5352" width="8.5703125" style="14" customWidth="1"/>
    <col min="5353" max="5353" width="11.7109375" style="14" customWidth="1"/>
    <col min="5354" max="5354" width="19.28515625" style="14" customWidth="1"/>
    <col min="5355" max="5355" width="13.140625" style="14" customWidth="1"/>
    <col min="5356" max="5357" width="11.5703125" style="14" customWidth="1"/>
    <col min="5358" max="5358" width="5.7109375" style="14" customWidth="1"/>
    <col min="5359" max="5359" width="28.7109375" style="14" customWidth="1"/>
    <col min="5360" max="5360" width="40.5703125" style="14" customWidth="1"/>
    <col min="5361" max="5361" width="13.28515625" style="14" customWidth="1"/>
    <col min="5362" max="5362" width="14" style="14" customWidth="1"/>
    <col min="5363" max="5365" width="13.140625" style="14" customWidth="1"/>
    <col min="5366" max="5366" width="10.28515625" style="14" customWidth="1"/>
    <col min="5367" max="5368" width="13.5703125" style="14" customWidth="1"/>
    <col min="5369" max="5369" width="7.140625" style="14" customWidth="1"/>
    <col min="5370" max="5370" width="5.7109375" style="14" customWidth="1"/>
    <col min="5371" max="5371" width="6.42578125" style="14" customWidth="1"/>
    <col min="5372" max="5372" width="6.5703125" style="14" customWidth="1"/>
    <col min="5373" max="5376" width="9.140625" style="14" customWidth="1"/>
    <col min="5377" max="5377" width="7.7109375" style="14" customWidth="1"/>
    <col min="5378" max="5378" width="9.140625" style="14" customWidth="1"/>
    <col min="5379" max="5379" width="7.85546875" style="14" customWidth="1"/>
    <col min="5380" max="5380" width="9.140625" style="14" customWidth="1"/>
    <col min="5381" max="5381" width="8.7109375" style="14" customWidth="1"/>
    <col min="5382" max="5387" width="9.140625" style="14" customWidth="1"/>
    <col min="5388" max="5388" width="11.42578125" style="14" customWidth="1"/>
    <col min="5389" max="5401" width="9.140625" style="14" customWidth="1"/>
    <col min="5402" max="5402" width="11.140625" style="14" customWidth="1"/>
    <col min="5403" max="5605" width="9.140625" style="14"/>
    <col min="5606" max="5607" width="9.140625" style="14" customWidth="1"/>
    <col min="5608" max="5608" width="8.5703125" style="14" customWidth="1"/>
    <col min="5609" max="5609" width="11.7109375" style="14" customWidth="1"/>
    <col min="5610" max="5610" width="19.28515625" style="14" customWidth="1"/>
    <col min="5611" max="5611" width="13.140625" style="14" customWidth="1"/>
    <col min="5612" max="5613" width="11.5703125" style="14" customWidth="1"/>
    <col min="5614" max="5614" width="5.7109375" style="14" customWidth="1"/>
    <col min="5615" max="5615" width="28.7109375" style="14" customWidth="1"/>
    <col min="5616" max="5616" width="40.5703125" style="14" customWidth="1"/>
    <col min="5617" max="5617" width="13.28515625" style="14" customWidth="1"/>
    <col min="5618" max="5618" width="14" style="14" customWidth="1"/>
    <col min="5619" max="5621" width="13.140625" style="14" customWidth="1"/>
    <col min="5622" max="5622" width="10.28515625" style="14" customWidth="1"/>
    <col min="5623" max="5624" width="13.5703125" style="14" customWidth="1"/>
    <col min="5625" max="5625" width="7.140625" style="14" customWidth="1"/>
    <col min="5626" max="5626" width="5.7109375" style="14" customWidth="1"/>
    <col min="5627" max="5627" width="6.42578125" style="14" customWidth="1"/>
    <col min="5628" max="5628" width="6.5703125" style="14" customWidth="1"/>
    <col min="5629" max="5632" width="9.140625" style="14" customWidth="1"/>
    <col min="5633" max="5633" width="7.7109375" style="14" customWidth="1"/>
    <col min="5634" max="5634" width="9.140625" style="14" customWidth="1"/>
    <col min="5635" max="5635" width="7.85546875" style="14" customWidth="1"/>
    <col min="5636" max="5636" width="9.140625" style="14" customWidth="1"/>
    <col min="5637" max="5637" width="8.7109375" style="14" customWidth="1"/>
    <col min="5638" max="5643" width="9.140625" style="14" customWidth="1"/>
    <col min="5644" max="5644" width="11.42578125" style="14" customWidth="1"/>
    <col min="5645" max="5657" width="9.140625" style="14" customWidth="1"/>
    <col min="5658" max="5658" width="11.140625" style="14" customWidth="1"/>
    <col min="5659" max="5861" width="9.140625" style="14"/>
    <col min="5862" max="5863" width="9.140625" style="14" customWidth="1"/>
    <col min="5864" max="5864" width="8.5703125" style="14" customWidth="1"/>
    <col min="5865" max="5865" width="11.7109375" style="14" customWidth="1"/>
    <col min="5866" max="5866" width="19.28515625" style="14" customWidth="1"/>
    <col min="5867" max="5867" width="13.140625" style="14" customWidth="1"/>
    <col min="5868" max="5869" width="11.5703125" style="14" customWidth="1"/>
    <col min="5870" max="5870" width="5.7109375" style="14" customWidth="1"/>
    <col min="5871" max="5871" width="28.7109375" style="14" customWidth="1"/>
    <col min="5872" max="5872" width="40.5703125" style="14" customWidth="1"/>
    <col min="5873" max="5873" width="13.28515625" style="14" customWidth="1"/>
    <col min="5874" max="5874" width="14" style="14" customWidth="1"/>
    <col min="5875" max="5877" width="13.140625" style="14" customWidth="1"/>
    <col min="5878" max="5878" width="10.28515625" style="14" customWidth="1"/>
    <col min="5879" max="5880" width="13.5703125" style="14" customWidth="1"/>
    <col min="5881" max="5881" width="7.140625" style="14" customWidth="1"/>
    <col min="5882" max="5882" width="5.7109375" style="14" customWidth="1"/>
    <col min="5883" max="5883" width="6.42578125" style="14" customWidth="1"/>
    <col min="5884" max="5884" width="6.5703125" style="14" customWidth="1"/>
    <col min="5885" max="5888" width="9.140625" style="14" customWidth="1"/>
    <col min="5889" max="5889" width="7.7109375" style="14" customWidth="1"/>
    <col min="5890" max="5890" width="9.140625" style="14" customWidth="1"/>
    <col min="5891" max="5891" width="7.85546875" style="14" customWidth="1"/>
    <col min="5892" max="5892" width="9.140625" style="14" customWidth="1"/>
    <col min="5893" max="5893" width="8.7109375" style="14" customWidth="1"/>
    <col min="5894" max="5899" width="9.140625" style="14" customWidth="1"/>
    <col min="5900" max="5900" width="11.42578125" style="14" customWidth="1"/>
    <col min="5901" max="5913" width="9.140625" style="14" customWidth="1"/>
    <col min="5914" max="5914" width="11.140625" style="14" customWidth="1"/>
    <col min="5915" max="6117" width="9.140625" style="14"/>
    <col min="6118" max="6119" width="9.140625" style="14" customWidth="1"/>
    <col min="6120" max="6120" width="8.5703125" style="14" customWidth="1"/>
    <col min="6121" max="6121" width="11.7109375" style="14" customWidth="1"/>
    <col min="6122" max="6122" width="19.28515625" style="14" customWidth="1"/>
    <col min="6123" max="6123" width="13.140625" style="14" customWidth="1"/>
    <col min="6124" max="6125" width="11.5703125" style="14" customWidth="1"/>
    <col min="6126" max="6126" width="5.7109375" style="14" customWidth="1"/>
    <col min="6127" max="6127" width="28.7109375" style="14" customWidth="1"/>
    <col min="6128" max="6128" width="40.5703125" style="14" customWidth="1"/>
    <col min="6129" max="6129" width="13.28515625" style="14" customWidth="1"/>
    <col min="6130" max="6130" width="14" style="14" customWidth="1"/>
    <col min="6131" max="6133" width="13.140625" style="14" customWidth="1"/>
    <col min="6134" max="6134" width="10.28515625" style="14" customWidth="1"/>
    <col min="6135" max="6136" width="13.5703125" style="14" customWidth="1"/>
    <col min="6137" max="6137" width="7.140625" style="14" customWidth="1"/>
    <col min="6138" max="6138" width="5.7109375" style="14" customWidth="1"/>
    <col min="6139" max="6139" width="6.42578125" style="14" customWidth="1"/>
    <col min="6140" max="6140" width="6.5703125" style="14" customWidth="1"/>
    <col min="6141" max="6144" width="9.140625" style="14" customWidth="1"/>
    <col min="6145" max="6145" width="7.7109375" style="14" customWidth="1"/>
    <col min="6146" max="6146" width="9.140625" style="14" customWidth="1"/>
    <col min="6147" max="6147" width="7.85546875" style="14" customWidth="1"/>
    <col min="6148" max="6148" width="9.140625" style="14" customWidth="1"/>
    <col min="6149" max="6149" width="8.7109375" style="14" customWidth="1"/>
    <col min="6150" max="6155" width="9.140625" style="14" customWidth="1"/>
    <col min="6156" max="6156" width="11.42578125" style="14" customWidth="1"/>
    <col min="6157" max="6169" width="9.140625" style="14" customWidth="1"/>
    <col min="6170" max="6170" width="11.140625" style="14" customWidth="1"/>
    <col min="6171" max="6373" width="9.140625" style="14"/>
    <col min="6374" max="6375" width="9.140625" style="14" customWidth="1"/>
    <col min="6376" max="6376" width="8.5703125" style="14" customWidth="1"/>
    <col min="6377" max="6377" width="11.7109375" style="14" customWidth="1"/>
    <col min="6378" max="6378" width="19.28515625" style="14" customWidth="1"/>
    <col min="6379" max="6379" width="13.140625" style="14" customWidth="1"/>
    <col min="6380" max="6381" width="11.5703125" style="14" customWidth="1"/>
    <col min="6382" max="6382" width="5.7109375" style="14" customWidth="1"/>
    <col min="6383" max="6383" width="28.7109375" style="14" customWidth="1"/>
    <col min="6384" max="6384" width="40.5703125" style="14" customWidth="1"/>
    <col min="6385" max="6385" width="13.28515625" style="14" customWidth="1"/>
    <col min="6386" max="6386" width="14" style="14" customWidth="1"/>
    <col min="6387" max="6389" width="13.140625" style="14" customWidth="1"/>
    <col min="6390" max="6390" width="10.28515625" style="14" customWidth="1"/>
    <col min="6391" max="6392" width="13.5703125" style="14" customWidth="1"/>
    <col min="6393" max="6393" width="7.140625" style="14" customWidth="1"/>
    <col min="6394" max="6394" width="5.7109375" style="14" customWidth="1"/>
    <col min="6395" max="6395" width="6.42578125" style="14" customWidth="1"/>
    <col min="6396" max="6396" width="6.5703125" style="14" customWidth="1"/>
    <col min="6397" max="6400" width="9.140625" style="14" customWidth="1"/>
    <col min="6401" max="6401" width="7.7109375" style="14" customWidth="1"/>
    <col min="6402" max="6402" width="9.140625" style="14" customWidth="1"/>
    <col min="6403" max="6403" width="7.85546875" style="14" customWidth="1"/>
    <col min="6404" max="6404" width="9.140625" style="14" customWidth="1"/>
    <col min="6405" max="6405" width="8.7109375" style="14" customWidth="1"/>
    <col min="6406" max="6411" width="9.140625" style="14" customWidth="1"/>
    <col min="6412" max="6412" width="11.42578125" style="14" customWidth="1"/>
    <col min="6413" max="6425" width="9.140625" style="14" customWidth="1"/>
    <col min="6426" max="6426" width="11.140625" style="14" customWidth="1"/>
    <col min="6427" max="6629" width="9.140625" style="14"/>
    <col min="6630" max="6631" width="9.140625" style="14" customWidth="1"/>
    <col min="6632" max="6632" width="8.5703125" style="14" customWidth="1"/>
    <col min="6633" max="6633" width="11.7109375" style="14" customWidth="1"/>
    <col min="6634" max="6634" width="19.28515625" style="14" customWidth="1"/>
    <col min="6635" max="6635" width="13.140625" style="14" customWidth="1"/>
    <col min="6636" max="6637" width="11.5703125" style="14" customWidth="1"/>
    <col min="6638" max="6638" width="5.7109375" style="14" customWidth="1"/>
    <col min="6639" max="6639" width="28.7109375" style="14" customWidth="1"/>
    <col min="6640" max="6640" width="40.5703125" style="14" customWidth="1"/>
    <col min="6641" max="6641" width="13.28515625" style="14" customWidth="1"/>
    <col min="6642" max="6642" width="14" style="14" customWidth="1"/>
    <col min="6643" max="6645" width="13.140625" style="14" customWidth="1"/>
    <col min="6646" max="6646" width="10.28515625" style="14" customWidth="1"/>
    <col min="6647" max="6648" width="13.5703125" style="14" customWidth="1"/>
    <col min="6649" max="6649" width="7.140625" style="14" customWidth="1"/>
    <col min="6650" max="6650" width="5.7109375" style="14" customWidth="1"/>
    <col min="6651" max="6651" width="6.42578125" style="14" customWidth="1"/>
    <col min="6652" max="6652" width="6.5703125" style="14" customWidth="1"/>
    <col min="6653" max="6656" width="9.140625" style="14" customWidth="1"/>
    <col min="6657" max="6657" width="7.7109375" style="14" customWidth="1"/>
    <col min="6658" max="6658" width="9.140625" style="14" customWidth="1"/>
    <col min="6659" max="6659" width="7.85546875" style="14" customWidth="1"/>
    <col min="6660" max="6660" width="9.140625" style="14" customWidth="1"/>
    <col min="6661" max="6661" width="8.7109375" style="14" customWidth="1"/>
    <col min="6662" max="6667" width="9.140625" style="14" customWidth="1"/>
    <col min="6668" max="6668" width="11.42578125" style="14" customWidth="1"/>
    <col min="6669" max="6681" width="9.140625" style="14" customWidth="1"/>
    <col min="6682" max="6682" width="11.140625" style="14" customWidth="1"/>
    <col min="6683" max="6885" width="9.140625" style="14"/>
    <col min="6886" max="6887" width="9.140625" style="14" customWidth="1"/>
    <col min="6888" max="6888" width="8.5703125" style="14" customWidth="1"/>
    <col min="6889" max="6889" width="11.7109375" style="14" customWidth="1"/>
    <col min="6890" max="6890" width="19.28515625" style="14" customWidth="1"/>
    <col min="6891" max="6891" width="13.140625" style="14" customWidth="1"/>
    <col min="6892" max="6893" width="11.5703125" style="14" customWidth="1"/>
    <col min="6894" max="6894" width="5.7109375" style="14" customWidth="1"/>
    <col min="6895" max="6895" width="28.7109375" style="14" customWidth="1"/>
    <col min="6896" max="6896" width="40.5703125" style="14" customWidth="1"/>
    <col min="6897" max="6897" width="13.28515625" style="14" customWidth="1"/>
    <col min="6898" max="6898" width="14" style="14" customWidth="1"/>
    <col min="6899" max="6901" width="13.140625" style="14" customWidth="1"/>
    <col min="6902" max="6902" width="10.28515625" style="14" customWidth="1"/>
    <col min="6903" max="6904" width="13.5703125" style="14" customWidth="1"/>
    <col min="6905" max="6905" width="7.140625" style="14" customWidth="1"/>
    <col min="6906" max="6906" width="5.7109375" style="14" customWidth="1"/>
    <col min="6907" max="6907" width="6.42578125" style="14" customWidth="1"/>
    <col min="6908" max="6908" width="6.5703125" style="14" customWidth="1"/>
    <col min="6909" max="6912" width="9.140625" style="14" customWidth="1"/>
    <col min="6913" max="6913" width="7.7109375" style="14" customWidth="1"/>
    <col min="6914" max="6914" width="9.140625" style="14" customWidth="1"/>
    <col min="6915" max="6915" width="7.85546875" style="14" customWidth="1"/>
    <col min="6916" max="6916" width="9.140625" style="14" customWidth="1"/>
    <col min="6917" max="6917" width="8.7109375" style="14" customWidth="1"/>
    <col min="6918" max="6923" width="9.140625" style="14" customWidth="1"/>
    <col min="6924" max="6924" width="11.42578125" style="14" customWidth="1"/>
    <col min="6925" max="6937" width="9.140625" style="14" customWidth="1"/>
    <col min="6938" max="6938" width="11.140625" style="14" customWidth="1"/>
    <col min="6939" max="7141" width="9.140625" style="14"/>
    <col min="7142" max="7143" width="9.140625" style="14" customWidth="1"/>
    <col min="7144" max="7144" width="8.5703125" style="14" customWidth="1"/>
    <col min="7145" max="7145" width="11.7109375" style="14" customWidth="1"/>
    <col min="7146" max="7146" width="19.28515625" style="14" customWidth="1"/>
    <col min="7147" max="7147" width="13.140625" style="14" customWidth="1"/>
    <col min="7148" max="7149" width="11.5703125" style="14" customWidth="1"/>
    <col min="7150" max="7150" width="5.7109375" style="14" customWidth="1"/>
    <col min="7151" max="7151" width="28.7109375" style="14" customWidth="1"/>
    <col min="7152" max="7152" width="40.5703125" style="14" customWidth="1"/>
    <col min="7153" max="7153" width="13.28515625" style="14" customWidth="1"/>
    <col min="7154" max="7154" width="14" style="14" customWidth="1"/>
    <col min="7155" max="7157" width="13.140625" style="14" customWidth="1"/>
    <col min="7158" max="7158" width="10.28515625" style="14" customWidth="1"/>
    <col min="7159" max="7160" width="13.5703125" style="14" customWidth="1"/>
    <col min="7161" max="7161" width="7.140625" style="14" customWidth="1"/>
    <col min="7162" max="7162" width="5.7109375" style="14" customWidth="1"/>
    <col min="7163" max="7163" width="6.42578125" style="14" customWidth="1"/>
    <col min="7164" max="7164" width="6.5703125" style="14" customWidth="1"/>
    <col min="7165" max="7168" width="9.140625" style="14" customWidth="1"/>
    <col min="7169" max="7169" width="7.7109375" style="14" customWidth="1"/>
    <col min="7170" max="7170" width="9.140625" style="14" customWidth="1"/>
    <col min="7171" max="7171" width="7.85546875" style="14" customWidth="1"/>
    <col min="7172" max="7172" width="9.140625" style="14" customWidth="1"/>
    <col min="7173" max="7173" width="8.7109375" style="14" customWidth="1"/>
    <col min="7174" max="7179" width="9.140625" style="14" customWidth="1"/>
    <col min="7180" max="7180" width="11.42578125" style="14" customWidth="1"/>
    <col min="7181" max="7193" width="9.140625" style="14" customWidth="1"/>
    <col min="7194" max="7194" width="11.140625" style="14" customWidth="1"/>
    <col min="7195" max="7397" width="9.140625" style="14"/>
    <col min="7398" max="7399" width="9.140625" style="14" customWidth="1"/>
    <col min="7400" max="7400" width="8.5703125" style="14" customWidth="1"/>
    <col min="7401" max="7401" width="11.7109375" style="14" customWidth="1"/>
    <col min="7402" max="7402" width="19.28515625" style="14" customWidth="1"/>
    <col min="7403" max="7403" width="13.140625" style="14" customWidth="1"/>
    <col min="7404" max="7405" width="11.5703125" style="14" customWidth="1"/>
    <col min="7406" max="7406" width="5.7109375" style="14" customWidth="1"/>
    <col min="7407" max="7407" width="28.7109375" style="14" customWidth="1"/>
    <col min="7408" max="7408" width="40.5703125" style="14" customWidth="1"/>
    <col min="7409" max="7409" width="13.28515625" style="14" customWidth="1"/>
    <col min="7410" max="7410" width="14" style="14" customWidth="1"/>
    <col min="7411" max="7413" width="13.140625" style="14" customWidth="1"/>
    <col min="7414" max="7414" width="10.28515625" style="14" customWidth="1"/>
    <col min="7415" max="7416" width="13.5703125" style="14" customWidth="1"/>
    <col min="7417" max="7417" width="7.140625" style="14" customWidth="1"/>
    <col min="7418" max="7418" width="5.7109375" style="14" customWidth="1"/>
    <col min="7419" max="7419" width="6.42578125" style="14" customWidth="1"/>
    <col min="7420" max="7420" width="6.5703125" style="14" customWidth="1"/>
    <col min="7421" max="7424" width="9.140625" style="14" customWidth="1"/>
    <col min="7425" max="7425" width="7.7109375" style="14" customWidth="1"/>
    <col min="7426" max="7426" width="9.140625" style="14" customWidth="1"/>
    <col min="7427" max="7427" width="7.85546875" style="14" customWidth="1"/>
    <col min="7428" max="7428" width="9.140625" style="14" customWidth="1"/>
    <col min="7429" max="7429" width="8.7109375" style="14" customWidth="1"/>
    <col min="7430" max="7435" width="9.140625" style="14" customWidth="1"/>
    <col min="7436" max="7436" width="11.42578125" style="14" customWidth="1"/>
    <col min="7437" max="7449" width="9.140625" style="14" customWidth="1"/>
    <col min="7450" max="7450" width="11.140625" style="14" customWidth="1"/>
    <col min="7451" max="7653" width="9.140625" style="14"/>
    <col min="7654" max="7655" width="9.140625" style="14" customWidth="1"/>
    <col min="7656" max="7656" width="8.5703125" style="14" customWidth="1"/>
    <col min="7657" max="7657" width="11.7109375" style="14" customWidth="1"/>
    <col min="7658" max="7658" width="19.28515625" style="14" customWidth="1"/>
    <col min="7659" max="7659" width="13.140625" style="14" customWidth="1"/>
    <col min="7660" max="7661" width="11.5703125" style="14" customWidth="1"/>
    <col min="7662" max="7662" width="5.7109375" style="14" customWidth="1"/>
    <col min="7663" max="7663" width="28.7109375" style="14" customWidth="1"/>
    <col min="7664" max="7664" width="40.5703125" style="14" customWidth="1"/>
    <col min="7665" max="7665" width="13.28515625" style="14" customWidth="1"/>
    <col min="7666" max="7666" width="14" style="14" customWidth="1"/>
    <col min="7667" max="7669" width="13.140625" style="14" customWidth="1"/>
    <col min="7670" max="7670" width="10.28515625" style="14" customWidth="1"/>
    <col min="7671" max="7672" width="13.5703125" style="14" customWidth="1"/>
    <col min="7673" max="7673" width="7.140625" style="14" customWidth="1"/>
    <col min="7674" max="7674" width="5.7109375" style="14" customWidth="1"/>
    <col min="7675" max="7675" width="6.42578125" style="14" customWidth="1"/>
    <col min="7676" max="7676" width="6.5703125" style="14" customWidth="1"/>
    <col min="7677" max="7680" width="9.140625" style="14" customWidth="1"/>
    <col min="7681" max="7681" width="7.7109375" style="14" customWidth="1"/>
    <col min="7682" max="7682" width="9.140625" style="14" customWidth="1"/>
    <col min="7683" max="7683" width="7.85546875" style="14" customWidth="1"/>
    <col min="7684" max="7684" width="9.140625" style="14" customWidth="1"/>
    <col min="7685" max="7685" width="8.7109375" style="14" customWidth="1"/>
    <col min="7686" max="7691" width="9.140625" style="14" customWidth="1"/>
    <col min="7692" max="7692" width="11.42578125" style="14" customWidth="1"/>
    <col min="7693" max="7705" width="9.140625" style="14" customWidth="1"/>
    <col min="7706" max="7706" width="11.140625" style="14" customWidth="1"/>
    <col min="7707" max="7909" width="9.140625" style="14"/>
    <col min="7910" max="7911" width="9.140625" style="14" customWidth="1"/>
    <col min="7912" max="7912" width="8.5703125" style="14" customWidth="1"/>
    <col min="7913" max="7913" width="11.7109375" style="14" customWidth="1"/>
    <col min="7914" max="7914" width="19.28515625" style="14" customWidth="1"/>
    <col min="7915" max="7915" width="13.140625" style="14" customWidth="1"/>
    <col min="7916" max="7917" width="11.5703125" style="14" customWidth="1"/>
    <col min="7918" max="7918" width="5.7109375" style="14" customWidth="1"/>
    <col min="7919" max="7919" width="28.7109375" style="14" customWidth="1"/>
    <col min="7920" max="7920" width="40.5703125" style="14" customWidth="1"/>
    <col min="7921" max="7921" width="13.28515625" style="14" customWidth="1"/>
    <col min="7922" max="7922" width="14" style="14" customWidth="1"/>
    <col min="7923" max="7925" width="13.140625" style="14" customWidth="1"/>
    <col min="7926" max="7926" width="10.28515625" style="14" customWidth="1"/>
    <col min="7927" max="7928" width="13.5703125" style="14" customWidth="1"/>
    <col min="7929" max="7929" width="7.140625" style="14" customWidth="1"/>
    <col min="7930" max="7930" width="5.7109375" style="14" customWidth="1"/>
    <col min="7931" max="7931" width="6.42578125" style="14" customWidth="1"/>
    <col min="7932" max="7932" width="6.5703125" style="14" customWidth="1"/>
    <col min="7933" max="7936" width="9.140625" style="14" customWidth="1"/>
    <col min="7937" max="7937" width="7.7109375" style="14" customWidth="1"/>
    <col min="7938" max="7938" width="9.140625" style="14" customWidth="1"/>
    <col min="7939" max="7939" width="7.85546875" style="14" customWidth="1"/>
    <col min="7940" max="7940" width="9.140625" style="14" customWidth="1"/>
    <col min="7941" max="7941" width="8.7109375" style="14" customWidth="1"/>
    <col min="7942" max="7947" width="9.140625" style="14" customWidth="1"/>
    <col min="7948" max="7948" width="11.42578125" style="14" customWidth="1"/>
    <col min="7949" max="7961" width="9.140625" style="14" customWidth="1"/>
    <col min="7962" max="7962" width="11.140625" style="14" customWidth="1"/>
    <col min="7963" max="8165" width="9.140625" style="14"/>
    <col min="8166" max="8167" width="9.140625" style="14" customWidth="1"/>
    <col min="8168" max="8168" width="8.5703125" style="14" customWidth="1"/>
    <col min="8169" max="8169" width="11.7109375" style="14" customWidth="1"/>
    <col min="8170" max="8170" width="19.28515625" style="14" customWidth="1"/>
    <col min="8171" max="8171" width="13.140625" style="14" customWidth="1"/>
    <col min="8172" max="8173" width="11.5703125" style="14" customWidth="1"/>
    <col min="8174" max="8174" width="5.7109375" style="14" customWidth="1"/>
    <col min="8175" max="8175" width="28.7109375" style="14" customWidth="1"/>
    <col min="8176" max="8176" width="40.5703125" style="14" customWidth="1"/>
    <col min="8177" max="8177" width="13.28515625" style="14" customWidth="1"/>
    <col min="8178" max="8178" width="14" style="14" customWidth="1"/>
    <col min="8179" max="8181" width="13.140625" style="14" customWidth="1"/>
    <col min="8182" max="8182" width="10.28515625" style="14" customWidth="1"/>
    <col min="8183" max="8184" width="13.5703125" style="14" customWidth="1"/>
    <col min="8185" max="8185" width="7.140625" style="14" customWidth="1"/>
    <col min="8186" max="8186" width="5.7109375" style="14" customWidth="1"/>
    <col min="8187" max="8187" width="6.42578125" style="14" customWidth="1"/>
    <col min="8188" max="8188" width="6.5703125" style="14" customWidth="1"/>
    <col min="8189" max="8192" width="9.140625" style="14" customWidth="1"/>
    <col min="8193" max="8193" width="7.7109375" style="14" customWidth="1"/>
    <col min="8194" max="8194" width="9.140625" style="14" customWidth="1"/>
    <col min="8195" max="8195" width="7.85546875" style="14" customWidth="1"/>
    <col min="8196" max="8196" width="9.140625" style="14" customWidth="1"/>
    <col min="8197" max="8197" width="8.7109375" style="14" customWidth="1"/>
    <col min="8198" max="8203" width="9.140625" style="14" customWidth="1"/>
    <col min="8204" max="8204" width="11.42578125" style="14" customWidth="1"/>
    <col min="8205" max="8217" width="9.140625" style="14" customWidth="1"/>
    <col min="8218" max="8218" width="11.140625" style="14" customWidth="1"/>
    <col min="8219" max="8421" width="9.140625" style="14"/>
    <col min="8422" max="8423" width="9.140625" style="14" customWidth="1"/>
    <col min="8424" max="8424" width="8.5703125" style="14" customWidth="1"/>
    <col min="8425" max="8425" width="11.7109375" style="14" customWidth="1"/>
    <col min="8426" max="8426" width="19.28515625" style="14" customWidth="1"/>
    <col min="8427" max="8427" width="13.140625" style="14" customWidth="1"/>
    <col min="8428" max="8429" width="11.5703125" style="14" customWidth="1"/>
    <col min="8430" max="8430" width="5.7109375" style="14" customWidth="1"/>
    <col min="8431" max="8431" width="28.7109375" style="14" customWidth="1"/>
    <col min="8432" max="8432" width="40.5703125" style="14" customWidth="1"/>
    <col min="8433" max="8433" width="13.28515625" style="14" customWidth="1"/>
    <col min="8434" max="8434" width="14" style="14" customWidth="1"/>
    <col min="8435" max="8437" width="13.140625" style="14" customWidth="1"/>
    <col min="8438" max="8438" width="10.28515625" style="14" customWidth="1"/>
    <col min="8439" max="8440" width="13.5703125" style="14" customWidth="1"/>
    <col min="8441" max="8441" width="7.140625" style="14" customWidth="1"/>
    <col min="8442" max="8442" width="5.7109375" style="14" customWidth="1"/>
    <col min="8443" max="8443" width="6.42578125" style="14" customWidth="1"/>
    <col min="8444" max="8444" width="6.5703125" style="14" customWidth="1"/>
    <col min="8445" max="8448" width="9.140625" style="14" customWidth="1"/>
    <col min="8449" max="8449" width="7.7109375" style="14" customWidth="1"/>
    <col min="8450" max="8450" width="9.140625" style="14" customWidth="1"/>
    <col min="8451" max="8451" width="7.85546875" style="14" customWidth="1"/>
    <col min="8452" max="8452" width="9.140625" style="14" customWidth="1"/>
    <col min="8453" max="8453" width="8.7109375" style="14" customWidth="1"/>
    <col min="8454" max="8459" width="9.140625" style="14" customWidth="1"/>
    <col min="8460" max="8460" width="11.42578125" style="14" customWidth="1"/>
    <col min="8461" max="8473" width="9.140625" style="14" customWidth="1"/>
    <col min="8474" max="8474" width="11.140625" style="14" customWidth="1"/>
    <col min="8475" max="8677" width="9.140625" style="14"/>
    <col min="8678" max="8679" width="9.140625" style="14" customWidth="1"/>
    <col min="8680" max="8680" width="8.5703125" style="14" customWidth="1"/>
    <col min="8681" max="8681" width="11.7109375" style="14" customWidth="1"/>
    <col min="8682" max="8682" width="19.28515625" style="14" customWidth="1"/>
    <col min="8683" max="8683" width="13.140625" style="14" customWidth="1"/>
    <col min="8684" max="8685" width="11.5703125" style="14" customWidth="1"/>
    <col min="8686" max="8686" width="5.7109375" style="14" customWidth="1"/>
    <col min="8687" max="8687" width="28.7109375" style="14" customWidth="1"/>
    <col min="8688" max="8688" width="40.5703125" style="14" customWidth="1"/>
    <col min="8689" max="8689" width="13.28515625" style="14" customWidth="1"/>
    <col min="8690" max="8690" width="14" style="14" customWidth="1"/>
    <col min="8691" max="8693" width="13.140625" style="14" customWidth="1"/>
    <col min="8694" max="8694" width="10.28515625" style="14" customWidth="1"/>
    <col min="8695" max="8696" width="13.5703125" style="14" customWidth="1"/>
    <col min="8697" max="8697" width="7.140625" style="14" customWidth="1"/>
    <col min="8698" max="8698" width="5.7109375" style="14" customWidth="1"/>
    <col min="8699" max="8699" width="6.42578125" style="14" customWidth="1"/>
    <col min="8700" max="8700" width="6.5703125" style="14" customWidth="1"/>
    <col min="8701" max="8704" width="9.140625" style="14" customWidth="1"/>
    <col min="8705" max="8705" width="7.7109375" style="14" customWidth="1"/>
    <col min="8706" max="8706" width="9.140625" style="14" customWidth="1"/>
    <col min="8707" max="8707" width="7.85546875" style="14" customWidth="1"/>
    <col min="8708" max="8708" width="9.140625" style="14" customWidth="1"/>
    <col min="8709" max="8709" width="8.7109375" style="14" customWidth="1"/>
    <col min="8710" max="8715" width="9.140625" style="14" customWidth="1"/>
    <col min="8716" max="8716" width="11.42578125" style="14" customWidth="1"/>
    <col min="8717" max="8729" width="9.140625" style="14" customWidth="1"/>
    <col min="8730" max="8730" width="11.140625" style="14" customWidth="1"/>
    <col min="8731" max="8933" width="9.140625" style="14"/>
    <col min="8934" max="8935" width="9.140625" style="14" customWidth="1"/>
    <col min="8936" max="8936" width="8.5703125" style="14" customWidth="1"/>
    <col min="8937" max="8937" width="11.7109375" style="14" customWidth="1"/>
    <col min="8938" max="8938" width="19.28515625" style="14" customWidth="1"/>
    <col min="8939" max="8939" width="13.140625" style="14" customWidth="1"/>
    <col min="8940" max="8941" width="11.5703125" style="14" customWidth="1"/>
    <col min="8942" max="8942" width="5.7109375" style="14" customWidth="1"/>
    <col min="8943" max="8943" width="28.7109375" style="14" customWidth="1"/>
    <col min="8944" max="8944" width="40.5703125" style="14" customWidth="1"/>
    <col min="8945" max="8945" width="13.28515625" style="14" customWidth="1"/>
    <col min="8946" max="8946" width="14" style="14" customWidth="1"/>
    <col min="8947" max="8949" width="13.140625" style="14" customWidth="1"/>
    <col min="8950" max="8950" width="10.28515625" style="14" customWidth="1"/>
    <col min="8951" max="8952" width="13.5703125" style="14" customWidth="1"/>
    <col min="8953" max="8953" width="7.140625" style="14" customWidth="1"/>
    <col min="8954" max="8954" width="5.7109375" style="14" customWidth="1"/>
    <col min="8955" max="8955" width="6.42578125" style="14" customWidth="1"/>
    <col min="8956" max="8956" width="6.5703125" style="14" customWidth="1"/>
    <col min="8957" max="8960" width="9.140625" style="14" customWidth="1"/>
    <col min="8961" max="8961" width="7.7109375" style="14" customWidth="1"/>
    <col min="8962" max="8962" width="9.140625" style="14" customWidth="1"/>
    <col min="8963" max="8963" width="7.85546875" style="14" customWidth="1"/>
    <col min="8964" max="8964" width="9.140625" style="14" customWidth="1"/>
    <col min="8965" max="8965" width="8.7109375" style="14" customWidth="1"/>
    <col min="8966" max="8971" width="9.140625" style="14" customWidth="1"/>
    <col min="8972" max="8972" width="11.42578125" style="14" customWidth="1"/>
    <col min="8973" max="8985" width="9.140625" style="14" customWidth="1"/>
    <col min="8986" max="8986" width="11.140625" style="14" customWidth="1"/>
    <col min="8987" max="9189" width="9.140625" style="14"/>
    <col min="9190" max="9191" width="9.140625" style="14" customWidth="1"/>
    <col min="9192" max="9192" width="8.5703125" style="14" customWidth="1"/>
    <col min="9193" max="9193" width="11.7109375" style="14" customWidth="1"/>
    <col min="9194" max="9194" width="19.28515625" style="14" customWidth="1"/>
    <col min="9195" max="9195" width="13.140625" style="14" customWidth="1"/>
    <col min="9196" max="9197" width="11.5703125" style="14" customWidth="1"/>
    <col min="9198" max="9198" width="5.7109375" style="14" customWidth="1"/>
    <col min="9199" max="9199" width="28.7109375" style="14" customWidth="1"/>
    <col min="9200" max="9200" width="40.5703125" style="14" customWidth="1"/>
    <col min="9201" max="9201" width="13.28515625" style="14" customWidth="1"/>
    <col min="9202" max="9202" width="14" style="14" customWidth="1"/>
    <col min="9203" max="9205" width="13.140625" style="14" customWidth="1"/>
    <col min="9206" max="9206" width="10.28515625" style="14" customWidth="1"/>
    <col min="9207" max="9208" width="13.5703125" style="14" customWidth="1"/>
    <col min="9209" max="9209" width="7.140625" style="14" customWidth="1"/>
    <col min="9210" max="9210" width="5.7109375" style="14" customWidth="1"/>
    <col min="9211" max="9211" width="6.42578125" style="14" customWidth="1"/>
    <col min="9212" max="9212" width="6.5703125" style="14" customWidth="1"/>
    <col min="9213" max="9216" width="9.140625" style="14" customWidth="1"/>
    <col min="9217" max="9217" width="7.7109375" style="14" customWidth="1"/>
    <col min="9218" max="9218" width="9.140625" style="14" customWidth="1"/>
    <col min="9219" max="9219" width="7.85546875" style="14" customWidth="1"/>
    <col min="9220" max="9220" width="9.140625" style="14" customWidth="1"/>
    <col min="9221" max="9221" width="8.7109375" style="14" customWidth="1"/>
    <col min="9222" max="9227" width="9.140625" style="14" customWidth="1"/>
    <col min="9228" max="9228" width="11.42578125" style="14" customWidth="1"/>
    <col min="9229" max="9241" width="9.140625" style="14" customWidth="1"/>
    <col min="9242" max="9242" width="11.140625" style="14" customWidth="1"/>
    <col min="9243" max="9445" width="9.140625" style="14"/>
    <col min="9446" max="9447" width="9.140625" style="14" customWidth="1"/>
    <col min="9448" max="9448" width="8.5703125" style="14" customWidth="1"/>
    <col min="9449" max="9449" width="11.7109375" style="14" customWidth="1"/>
    <col min="9450" max="9450" width="19.28515625" style="14" customWidth="1"/>
    <col min="9451" max="9451" width="13.140625" style="14" customWidth="1"/>
    <col min="9452" max="9453" width="11.5703125" style="14" customWidth="1"/>
    <col min="9454" max="9454" width="5.7109375" style="14" customWidth="1"/>
    <col min="9455" max="9455" width="28.7109375" style="14" customWidth="1"/>
    <col min="9456" max="9456" width="40.5703125" style="14" customWidth="1"/>
    <col min="9457" max="9457" width="13.28515625" style="14" customWidth="1"/>
    <col min="9458" max="9458" width="14" style="14" customWidth="1"/>
    <col min="9459" max="9461" width="13.140625" style="14" customWidth="1"/>
    <col min="9462" max="9462" width="10.28515625" style="14" customWidth="1"/>
    <col min="9463" max="9464" width="13.5703125" style="14" customWidth="1"/>
    <col min="9465" max="9465" width="7.140625" style="14" customWidth="1"/>
    <col min="9466" max="9466" width="5.7109375" style="14" customWidth="1"/>
    <col min="9467" max="9467" width="6.42578125" style="14" customWidth="1"/>
    <col min="9468" max="9468" width="6.5703125" style="14" customWidth="1"/>
    <col min="9469" max="9472" width="9.140625" style="14" customWidth="1"/>
    <col min="9473" max="9473" width="7.7109375" style="14" customWidth="1"/>
    <col min="9474" max="9474" width="9.140625" style="14" customWidth="1"/>
    <col min="9475" max="9475" width="7.85546875" style="14" customWidth="1"/>
    <col min="9476" max="9476" width="9.140625" style="14" customWidth="1"/>
    <col min="9477" max="9477" width="8.7109375" style="14" customWidth="1"/>
    <col min="9478" max="9483" width="9.140625" style="14" customWidth="1"/>
    <col min="9484" max="9484" width="11.42578125" style="14" customWidth="1"/>
    <col min="9485" max="9497" width="9.140625" style="14" customWidth="1"/>
    <col min="9498" max="9498" width="11.140625" style="14" customWidth="1"/>
    <col min="9499" max="9701" width="9.140625" style="14"/>
    <col min="9702" max="9703" width="9.140625" style="14" customWidth="1"/>
    <col min="9704" max="9704" width="8.5703125" style="14" customWidth="1"/>
    <col min="9705" max="9705" width="11.7109375" style="14" customWidth="1"/>
    <col min="9706" max="9706" width="19.28515625" style="14" customWidth="1"/>
    <col min="9707" max="9707" width="13.140625" style="14" customWidth="1"/>
    <col min="9708" max="9709" width="11.5703125" style="14" customWidth="1"/>
    <col min="9710" max="9710" width="5.7109375" style="14" customWidth="1"/>
    <col min="9711" max="9711" width="28.7109375" style="14" customWidth="1"/>
    <col min="9712" max="9712" width="40.5703125" style="14" customWidth="1"/>
    <col min="9713" max="9713" width="13.28515625" style="14" customWidth="1"/>
    <col min="9714" max="9714" width="14" style="14" customWidth="1"/>
    <col min="9715" max="9717" width="13.140625" style="14" customWidth="1"/>
    <col min="9718" max="9718" width="10.28515625" style="14" customWidth="1"/>
    <col min="9719" max="9720" width="13.5703125" style="14" customWidth="1"/>
    <col min="9721" max="9721" width="7.140625" style="14" customWidth="1"/>
    <col min="9722" max="9722" width="5.7109375" style="14" customWidth="1"/>
    <col min="9723" max="9723" width="6.42578125" style="14" customWidth="1"/>
    <col min="9724" max="9724" width="6.5703125" style="14" customWidth="1"/>
    <col min="9725" max="9728" width="9.140625" style="14" customWidth="1"/>
    <col min="9729" max="9729" width="7.7109375" style="14" customWidth="1"/>
    <col min="9730" max="9730" width="9.140625" style="14" customWidth="1"/>
    <col min="9731" max="9731" width="7.85546875" style="14" customWidth="1"/>
    <col min="9732" max="9732" width="9.140625" style="14" customWidth="1"/>
    <col min="9733" max="9733" width="8.7109375" style="14" customWidth="1"/>
    <col min="9734" max="9739" width="9.140625" style="14" customWidth="1"/>
    <col min="9740" max="9740" width="11.42578125" style="14" customWidth="1"/>
    <col min="9741" max="9753" width="9.140625" style="14" customWidth="1"/>
    <col min="9754" max="9754" width="11.140625" style="14" customWidth="1"/>
    <col min="9755" max="9957" width="9.140625" style="14"/>
    <col min="9958" max="9959" width="9.140625" style="14" customWidth="1"/>
    <col min="9960" max="9960" width="8.5703125" style="14" customWidth="1"/>
    <col min="9961" max="9961" width="11.7109375" style="14" customWidth="1"/>
    <col min="9962" max="9962" width="19.28515625" style="14" customWidth="1"/>
    <col min="9963" max="9963" width="13.140625" style="14" customWidth="1"/>
    <col min="9964" max="9965" width="11.5703125" style="14" customWidth="1"/>
    <col min="9966" max="9966" width="5.7109375" style="14" customWidth="1"/>
    <col min="9967" max="9967" width="28.7109375" style="14" customWidth="1"/>
    <col min="9968" max="9968" width="40.5703125" style="14" customWidth="1"/>
    <col min="9969" max="9969" width="13.28515625" style="14" customWidth="1"/>
    <col min="9970" max="9970" width="14" style="14" customWidth="1"/>
    <col min="9971" max="9973" width="13.140625" style="14" customWidth="1"/>
    <col min="9974" max="9974" width="10.28515625" style="14" customWidth="1"/>
    <col min="9975" max="9976" width="13.5703125" style="14" customWidth="1"/>
    <col min="9977" max="9977" width="7.140625" style="14" customWidth="1"/>
    <col min="9978" max="9978" width="5.7109375" style="14" customWidth="1"/>
    <col min="9979" max="9979" width="6.42578125" style="14" customWidth="1"/>
    <col min="9980" max="9980" width="6.5703125" style="14" customWidth="1"/>
    <col min="9981" max="9984" width="9.140625" style="14" customWidth="1"/>
    <col min="9985" max="9985" width="7.7109375" style="14" customWidth="1"/>
    <col min="9986" max="9986" width="9.140625" style="14" customWidth="1"/>
    <col min="9987" max="9987" width="7.85546875" style="14" customWidth="1"/>
    <col min="9988" max="9988" width="9.140625" style="14" customWidth="1"/>
    <col min="9989" max="9989" width="8.7109375" style="14" customWidth="1"/>
    <col min="9990" max="9995" width="9.140625" style="14" customWidth="1"/>
    <col min="9996" max="9996" width="11.42578125" style="14" customWidth="1"/>
    <col min="9997" max="10009" width="9.140625" style="14" customWidth="1"/>
    <col min="10010" max="10010" width="11.140625" style="14" customWidth="1"/>
    <col min="10011" max="10213" width="9.140625" style="14"/>
    <col min="10214" max="10215" width="9.140625" style="14" customWidth="1"/>
    <col min="10216" max="10216" width="8.5703125" style="14" customWidth="1"/>
    <col min="10217" max="10217" width="11.7109375" style="14" customWidth="1"/>
    <col min="10218" max="10218" width="19.28515625" style="14" customWidth="1"/>
    <col min="10219" max="10219" width="13.140625" style="14" customWidth="1"/>
    <col min="10220" max="10221" width="11.5703125" style="14" customWidth="1"/>
    <col min="10222" max="10222" width="5.7109375" style="14" customWidth="1"/>
    <col min="10223" max="10223" width="28.7109375" style="14" customWidth="1"/>
    <col min="10224" max="10224" width="40.5703125" style="14" customWidth="1"/>
    <col min="10225" max="10225" width="13.28515625" style="14" customWidth="1"/>
    <col min="10226" max="10226" width="14" style="14" customWidth="1"/>
    <col min="10227" max="10229" width="13.140625" style="14" customWidth="1"/>
    <col min="10230" max="10230" width="10.28515625" style="14" customWidth="1"/>
    <col min="10231" max="10232" width="13.5703125" style="14" customWidth="1"/>
    <col min="10233" max="10233" width="7.140625" style="14" customWidth="1"/>
    <col min="10234" max="10234" width="5.7109375" style="14" customWidth="1"/>
    <col min="10235" max="10235" width="6.42578125" style="14" customWidth="1"/>
    <col min="10236" max="10236" width="6.5703125" style="14" customWidth="1"/>
    <col min="10237" max="10240" width="9.140625" style="14" customWidth="1"/>
    <col min="10241" max="10241" width="7.7109375" style="14" customWidth="1"/>
    <col min="10242" max="10242" width="9.140625" style="14" customWidth="1"/>
    <col min="10243" max="10243" width="7.85546875" style="14" customWidth="1"/>
    <col min="10244" max="10244" width="9.140625" style="14" customWidth="1"/>
    <col min="10245" max="10245" width="8.7109375" style="14" customWidth="1"/>
    <col min="10246" max="10251" width="9.140625" style="14" customWidth="1"/>
    <col min="10252" max="10252" width="11.42578125" style="14" customWidth="1"/>
    <col min="10253" max="10265" width="9.140625" style="14" customWidth="1"/>
    <col min="10266" max="10266" width="11.140625" style="14" customWidth="1"/>
    <col min="10267" max="10469" width="9.140625" style="14"/>
    <col min="10470" max="10471" width="9.140625" style="14" customWidth="1"/>
    <col min="10472" max="10472" width="8.5703125" style="14" customWidth="1"/>
    <col min="10473" max="10473" width="11.7109375" style="14" customWidth="1"/>
    <col min="10474" max="10474" width="19.28515625" style="14" customWidth="1"/>
    <col min="10475" max="10475" width="13.140625" style="14" customWidth="1"/>
    <col min="10476" max="10477" width="11.5703125" style="14" customWidth="1"/>
    <col min="10478" max="10478" width="5.7109375" style="14" customWidth="1"/>
    <col min="10479" max="10479" width="28.7109375" style="14" customWidth="1"/>
    <col min="10480" max="10480" width="40.5703125" style="14" customWidth="1"/>
    <col min="10481" max="10481" width="13.28515625" style="14" customWidth="1"/>
    <col min="10482" max="10482" width="14" style="14" customWidth="1"/>
    <col min="10483" max="10485" width="13.140625" style="14" customWidth="1"/>
    <col min="10486" max="10486" width="10.28515625" style="14" customWidth="1"/>
    <col min="10487" max="10488" width="13.5703125" style="14" customWidth="1"/>
    <col min="10489" max="10489" width="7.140625" style="14" customWidth="1"/>
    <col min="10490" max="10490" width="5.7109375" style="14" customWidth="1"/>
    <col min="10491" max="10491" width="6.42578125" style="14" customWidth="1"/>
    <col min="10492" max="10492" width="6.5703125" style="14" customWidth="1"/>
    <col min="10493" max="10496" width="9.140625" style="14" customWidth="1"/>
    <col min="10497" max="10497" width="7.7109375" style="14" customWidth="1"/>
    <col min="10498" max="10498" width="9.140625" style="14" customWidth="1"/>
    <col min="10499" max="10499" width="7.85546875" style="14" customWidth="1"/>
    <col min="10500" max="10500" width="9.140625" style="14" customWidth="1"/>
    <col min="10501" max="10501" width="8.7109375" style="14" customWidth="1"/>
    <col min="10502" max="10507" width="9.140625" style="14" customWidth="1"/>
    <col min="10508" max="10508" width="11.42578125" style="14" customWidth="1"/>
    <col min="10509" max="10521" width="9.140625" style="14" customWidth="1"/>
    <col min="10522" max="10522" width="11.140625" style="14" customWidth="1"/>
    <col min="10523" max="10725" width="9.140625" style="14"/>
    <col min="10726" max="10727" width="9.140625" style="14" customWidth="1"/>
    <col min="10728" max="10728" width="8.5703125" style="14" customWidth="1"/>
    <col min="10729" max="10729" width="11.7109375" style="14" customWidth="1"/>
    <col min="10730" max="10730" width="19.28515625" style="14" customWidth="1"/>
    <col min="10731" max="10731" width="13.140625" style="14" customWidth="1"/>
    <col min="10732" max="10733" width="11.5703125" style="14" customWidth="1"/>
    <col min="10734" max="10734" width="5.7109375" style="14" customWidth="1"/>
    <col min="10735" max="10735" width="28.7109375" style="14" customWidth="1"/>
    <col min="10736" max="10736" width="40.5703125" style="14" customWidth="1"/>
    <col min="10737" max="10737" width="13.28515625" style="14" customWidth="1"/>
    <col min="10738" max="10738" width="14" style="14" customWidth="1"/>
    <col min="10739" max="10741" width="13.140625" style="14" customWidth="1"/>
    <col min="10742" max="10742" width="10.28515625" style="14" customWidth="1"/>
    <col min="10743" max="10744" width="13.5703125" style="14" customWidth="1"/>
    <col min="10745" max="10745" width="7.140625" style="14" customWidth="1"/>
    <col min="10746" max="10746" width="5.7109375" style="14" customWidth="1"/>
    <col min="10747" max="10747" width="6.42578125" style="14" customWidth="1"/>
    <col min="10748" max="10748" width="6.5703125" style="14" customWidth="1"/>
    <col min="10749" max="10752" width="9.140625" style="14" customWidth="1"/>
    <col min="10753" max="10753" width="7.7109375" style="14" customWidth="1"/>
    <col min="10754" max="10754" width="9.140625" style="14" customWidth="1"/>
    <col min="10755" max="10755" width="7.85546875" style="14" customWidth="1"/>
    <col min="10756" max="10756" width="9.140625" style="14" customWidth="1"/>
    <col min="10757" max="10757" width="8.7109375" style="14" customWidth="1"/>
    <col min="10758" max="10763" width="9.140625" style="14" customWidth="1"/>
    <col min="10764" max="10764" width="11.42578125" style="14" customWidth="1"/>
    <col min="10765" max="10777" width="9.140625" style="14" customWidth="1"/>
    <col min="10778" max="10778" width="11.140625" style="14" customWidth="1"/>
    <col min="10779" max="10981" width="9.140625" style="14"/>
    <col min="10982" max="10983" width="9.140625" style="14" customWidth="1"/>
    <col min="10984" max="10984" width="8.5703125" style="14" customWidth="1"/>
    <col min="10985" max="10985" width="11.7109375" style="14" customWidth="1"/>
    <col min="10986" max="10986" width="19.28515625" style="14" customWidth="1"/>
    <col min="10987" max="10987" width="13.140625" style="14" customWidth="1"/>
    <col min="10988" max="10989" width="11.5703125" style="14" customWidth="1"/>
    <col min="10990" max="10990" width="5.7109375" style="14" customWidth="1"/>
    <col min="10991" max="10991" width="28.7109375" style="14" customWidth="1"/>
    <col min="10992" max="10992" width="40.5703125" style="14" customWidth="1"/>
    <col min="10993" max="10993" width="13.28515625" style="14" customWidth="1"/>
    <col min="10994" max="10994" width="14" style="14" customWidth="1"/>
    <col min="10995" max="10997" width="13.140625" style="14" customWidth="1"/>
    <col min="10998" max="10998" width="10.28515625" style="14" customWidth="1"/>
    <col min="10999" max="11000" width="13.5703125" style="14" customWidth="1"/>
    <col min="11001" max="11001" width="7.140625" style="14" customWidth="1"/>
    <col min="11002" max="11002" width="5.7109375" style="14" customWidth="1"/>
    <col min="11003" max="11003" width="6.42578125" style="14" customWidth="1"/>
    <col min="11004" max="11004" width="6.5703125" style="14" customWidth="1"/>
    <col min="11005" max="11008" width="9.140625" style="14" customWidth="1"/>
    <col min="11009" max="11009" width="7.7109375" style="14" customWidth="1"/>
    <col min="11010" max="11010" width="9.140625" style="14" customWidth="1"/>
    <col min="11011" max="11011" width="7.85546875" style="14" customWidth="1"/>
    <col min="11012" max="11012" width="9.140625" style="14" customWidth="1"/>
    <col min="11013" max="11013" width="8.7109375" style="14" customWidth="1"/>
    <col min="11014" max="11019" width="9.140625" style="14" customWidth="1"/>
    <col min="11020" max="11020" width="11.42578125" style="14" customWidth="1"/>
    <col min="11021" max="11033" width="9.140625" style="14" customWidth="1"/>
    <col min="11034" max="11034" width="11.140625" style="14" customWidth="1"/>
    <col min="11035" max="11237" width="9.140625" style="14"/>
    <col min="11238" max="11239" width="9.140625" style="14" customWidth="1"/>
    <col min="11240" max="11240" width="8.5703125" style="14" customWidth="1"/>
    <col min="11241" max="11241" width="11.7109375" style="14" customWidth="1"/>
    <col min="11242" max="11242" width="19.28515625" style="14" customWidth="1"/>
    <col min="11243" max="11243" width="13.140625" style="14" customWidth="1"/>
    <col min="11244" max="11245" width="11.5703125" style="14" customWidth="1"/>
    <col min="11246" max="11246" width="5.7109375" style="14" customWidth="1"/>
    <col min="11247" max="11247" width="28.7109375" style="14" customWidth="1"/>
    <col min="11248" max="11248" width="40.5703125" style="14" customWidth="1"/>
    <col min="11249" max="11249" width="13.28515625" style="14" customWidth="1"/>
    <col min="11250" max="11250" width="14" style="14" customWidth="1"/>
    <col min="11251" max="11253" width="13.140625" style="14" customWidth="1"/>
    <col min="11254" max="11254" width="10.28515625" style="14" customWidth="1"/>
    <col min="11255" max="11256" width="13.5703125" style="14" customWidth="1"/>
    <col min="11257" max="11257" width="7.140625" style="14" customWidth="1"/>
    <col min="11258" max="11258" width="5.7109375" style="14" customWidth="1"/>
    <col min="11259" max="11259" width="6.42578125" style="14" customWidth="1"/>
    <col min="11260" max="11260" width="6.5703125" style="14" customWidth="1"/>
    <col min="11261" max="11264" width="9.140625" style="14" customWidth="1"/>
    <col min="11265" max="11265" width="7.7109375" style="14" customWidth="1"/>
    <col min="11266" max="11266" width="9.140625" style="14" customWidth="1"/>
    <col min="11267" max="11267" width="7.85546875" style="14" customWidth="1"/>
    <col min="11268" max="11268" width="9.140625" style="14" customWidth="1"/>
    <col min="11269" max="11269" width="8.7109375" style="14" customWidth="1"/>
    <col min="11270" max="11275" width="9.140625" style="14" customWidth="1"/>
    <col min="11276" max="11276" width="11.42578125" style="14" customWidth="1"/>
    <col min="11277" max="11289" width="9.140625" style="14" customWidth="1"/>
    <col min="11290" max="11290" width="11.140625" style="14" customWidth="1"/>
    <col min="11291" max="11493" width="9.140625" style="14"/>
    <col min="11494" max="11495" width="9.140625" style="14" customWidth="1"/>
    <col min="11496" max="11496" width="8.5703125" style="14" customWidth="1"/>
    <col min="11497" max="11497" width="11.7109375" style="14" customWidth="1"/>
    <col min="11498" max="11498" width="19.28515625" style="14" customWidth="1"/>
    <col min="11499" max="11499" width="13.140625" style="14" customWidth="1"/>
    <col min="11500" max="11501" width="11.5703125" style="14" customWidth="1"/>
    <col min="11502" max="11502" width="5.7109375" style="14" customWidth="1"/>
    <col min="11503" max="11503" width="28.7109375" style="14" customWidth="1"/>
    <col min="11504" max="11504" width="40.5703125" style="14" customWidth="1"/>
    <col min="11505" max="11505" width="13.28515625" style="14" customWidth="1"/>
    <col min="11506" max="11506" width="14" style="14" customWidth="1"/>
    <col min="11507" max="11509" width="13.140625" style="14" customWidth="1"/>
    <col min="11510" max="11510" width="10.28515625" style="14" customWidth="1"/>
    <col min="11511" max="11512" width="13.5703125" style="14" customWidth="1"/>
    <col min="11513" max="11513" width="7.140625" style="14" customWidth="1"/>
    <col min="11514" max="11514" width="5.7109375" style="14" customWidth="1"/>
    <col min="11515" max="11515" width="6.42578125" style="14" customWidth="1"/>
    <col min="11516" max="11516" width="6.5703125" style="14" customWidth="1"/>
    <col min="11517" max="11520" width="9.140625" style="14" customWidth="1"/>
    <col min="11521" max="11521" width="7.7109375" style="14" customWidth="1"/>
    <col min="11522" max="11522" width="9.140625" style="14" customWidth="1"/>
    <col min="11523" max="11523" width="7.85546875" style="14" customWidth="1"/>
    <col min="11524" max="11524" width="9.140625" style="14" customWidth="1"/>
    <col min="11525" max="11525" width="8.7109375" style="14" customWidth="1"/>
    <col min="11526" max="11531" width="9.140625" style="14" customWidth="1"/>
    <col min="11532" max="11532" width="11.42578125" style="14" customWidth="1"/>
    <col min="11533" max="11545" width="9.140625" style="14" customWidth="1"/>
    <col min="11546" max="11546" width="11.140625" style="14" customWidth="1"/>
    <col min="11547" max="11749" width="9.140625" style="14"/>
    <col min="11750" max="11751" width="9.140625" style="14" customWidth="1"/>
    <col min="11752" max="11752" width="8.5703125" style="14" customWidth="1"/>
    <col min="11753" max="11753" width="11.7109375" style="14" customWidth="1"/>
    <col min="11754" max="11754" width="19.28515625" style="14" customWidth="1"/>
    <col min="11755" max="11755" width="13.140625" style="14" customWidth="1"/>
    <col min="11756" max="11757" width="11.5703125" style="14" customWidth="1"/>
    <col min="11758" max="11758" width="5.7109375" style="14" customWidth="1"/>
    <col min="11759" max="11759" width="28.7109375" style="14" customWidth="1"/>
    <col min="11760" max="11760" width="40.5703125" style="14" customWidth="1"/>
    <col min="11761" max="11761" width="13.28515625" style="14" customWidth="1"/>
    <col min="11762" max="11762" width="14" style="14" customWidth="1"/>
    <col min="11763" max="11765" width="13.140625" style="14" customWidth="1"/>
    <col min="11766" max="11766" width="10.28515625" style="14" customWidth="1"/>
    <col min="11767" max="11768" width="13.5703125" style="14" customWidth="1"/>
    <col min="11769" max="11769" width="7.140625" style="14" customWidth="1"/>
    <col min="11770" max="11770" width="5.7109375" style="14" customWidth="1"/>
    <col min="11771" max="11771" width="6.42578125" style="14" customWidth="1"/>
    <col min="11772" max="11772" width="6.5703125" style="14" customWidth="1"/>
    <col min="11773" max="11776" width="9.140625" style="14" customWidth="1"/>
    <col min="11777" max="11777" width="7.7109375" style="14" customWidth="1"/>
    <col min="11778" max="11778" width="9.140625" style="14" customWidth="1"/>
    <col min="11779" max="11779" width="7.85546875" style="14" customWidth="1"/>
    <col min="11780" max="11780" width="9.140625" style="14" customWidth="1"/>
    <col min="11781" max="11781" width="8.7109375" style="14" customWidth="1"/>
    <col min="11782" max="11787" width="9.140625" style="14" customWidth="1"/>
    <col min="11788" max="11788" width="11.42578125" style="14" customWidth="1"/>
    <col min="11789" max="11801" width="9.140625" style="14" customWidth="1"/>
    <col min="11802" max="11802" width="11.140625" style="14" customWidth="1"/>
    <col min="11803" max="12005" width="9.140625" style="14"/>
    <col min="12006" max="12007" width="9.140625" style="14" customWidth="1"/>
    <col min="12008" max="12008" width="8.5703125" style="14" customWidth="1"/>
    <col min="12009" max="12009" width="11.7109375" style="14" customWidth="1"/>
    <col min="12010" max="12010" width="19.28515625" style="14" customWidth="1"/>
    <col min="12011" max="12011" width="13.140625" style="14" customWidth="1"/>
    <col min="12012" max="12013" width="11.5703125" style="14" customWidth="1"/>
    <col min="12014" max="12014" width="5.7109375" style="14" customWidth="1"/>
    <col min="12015" max="12015" width="28.7109375" style="14" customWidth="1"/>
    <col min="12016" max="12016" width="40.5703125" style="14" customWidth="1"/>
    <col min="12017" max="12017" width="13.28515625" style="14" customWidth="1"/>
    <col min="12018" max="12018" width="14" style="14" customWidth="1"/>
    <col min="12019" max="12021" width="13.140625" style="14" customWidth="1"/>
    <col min="12022" max="12022" width="10.28515625" style="14" customWidth="1"/>
    <col min="12023" max="12024" width="13.5703125" style="14" customWidth="1"/>
    <col min="12025" max="12025" width="7.140625" style="14" customWidth="1"/>
    <col min="12026" max="12026" width="5.7109375" style="14" customWidth="1"/>
    <col min="12027" max="12027" width="6.42578125" style="14" customWidth="1"/>
    <col min="12028" max="12028" width="6.5703125" style="14" customWidth="1"/>
    <col min="12029" max="12032" width="9.140625" style="14" customWidth="1"/>
    <col min="12033" max="12033" width="7.7109375" style="14" customWidth="1"/>
    <col min="12034" max="12034" width="9.140625" style="14" customWidth="1"/>
    <col min="12035" max="12035" width="7.85546875" style="14" customWidth="1"/>
    <col min="12036" max="12036" width="9.140625" style="14" customWidth="1"/>
    <col min="12037" max="12037" width="8.7109375" style="14" customWidth="1"/>
    <col min="12038" max="12043" width="9.140625" style="14" customWidth="1"/>
    <col min="12044" max="12044" width="11.42578125" style="14" customWidth="1"/>
    <col min="12045" max="12057" width="9.140625" style="14" customWidth="1"/>
    <col min="12058" max="12058" width="11.140625" style="14" customWidth="1"/>
    <col min="12059" max="12261" width="9.140625" style="14"/>
    <col min="12262" max="12263" width="9.140625" style="14" customWidth="1"/>
    <col min="12264" max="12264" width="8.5703125" style="14" customWidth="1"/>
    <col min="12265" max="12265" width="11.7109375" style="14" customWidth="1"/>
    <col min="12266" max="12266" width="19.28515625" style="14" customWidth="1"/>
    <col min="12267" max="12267" width="13.140625" style="14" customWidth="1"/>
    <col min="12268" max="12269" width="11.5703125" style="14" customWidth="1"/>
    <col min="12270" max="12270" width="5.7109375" style="14" customWidth="1"/>
    <col min="12271" max="12271" width="28.7109375" style="14" customWidth="1"/>
    <col min="12272" max="12272" width="40.5703125" style="14" customWidth="1"/>
    <col min="12273" max="12273" width="13.28515625" style="14" customWidth="1"/>
    <col min="12274" max="12274" width="14" style="14" customWidth="1"/>
    <col min="12275" max="12277" width="13.140625" style="14" customWidth="1"/>
    <col min="12278" max="12278" width="10.28515625" style="14" customWidth="1"/>
    <col min="12279" max="12280" width="13.5703125" style="14" customWidth="1"/>
    <col min="12281" max="12281" width="7.140625" style="14" customWidth="1"/>
    <col min="12282" max="12282" width="5.7109375" style="14" customWidth="1"/>
    <col min="12283" max="12283" width="6.42578125" style="14" customWidth="1"/>
    <col min="12284" max="12284" width="6.5703125" style="14" customWidth="1"/>
    <col min="12285" max="12288" width="9.140625" style="14" customWidth="1"/>
    <col min="12289" max="12289" width="7.7109375" style="14" customWidth="1"/>
    <col min="12290" max="12290" width="9.140625" style="14" customWidth="1"/>
    <col min="12291" max="12291" width="7.85546875" style="14" customWidth="1"/>
    <col min="12292" max="12292" width="9.140625" style="14" customWidth="1"/>
    <col min="12293" max="12293" width="8.7109375" style="14" customWidth="1"/>
    <col min="12294" max="12299" width="9.140625" style="14" customWidth="1"/>
    <col min="12300" max="12300" width="11.42578125" style="14" customWidth="1"/>
    <col min="12301" max="12313" width="9.140625" style="14" customWidth="1"/>
    <col min="12314" max="12314" width="11.140625" style="14" customWidth="1"/>
    <col min="12315" max="12517" width="9.140625" style="14"/>
    <col min="12518" max="12519" width="9.140625" style="14" customWidth="1"/>
    <col min="12520" max="12520" width="8.5703125" style="14" customWidth="1"/>
    <col min="12521" max="12521" width="11.7109375" style="14" customWidth="1"/>
    <col min="12522" max="12522" width="19.28515625" style="14" customWidth="1"/>
    <col min="12523" max="12523" width="13.140625" style="14" customWidth="1"/>
    <col min="12524" max="12525" width="11.5703125" style="14" customWidth="1"/>
    <col min="12526" max="12526" width="5.7109375" style="14" customWidth="1"/>
    <col min="12527" max="12527" width="28.7109375" style="14" customWidth="1"/>
    <col min="12528" max="12528" width="40.5703125" style="14" customWidth="1"/>
    <col min="12529" max="12529" width="13.28515625" style="14" customWidth="1"/>
    <col min="12530" max="12530" width="14" style="14" customWidth="1"/>
    <col min="12531" max="12533" width="13.140625" style="14" customWidth="1"/>
    <col min="12534" max="12534" width="10.28515625" style="14" customWidth="1"/>
    <col min="12535" max="12536" width="13.5703125" style="14" customWidth="1"/>
    <col min="12537" max="12537" width="7.140625" style="14" customWidth="1"/>
    <col min="12538" max="12538" width="5.7109375" style="14" customWidth="1"/>
    <col min="12539" max="12539" width="6.42578125" style="14" customWidth="1"/>
    <col min="12540" max="12540" width="6.5703125" style="14" customWidth="1"/>
    <col min="12541" max="12544" width="9.140625" style="14" customWidth="1"/>
    <col min="12545" max="12545" width="7.7109375" style="14" customWidth="1"/>
    <col min="12546" max="12546" width="9.140625" style="14" customWidth="1"/>
    <col min="12547" max="12547" width="7.85546875" style="14" customWidth="1"/>
    <col min="12548" max="12548" width="9.140625" style="14" customWidth="1"/>
    <col min="12549" max="12549" width="8.7109375" style="14" customWidth="1"/>
    <col min="12550" max="12555" width="9.140625" style="14" customWidth="1"/>
    <col min="12556" max="12556" width="11.42578125" style="14" customWidth="1"/>
    <col min="12557" max="12569" width="9.140625" style="14" customWidth="1"/>
    <col min="12570" max="12570" width="11.140625" style="14" customWidth="1"/>
    <col min="12571" max="12773" width="9.140625" style="14"/>
    <col min="12774" max="12775" width="9.140625" style="14" customWidth="1"/>
    <col min="12776" max="12776" width="8.5703125" style="14" customWidth="1"/>
    <col min="12777" max="12777" width="11.7109375" style="14" customWidth="1"/>
    <col min="12778" max="12778" width="19.28515625" style="14" customWidth="1"/>
    <col min="12779" max="12779" width="13.140625" style="14" customWidth="1"/>
    <col min="12780" max="12781" width="11.5703125" style="14" customWidth="1"/>
    <col min="12782" max="12782" width="5.7109375" style="14" customWidth="1"/>
    <col min="12783" max="12783" width="28.7109375" style="14" customWidth="1"/>
    <col min="12784" max="12784" width="40.5703125" style="14" customWidth="1"/>
    <col min="12785" max="12785" width="13.28515625" style="14" customWidth="1"/>
    <col min="12786" max="12786" width="14" style="14" customWidth="1"/>
    <col min="12787" max="12789" width="13.140625" style="14" customWidth="1"/>
    <col min="12790" max="12790" width="10.28515625" style="14" customWidth="1"/>
    <col min="12791" max="12792" width="13.5703125" style="14" customWidth="1"/>
    <col min="12793" max="12793" width="7.140625" style="14" customWidth="1"/>
    <col min="12794" max="12794" width="5.7109375" style="14" customWidth="1"/>
    <col min="12795" max="12795" width="6.42578125" style="14" customWidth="1"/>
    <col min="12796" max="12796" width="6.5703125" style="14" customWidth="1"/>
    <col min="12797" max="12800" width="9.140625" style="14" customWidth="1"/>
    <col min="12801" max="12801" width="7.7109375" style="14" customWidth="1"/>
    <col min="12802" max="12802" width="9.140625" style="14" customWidth="1"/>
    <col min="12803" max="12803" width="7.85546875" style="14" customWidth="1"/>
    <col min="12804" max="12804" width="9.140625" style="14" customWidth="1"/>
    <col min="12805" max="12805" width="8.7109375" style="14" customWidth="1"/>
    <col min="12806" max="12811" width="9.140625" style="14" customWidth="1"/>
    <col min="12812" max="12812" width="11.42578125" style="14" customWidth="1"/>
    <col min="12813" max="12825" width="9.140625" style="14" customWidth="1"/>
    <col min="12826" max="12826" width="11.140625" style="14" customWidth="1"/>
    <col min="12827" max="13029" width="9.140625" style="14"/>
    <col min="13030" max="13031" width="9.140625" style="14" customWidth="1"/>
    <col min="13032" max="13032" width="8.5703125" style="14" customWidth="1"/>
    <col min="13033" max="13033" width="11.7109375" style="14" customWidth="1"/>
    <col min="13034" max="13034" width="19.28515625" style="14" customWidth="1"/>
    <col min="13035" max="13035" width="13.140625" style="14" customWidth="1"/>
    <col min="13036" max="13037" width="11.5703125" style="14" customWidth="1"/>
    <col min="13038" max="13038" width="5.7109375" style="14" customWidth="1"/>
    <col min="13039" max="13039" width="28.7109375" style="14" customWidth="1"/>
    <col min="13040" max="13040" width="40.5703125" style="14" customWidth="1"/>
    <col min="13041" max="13041" width="13.28515625" style="14" customWidth="1"/>
    <col min="13042" max="13042" width="14" style="14" customWidth="1"/>
    <col min="13043" max="13045" width="13.140625" style="14" customWidth="1"/>
    <col min="13046" max="13046" width="10.28515625" style="14" customWidth="1"/>
    <col min="13047" max="13048" width="13.5703125" style="14" customWidth="1"/>
    <col min="13049" max="13049" width="7.140625" style="14" customWidth="1"/>
    <col min="13050" max="13050" width="5.7109375" style="14" customWidth="1"/>
    <col min="13051" max="13051" width="6.42578125" style="14" customWidth="1"/>
    <col min="13052" max="13052" width="6.5703125" style="14" customWidth="1"/>
    <col min="13053" max="13056" width="9.140625" style="14" customWidth="1"/>
    <col min="13057" max="13057" width="7.7109375" style="14" customWidth="1"/>
    <col min="13058" max="13058" width="9.140625" style="14" customWidth="1"/>
    <col min="13059" max="13059" width="7.85546875" style="14" customWidth="1"/>
    <col min="13060" max="13060" width="9.140625" style="14" customWidth="1"/>
    <col min="13061" max="13061" width="8.7109375" style="14" customWidth="1"/>
    <col min="13062" max="13067" width="9.140625" style="14" customWidth="1"/>
    <col min="13068" max="13068" width="11.42578125" style="14" customWidth="1"/>
    <col min="13069" max="13081" width="9.140625" style="14" customWidth="1"/>
    <col min="13082" max="13082" width="11.140625" style="14" customWidth="1"/>
    <col min="13083" max="13285" width="9.140625" style="14"/>
    <col min="13286" max="13287" width="9.140625" style="14" customWidth="1"/>
    <col min="13288" max="13288" width="8.5703125" style="14" customWidth="1"/>
    <col min="13289" max="13289" width="11.7109375" style="14" customWidth="1"/>
    <col min="13290" max="13290" width="19.28515625" style="14" customWidth="1"/>
    <col min="13291" max="13291" width="13.140625" style="14" customWidth="1"/>
    <col min="13292" max="13293" width="11.5703125" style="14" customWidth="1"/>
    <col min="13294" max="13294" width="5.7109375" style="14" customWidth="1"/>
    <col min="13295" max="13295" width="28.7109375" style="14" customWidth="1"/>
    <col min="13296" max="13296" width="40.5703125" style="14" customWidth="1"/>
    <col min="13297" max="13297" width="13.28515625" style="14" customWidth="1"/>
    <col min="13298" max="13298" width="14" style="14" customWidth="1"/>
    <col min="13299" max="13301" width="13.140625" style="14" customWidth="1"/>
    <col min="13302" max="13302" width="10.28515625" style="14" customWidth="1"/>
    <col min="13303" max="13304" width="13.5703125" style="14" customWidth="1"/>
    <col min="13305" max="13305" width="7.140625" style="14" customWidth="1"/>
    <col min="13306" max="13306" width="5.7109375" style="14" customWidth="1"/>
    <col min="13307" max="13307" width="6.42578125" style="14" customWidth="1"/>
    <col min="13308" max="13308" width="6.5703125" style="14" customWidth="1"/>
    <col min="13309" max="13312" width="9.140625" style="14" customWidth="1"/>
    <col min="13313" max="13313" width="7.7109375" style="14" customWidth="1"/>
    <col min="13314" max="13314" width="9.140625" style="14" customWidth="1"/>
    <col min="13315" max="13315" width="7.85546875" style="14" customWidth="1"/>
    <col min="13316" max="13316" width="9.140625" style="14" customWidth="1"/>
    <col min="13317" max="13317" width="8.7109375" style="14" customWidth="1"/>
    <col min="13318" max="13323" width="9.140625" style="14" customWidth="1"/>
    <col min="13324" max="13324" width="11.42578125" style="14" customWidth="1"/>
    <col min="13325" max="13337" width="9.140625" style="14" customWidth="1"/>
    <col min="13338" max="13338" width="11.140625" style="14" customWidth="1"/>
    <col min="13339" max="13541" width="9.140625" style="14"/>
    <col min="13542" max="13543" width="9.140625" style="14" customWidth="1"/>
    <col min="13544" max="13544" width="8.5703125" style="14" customWidth="1"/>
    <col min="13545" max="13545" width="11.7109375" style="14" customWidth="1"/>
    <col min="13546" max="13546" width="19.28515625" style="14" customWidth="1"/>
    <col min="13547" max="13547" width="13.140625" style="14" customWidth="1"/>
    <col min="13548" max="13549" width="11.5703125" style="14" customWidth="1"/>
    <col min="13550" max="13550" width="5.7109375" style="14" customWidth="1"/>
    <col min="13551" max="13551" width="28.7109375" style="14" customWidth="1"/>
    <col min="13552" max="13552" width="40.5703125" style="14" customWidth="1"/>
    <col min="13553" max="13553" width="13.28515625" style="14" customWidth="1"/>
    <col min="13554" max="13554" width="14" style="14" customWidth="1"/>
    <col min="13555" max="13557" width="13.140625" style="14" customWidth="1"/>
    <col min="13558" max="13558" width="10.28515625" style="14" customWidth="1"/>
    <col min="13559" max="13560" width="13.5703125" style="14" customWidth="1"/>
    <col min="13561" max="13561" width="7.140625" style="14" customWidth="1"/>
    <col min="13562" max="13562" width="5.7109375" style="14" customWidth="1"/>
    <col min="13563" max="13563" width="6.42578125" style="14" customWidth="1"/>
    <col min="13564" max="13564" width="6.5703125" style="14" customWidth="1"/>
    <col min="13565" max="13568" width="9.140625" style="14" customWidth="1"/>
    <col min="13569" max="13569" width="7.7109375" style="14" customWidth="1"/>
    <col min="13570" max="13570" width="9.140625" style="14" customWidth="1"/>
    <col min="13571" max="13571" width="7.85546875" style="14" customWidth="1"/>
    <col min="13572" max="13572" width="9.140625" style="14" customWidth="1"/>
    <col min="13573" max="13573" width="8.7109375" style="14" customWidth="1"/>
    <col min="13574" max="13579" width="9.140625" style="14" customWidth="1"/>
    <col min="13580" max="13580" width="11.42578125" style="14" customWidth="1"/>
    <col min="13581" max="13593" width="9.140625" style="14" customWidth="1"/>
    <col min="13594" max="13594" width="11.140625" style="14" customWidth="1"/>
    <col min="13595" max="13797" width="9.140625" style="14"/>
    <col min="13798" max="13799" width="9.140625" style="14" customWidth="1"/>
    <col min="13800" max="13800" width="8.5703125" style="14" customWidth="1"/>
    <col min="13801" max="13801" width="11.7109375" style="14" customWidth="1"/>
    <col min="13802" max="13802" width="19.28515625" style="14" customWidth="1"/>
    <col min="13803" max="13803" width="13.140625" style="14" customWidth="1"/>
    <col min="13804" max="13805" width="11.5703125" style="14" customWidth="1"/>
    <col min="13806" max="13806" width="5.7109375" style="14" customWidth="1"/>
    <col min="13807" max="13807" width="28.7109375" style="14" customWidth="1"/>
    <col min="13808" max="13808" width="40.5703125" style="14" customWidth="1"/>
    <col min="13809" max="13809" width="13.28515625" style="14" customWidth="1"/>
    <col min="13810" max="13810" width="14" style="14" customWidth="1"/>
    <col min="13811" max="13813" width="13.140625" style="14" customWidth="1"/>
    <col min="13814" max="13814" width="10.28515625" style="14" customWidth="1"/>
    <col min="13815" max="13816" width="13.5703125" style="14" customWidth="1"/>
    <col min="13817" max="13817" width="7.140625" style="14" customWidth="1"/>
    <col min="13818" max="13818" width="5.7109375" style="14" customWidth="1"/>
    <col min="13819" max="13819" width="6.42578125" style="14" customWidth="1"/>
    <col min="13820" max="13820" width="6.5703125" style="14" customWidth="1"/>
    <col min="13821" max="13824" width="9.140625" style="14" customWidth="1"/>
    <col min="13825" max="13825" width="7.7109375" style="14" customWidth="1"/>
    <col min="13826" max="13826" width="9.140625" style="14" customWidth="1"/>
    <col min="13827" max="13827" width="7.85546875" style="14" customWidth="1"/>
    <col min="13828" max="13828" width="9.140625" style="14" customWidth="1"/>
    <col min="13829" max="13829" width="8.7109375" style="14" customWidth="1"/>
    <col min="13830" max="13835" width="9.140625" style="14" customWidth="1"/>
    <col min="13836" max="13836" width="11.42578125" style="14" customWidth="1"/>
    <col min="13837" max="13849" width="9.140625" style="14" customWidth="1"/>
    <col min="13850" max="13850" width="11.140625" style="14" customWidth="1"/>
    <col min="13851" max="14053" width="9.140625" style="14"/>
    <col min="14054" max="14055" width="9.140625" style="14" customWidth="1"/>
    <col min="14056" max="14056" width="8.5703125" style="14" customWidth="1"/>
    <col min="14057" max="14057" width="11.7109375" style="14" customWidth="1"/>
    <col min="14058" max="14058" width="19.28515625" style="14" customWidth="1"/>
    <col min="14059" max="14059" width="13.140625" style="14" customWidth="1"/>
    <col min="14060" max="14061" width="11.5703125" style="14" customWidth="1"/>
    <col min="14062" max="14062" width="5.7109375" style="14" customWidth="1"/>
    <col min="14063" max="14063" width="28.7109375" style="14" customWidth="1"/>
    <col min="14064" max="14064" width="40.5703125" style="14" customWidth="1"/>
    <col min="14065" max="14065" width="13.28515625" style="14" customWidth="1"/>
    <col min="14066" max="14066" width="14" style="14" customWidth="1"/>
    <col min="14067" max="14069" width="13.140625" style="14" customWidth="1"/>
    <col min="14070" max="14070" width="10.28515625" style="14" customWidth="1"/>
    <col min="14071" max="14072" width="13.5703125" style="14" customWidth="1"/>
    <col min="14073" max="14073" width="7.140625" style="14" customWidth="1"/>
    <col min="14074" max="14074" width="5.7109375" style="14" customWidth="1"/>
    <col min="14075" max="14075" width="6.42578125" style="14" customWidth="1"/>
    <col min="14076" max="14076" width="6.5703125" style="14" customWidth="1"/>
    <col min="14077" max="14080" width="9.140625" style="14" customWidth="1"/>
    <col min="14081" max="14081" width="7.7109375" style="14" customWidth="1"/>
    <col min="14082" max="14082" width="9.140625" style="14" customWidth="1"/>
    <col min="14083" max="14083" width="7.85546875" style="14" customWidth="1"/>
    <col min="14084" max="14084" width="9.140625" style="14" customWidth="1"/>
    <col min="14085" max="14085" width="8.7109375" style="14" customWidth="1"/>
    <col min="14086" max="14091" width="9.140625" style="14" customWidth="1"/>
    <col min="14092" max="14092" width="11.42578125" style="14" customWidth="1"/>
    <col min="14093" max="14105" width="9.140625" style="14" customWidth="1"/>
    <col min="14106" max="14106" width="11.140625" style="14" customWidth="1"/>
    <col min="14107" max="14309" width="9.140625" style="14"/>
    <col min="14310" max="14311" width="9.140625" style="14" customWidth="1"/>
    <col min="14312" max="14312" width="8.5703125" style="14" customWidth="1"/>
    <col min="14313" max="14313" width="11.7109375" style="14" customWidth="1"/>
    <col min="14314" max="14314" width="19.28515625" style="14" customWidth="1"/>
    <col min="14315" max="14315" width="13.140625" style="14" customWidth="1"/>
    <col min="14316" max="14317" width="11.5703125" style="14" customWidth="1"/>
    <col min="14318" max="14318" width="5.7109375" style="14" customWidth="1"/>
    <col min="14319" max="14319" width="28.7109375" style="14" customWidth="1"/>
    <col min="14320" max="14320" width="40.5703125" style="14" customWidth="1"/>
    <col min="14321" max="14321" width="13.28515625" style="14" customWidth="1"/>
    <col min="14322" max="14322" width="14" style="14" customWidth="1"/>
    <col min="14323" max="14325" width="13.140625" style="14" customWidth="1"/>
    <col min="14326" max="14326" width="10.28515625" style="14" customWidth="1"/>
    <col min="14327" max="14328" width="13.5703125" style="14" customWidth="1"/>
    <col min="14329" max="14329" width="7.140625" style="14" customWidth="1"/>
    <col min="14330" max="14330" width="5.7109375" style="14" customWidth="1"/>
    <col min="14331" max="14331" width="6.42578125" style="14" customWidth="1"/>
    <col min="14332" max="14332" width="6.5703125" style="14" customWidth="1"/>
    <col min="14333" max="14336" width="9.140625" style="14" customWidth="1"/>
    <col min="14337" max="14337" width="7.7109375" style="14" customWidth="1"/>
    <col min="14338" max="14338" width="9.140625" style="14" customWidth="1"/>
    <col min="14339" max="14339" width="7.85546875" style="14" customWidth="1"/>
    <col min="14340" max="14340" width="9.140625" style="14" customWidth="1"/>
    <col min="14341" max="14341" width="8.7109375" style="14" customWidth="1"/>
    <col min="14342" max="14347" width="9.140625" style="14" customWidth="1"/>
    <col min="14348" max="14348" width="11.42578125" style="14" customWidth="1"/>
    <col min="14349" max="14361" width="9.140625" style="14" customWidth="1"/>
    <col min="14362" max="14362" width="11.140625" style="14" customWidth="1"/>
    <col min="14363" max="14565" width="9.140625" style="14"/>
    <col min="14566" max="14567" width="9.140625" style="14" customWidth="1"/>
    <col min="14568" max="14568" width="8.5703125" style="14" customWidth="1"/>
    <col min="14569" max="14569" width="11.7109375" style="14" customWidth="1"/>
    <col min="14570" max="14570" width="19.28515625" style="14" customWidth="1"/>
    <col min="14571" max="14571" width="13.140625" style="14" customWidth="1"/>
    <col min="14572" max="14573" width="11.5703125" style="14" customWidth="1"/>
    <col min="14574" max="14574" width="5.7109375" style="14" customWidth="1"/>
    <col min="14575" max="14575" width="28.7109375" style="14" customWidth="1"/>
    <col min="14576" max="14576" width="40.5703125" style="14" customWidth="1"/>
    <col min="14577" max="14577" width="13.28515625" style="14" customWidth="1"/>
    <col min="14578" max="14578" width="14" style="14" customWidth="1"/>
    <col min="14579" max="14581" width="13.140625" style="14" customWidth="1"/>
    <col min="14582" max="14582" width="10.28515625" style="14" customWidth="1"/>
    <col min="14583" max="14584" width="13.5703125" style="14" customWidth="1"/>
    <col min="14585" max="14585" width="7.140625" style="14" customWidth="1"/>
    <col min="14586" max="14586" width="5.7109375" style="14" customWidth="1"/>
    <col min="14587" max="14587" width="6.42578125" style="14" customWidth="1"/>
    <col min="14588" max="14588" width="6.5703125" style="14" customWidth="1"/>
    <col min="14589" max="14592" width="9.140625" style="14" customWidth="1"/>
    <col min="14593" max="14593" width="7.7109375" style="14" customWidth="1"/>
    <col min="14594" max="14594" width="9.140625" style="14" customWidth="1"/>
    <col min="14595" max="14595" width="7.85546875" style="14" customWidth="1"/>
    <col min="14596" max="14596" width="9.140625" style="14" customWidth="1"/>
    <col min="14597" max="14597" width="8.7109375" style="14" customWidth="1"/>
    <col min="14598" max="14603" width="9.140625" style="14" customWidth="1"/>
    <col min="14604" max="14604" width="11.42578125" style="14" customWidth="1"/>
    <col min="14605" max="14617" width="9.140625" style="14" customWidth="1"/>
    <col min="14618" max="14618" width="11.140625" style="14" customWidth="1"/>
    <col min="14619" max="14821" width="9.140625" style="14"/>
    <col min="14822" max="14823" width="9.140625" style="14" customWidth="1"/>
    <col min="14824" max="14824" width="8.5703125" style="14" customWidth="1"/>
    <col min="14825" max="14825" width="11.7109375" style="14" customWidth="1"/>
    <col min="14826" max="14826" width="19.28515625" style="14" customWidth="1"/>
    <col min="14827" max="14827" width="13.140625" style="14" customWidth="1"/>
    <col min="14828" max="14829" width="11.5703125" style="14" customWidth="1"/>
    <col min="14830" max="14830" width="5.7109375" style="14" customWidth="1"/>
    <col min="14831" max="14831" width="28.7109375" style="14" customWidth="1"/>
    <col min="14832" max="14832" width="40.5703125" style="14" customWidth="1"/>
    <col min="14833" max="14833" width="13.28515625" style="14" customWidth="1"/>
    <col min="14834" max="14834" width="14" style="14" customWidth="1"/>
    <col min="14835" max="14837" width="13.140625" style="14" customWidth="1"/>
    <col min="14838" max="14838" width="10.28515625" style="14" customWidth="1"/>
    <col min="14839" max="14840" width="13.5703125" style="14" customWidth="1"/>
    <col min="14841" max="14841" width="7.140625" style="14" customWidth="1"/>
    <col min="14842" max="14842" width="5.7109375" style="14" customWidth="1"/>
    <col min="14843" max="14843" width="6.42578125" style="14" customWidth="1"/>
    <col min="14844" max="14844" width="6.5703125" style="14" customWidth="1"/>
    <col min="14845" max="14848" width="9.140625" style="14" customWidth="1"/>
    <col min="14849" max="14849" width="7.7109375" style="14" customWidth="1"/>
    <col min="14850" max="14850" width="9.140625" style="14" customWidth="1"/>
    <col min="14851" max="14851" width="7.85546875" style="14" customWidth="1"/>
    <col min="14852" max="14852" width="9.140625" style="14" customWidth="1"/>
    <col min="14853" max="14853" width="8.7109375" style="14" customWidth="1"/>
    <col min="14854" max="14859" width="9.140625" style="14" customWidth="1"/>
    <col min="14860" max="14860" width="11.42578125" style="14" customWidth="1"/>
    <col min="14861" max="14873" width="9.140625" style="14" customWidth="1"/>
    <col min="14874" max="14874" width="11.140625" style="14" customWidth="1"/>
    <col min="14875" max="15077" width="9.140625" style="14"/>
    <col min="15078" max="15079" width="9.140625" style="14" customWidth="1"/>
    <col min="15080" max="15080" width="8.5703125" style="14" customWidth="1"/>
    <col min="15081" max="15081" width="11.7109375" style="14" customWidth="1"/>
    <col min="15082" max="15082" width="19.28515625" style="14" customWidth="1"/>
    <col min="15083" max="15083" width="13.140625" style="14" customWidth="1"/>
    <col min="15084" max="15085" width="11.5703125" style="14" customWidth="1"/>
    <col min="15086" max="15086" width="5.7109375" style="14" customWidth="1"/>
    <col min="15087" max="15087" width="28.7109375" style="14" customWidth="1"/>
    <col min="15088" max="15088" width="40.5703125" style="14" customWidth="1"/>
    <col min="15089" max="15089" width="13.28515625" style="14" customWidth="1"/>
    <col min="15090" max="15090" width="14" style="14" customWidth="1"/>
    <col min="15091" max="15093" width="13.140625" style="14" customWidth="1"/>
    <col min="15094" max="15094" width="10.28515625" style="14" customWidth="1"/>
    <col min="15095" max="15096" width="13.5703125" style="14" customWidth="1"/>
    <col min="15097" max="15097" width="7.140625" style="14" customWidth="1"/>
    <col min="15098" max="15098" width="5.7109375" style="14" customWidth="1"/>
    <col min="15099" max="15099" width="6.42578125" style="14" customWidth="1"/>
    <col min="15100" max="15100" width="6.5703125" style="14" customWidth="1"/>
    <col min="15101" max="15104" width="9.140625" style="14" customWidth="1"/>
    <col min="15105" max="15105" width="7.7109375" style="14" customWidth="1"/>
    <col min="15106" max="15106" width="9.140625" style="14" customWidth="1"/>
    <col min="15107" max="15107" width="7.85546875" style="14" customWidth="1"/>
    <col min="15108" max="15108" width="9.140625" style="14" customWidth="1"/>
    <col min="15109" max="15109" width="8.7109375" style="14" customWidth="1"/>
    <col min="15110" max="15115" width="9.140625" style="14" customWidth="1"/>
    <col min="15116" max="15116" width="11.42578125" style="14" customWidth="1"/>
    <col min="15117" max="15129" width="9.140625" style="14" customWidth="1"/>
    <col min="15130" max="15130" width="11.140625" style="14" customWidth="1"/>
    <col min="15131" max="15333" width="9.140625" style="14"/>
    <col min="15334" max="15335" width="9.140625" style="14" customWidth="1"/>
    <col min="15336" max="15336" width="8.5703125" style="14" customWidth="1"/>
    <col min="15337" max="15337" width="11.7109375" style="14" customWidth="1"/>
    <col min="15338" max="15338" width="19.28515625" style="14" customWidth="1"/>
    <col min="15339" max="15339" width="13.140625" style="14" customWidth="1"/>
    <col min="15340" max="15341" width="11.5703125" style="14" customWidth="1"/>
    <col min="15342" max="15342" width="5.7109375" style="14" customWidth="1"/>
    <col min="15343" max="15343" width="28.7109375" style="14" customWidth="1"/>
    <col min="15344" max="15344" width="40.5703125" style="14" customWidth="1"/>
    <col min="15345" max="15345" width="13.28515625" style="14" customWidth="1"/>
    <col min="15346" max="15346" width="14" style="14" customWidth="1"/>
    <col min="15347" max="15349" width="13.140625" style="14" customWidth="1"/>
    <col min="15350" max="15350" width="10.28515625" style="14" customWidth="1"/>
    <col min="15351" max="15352" width="13.5703125" style="14" customWidth="1"/>
    <col min="15353" max="15353" width="7.140625" style="14" customWidth="1"/>
    <col min="15354" max="15354" width="5.7109375" style="14" customWidth="1"/>
    <col min="15355" max="15355" width="6.42578125" style="14" customWidth="1"/>
    <col min="15356" max="15356" width="6.5703125" style="14" customWidth="1"/>
    <col min="15357" max="15360" width="9.140625" style="14" customWidth="1"/>
    <col min="15361" max="15361" width="7.7109375" style="14" customWidth="1"/>
    <col min="15362" max="15362" width="9.140625" style="14" customWidth="1"/>
    <col min="15363" max="15363" width="7.85546875" style="14" customWidth="1"/>
    <col min="15364" max="15364" width="9.140625" style="14" customWidth="1"/>
    <col min="15365" max="15365" width="8.7109375" style="14" customWidth="1"/>
    <col min="15366" max="15371" width="9.140625" style="14" customWidth="1"/>
    <col min="15372" max="15372" width="11.42578125" style="14" customWidth="1"/>
    <col min="15373" max="15385" width="9.140625" style="14" customWidth="1"/>
    <col min="15386" max="15386" width="11.140625" style="14" customWidth="1"/>
    <col min="15387" max="15589" width="9.140625" style="14"/>
    <col min="15590" max="15591" width="9.140625" style="14" customWidth="1"/>
    <col min="15592" max="15592" width="8.5703125" style="14" customWidth="1"/>
    <col min="15593" max="15593" width="11.7109375" style="14" customWidth="1"/>
    <col min="15594" max="15594" width="19.28515625" style="14" customWidth="1"/>
    <col min="15595" max="15595" width="13.140625" style="14" customWidth="1"/>
    <col min="15596" max="15597" width="11.5703125" style="14" customWidth="1"/>
    <col min="15598" max="15598" width="5.7109375" style="14" customWidth="1"/>
    <col min="15599" max="15599" width="28.7109375" style="14" customWidth="1"/>
    <col min="15600" max="15600" width="40.5703125" style="14" customWidth="1"/>
    <col min="15601" max="15601" width="13.28515625" style="14" customWidth="1"/>
    <col min="15602" max="15602" width="14" style="14" customWidth="1"/>
    <col min="15603" max="15605" width="13.140625" style="14" customWidth="1"/>
    <col min="15606" max="15606" width="10.28515625" style="14" customWidth="1"/>
    <col min="15607" max="15608" width="13.5703125" style="14" customWidth="1"/>
    <col min="15609" max="15609" width="7.140625" style="14" customWidth="1"/>
    <col min="15610" max="15610" width="5.7109375" style="14" customWidth="1"/>
    <col min="15611" max="15611" width="6.42578125" style="14" customWidth="1"/>
    <col min="15612" max="15612" width="6.5703125" style="14" customWidth="1"/>
    <col min="15613" max="15616" width="9.140625" style="14" customWidth="1"/>
    <col min="15617" max="15617" width="7.7109375" style="14" customWidth="1"/>
    <col min="15618" max="15618" width="9.140625" style="14" customWidth="1"/>
    <col min="15619" max="15619" width="7.85546875" style="14" customWidth="1"/>
    <col min="15620" max="15620" width="9.140625" style="14" customWidth="1"/>
    <col min="15621" max="15621" width="8.7109375" style="14" customWidth="1"/>
    <col min="15622" max="15627" width="9.140625" style="14" customWidth="1"/>
    <col min="15628" max="15628" width="11.42578125" style="14" customWidth="1"/>
    <col min="15629" max="15641" width="9.140625" style="14" customWidth="1"/>
    <col min="15642" max="15642" width="11.140625" style="14" customWidth="1"/>
    <col min="15643" max="15845" width="9.140625" style="14"/>
    <col min="15846" max="15847" width="9.140625" style="14" customWidth="1"/>
    <col min="15848" max="15848" width="8.5703125" style="14" customWidth="1"/>
    <col min="15849" max="15849" width="11.7109375" style="14" customWidth="1"/>
    <col min="15850" max="15850" width="19.28515625" style="14" customWidth="1"/>
    <col min="15851" max="15851" width="13.140625" style="14" customWidth="1"/>
    <col min="15852" max="15853" width="11.5703125" style="14" customWidth="1"/>
    <col min="15854" max="15854" width="5.7109375" style="14" customWidth="1"/>
    <col min="15855" max="15855" width="28.7109375" style="14" customWidth="1"/>
    <col min="15856" max="15856" width="40.5703125" style="14" customWidth="1"/>
    <col min="15857" max="15857" width="13.28515625" style="14" customWidth="1"/>
    <col min="15858" max="15858" width="14" style="14" customWidth="1"/>
    <col min="15859" max="15861" width="13.140625" style="14" customWidth="1"/>
    <col min="15862" max="15862" width="10.28515625" style="14" customWidth="1"/>
    <col min="15863" max="15864" width="13.5703125" style="14" customWidth="1"/>
    <col min="15865" max="15865" width="7.140625" style="14" customWidth="1"/>
    <col min="15866" max="15866" width="5.7109375" style="14" customWidth="1"/>
    <col min="15867" max="15867" width="6.42578125" style="14" customWidth="1"/>
    <col min="15868" max="15868" width="6.5703125" style="14" customWidth="1"/>
    <col min="15869" max="15872" width="9.140625" style="14" customWidth="1"/>
    <col min="15873" max="15873" width="7.7109375" style="14" customWidth="1"/>
    <col min="15874" max="15874" width="9.140625" style="14" customWidth="1"/>
    <col min="15875" max="15875" width="7.85546875" style="14" customWidth="1"/>
    <col min="15876" max="15876" width="9.140625" style="14" customWidth="1"/>
    <col min="15877" max="15877" width="8.7109375" style="14" customWidth="1"/>
    <col min="15878" max="15883" width="9.140625" style="14" customWidth="1"/>
    <col min="15884" max="15884" width="11.42578125" style="14" customWidth="1"/>
    <col min="15885" max="15897" width="9.140625" style="14" customWidth="1"/>
    <col min="15898" max="15898" width="11.140625" style="14" customWidth="1"/>
    <col min="15899" max="16101" width="9.140625" style="14"/>
    <col min="16102" max="16103" width="9.140625" style="14" customWidth="1"/>
    <col min="16104" max="16104" width="8.5703125" style="14" customWidth="1"/>
    <col min="16105" max="16105" width="11.7109375" style="14" customWidth="1"/>
    <col min="16106" max="16106" width="19.28515625" style="14" customWidth="1"/>
    <col min="16107" max="16107" width="13.140625" style="14" customWidth="1"/>
    <col min="16108" max="16109" width="11.5703125" style="14" customWidth="1"/>
    <col min="16110" max="16110" width="5.7109375" style="14" customWidth="1"/>
    <col min="16111" max="16111" width="28.7109375" style="14" customWidth="1"/>
    <col min="16112" max="16112" width="40.5703125" style="14" customWidth="1"/>
    <col min="16113" max="16113" width="13.28515625" style="14" customWidth="1"/>
    <col min="16114" max="16114" width="14" style="14" customWidth="1"/>
    <col min="16115" max="16117" width="13.140625" style="14" customWidth="1"/>
    <col min="16118" max="16118" width="10.28515625" style="14" customWidth="1"/>
    <col min="16119" max="16120" width="13.5703125" style="14" customWidth="1"/>
    <col min="16121" max="16121" width="7.140625" style="14" customWidth="1"/>
    <col min="16122" max="16122" width="5.7109375" style="14" customWidth="1"/>
    <col min="16123" max="16123" width="6.42578125" style="14" customWidth="1"/>
    <col min="16124" max="16124" width="6.5703125" style="14" customWidth="1"/>
    <col min="16125" max="16128" width="9.140625" style="14" customWidth="1"/>
    <col min="16129" max="16129" width="7.7109375" style="14" customWidth="1"/>
    <col min="16130" max="16130" width="9.140625" style="14" customWidth="1"/>
    <col min="16131" max="16131" width="7.85546875" style="14" customWidth="1"/>
    <col min="16132" max="16132" width="9.140625" style="14" customWidth="1"/>
    <col min="16133" max="16133" width="8.7109375" style="14" customWidth="1"/>
    <col min="16134" max="16139" width="9.140625" style="14" customWidth="1"/>
    <col min="16140" max="16140" width="11.42578125" style="14" customWidth="1"/>
    <col min="16141" max="16153" width="9.140625" style="14" customWidth="1"/>
    <col min="16154" max="16154" width="11.140625" style="14" customWidth="1"/>
    <col min="16155" max="16384" width="9.140625" style="14"/>
  </cols>
  <sheetData>
    <row r="1" spans="1:56" s="1" customFormat="1" x14ac:dyDescent="0.3">
      <c r="B1" s="126"/>
      <c r="C1" s="126"/>
      <c r="D1" s="137"/>
      <c r="F1" s="126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V1" s="2"/>
      <c r="BC1" s="148"/>
    </row>
    <row r="2" spans="1:56" s="1" customFormat="1" ht="40.5" customHeight="1" x14ac:dyDescent="0.3">
      <c r="B2" s="126"/>
      <c r="C2" s="126"/>
      <c r="D2" s="137"/>
      <c r="F2" s="126"/>
      <c r="G2" s="230" t="s">
        <v>432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C2" s="148"/>
    </row>
    <row r="3" spans="1:56" s="1" customFormat="1" ht="23.25" thickBot="1" x14ac:dyDescent="0.35">
      <c r="B3" s="127"/>
      <c r="C3" s="127"/>
      <c r="D3" s="138"/>
      <c r="E3" s="128"/>
      <c r="F3" s="127"/>
      <c r="G3" s="144"/>
      <c r="H3" s="123"/>
      <c r="I3" s="123"/>
      <c r="J3" s="123"/>
      <c r="K3" s="124"/>
      <c r="L3" s="129"/>
      <c r="M3" s="130"/>
      <c r="N3" s="231"/>
      <c r="O3" s="232"/>
      <c r="P3" s="232"/>
      <c r="Q3" s="232"/>
      <c r="R3" s="232"/>
      <c r="S3" s="233"/>
      <c r="T3" s="125"/>
      <c r="U3" s="231" t="s">
        <v>225</v>
      </c>
      <c r="V3" s="232"/>
      <c r="W3" s="232"/>
      <c r="X3" s="233"/>
      <c r="Y3" s="231" t="s">
        <v>0</v>
      </c>
      <c r="Z3" s="232"/>
      <c r="AA3" s="233"/>
      <c r="AB3" s="125"/>
      <c r="AC3" s="231" t="s">
        <v>1</v>
      </c>
      <c r="AD3" s="232"/>
      <c r="AE3" s="232"/>
      <c r="AF3" s="232"/>
      <c r="AG3" s="232"/>
      <c r="AH3" s="232"/>
      <c r="AI3" s="234" t="s">
        <v>2</v>
      </c>
      <c r="AJ3" s="235"/>
      <c r="AK3" s="235"/>
      <c r="AL3" s="235"/>
      <c r="AM3" s="236"/>
      <c r="AN3" s="131"/>
      <c r="AO3" s="125"/>
      <c r="AP3" s="237" t="s">
        <v>3</v>
      </c>
      <c r="AQ3" s="238"/>
      <c r="AR3" s="238"/>
      <c r="AS3" s="238"/>
      <c r="AT3" s="239"/>
      <c r="AU3" s="240" t="s">
        <v>4</v>
      </c>
      <c r="AV3" s="241"/>
      <c r="AW3" s="241"/>
      <c r="AX3" s="241"/>
      <c r="AY3" s="241"/>
      <c r="AZ3" s="241"/>
      <c r="BA3" s="242"/>
      <c r="BC3" s="148"/>
    </row>
    <row r="4" spans="1:56" s="218" customFormat="1" ht="63.75" customHeight="1" thickBot="1" x14ac:dyDescent="0.3">
      <c r="A4" s="216"/>
      <c r="B4" s="184" t="s">
        <v>436</v>
      </c>
      <c r="C4" s="184" t="s">
        <v>439</v>
      </c>
      <c r="D4" s="215" t="s">
        <v>440</v>
      </c>
      <c r="E4" s="217" t="s">
        <v>7</v>
      </c>
      <c r="F4" s="184" t="s">
        <v>144</v>
      </c>
      <c r="G4" s="185" t="s">
        <v>8</v>
      </c>
      <c r="H4" s="186" t="s">
        <v>9</v>
      </c>
      <c r="I4" s="186" t="s">
        <v>10</v>
      </c>
      <c r="J4" s="186" t="s">
        <v>11</v>
      </c>
      <c r="K4" s="187" t="s">
        <v>12</v>
      </c>
      <c r="L4" s="186" t="s">
        <v>13</v>
      </c>
      <c r="M4" s="187" t="s">
        <v>14</v>
      </c>
      <c r="N4" s="186" t="s">
        <v>15</v>
      </c>
      <c r="O4" s="186" t="s">
        <v>16</v>
      </c>
      <c r="P4" s="186" t="s">
        <v>17</v>
      </c>
      <c r="Q4" s="186" t="s">
        <v>18</v>
      </c>
      <c r="R4" s="187" t="s">
        <v>19</v>
      </c>
      <c r="S4" s="186" t="s">
        <v>20</v>
      </c>
      <c r="T4" s="186" t="s">
        <v>21</v>
      </c>
      <c r="U4" s="188" t="s">
        <v>22</v>
      </c>
      <c r="V4" s="188" t="s">
        <v>23</v>
      </c>
      <c r="W4" s="188" t="s">
        <v>24</v>
      </c>
      <c r="X4" s="187" t="s">
        <v>25</v>
      </c>
      <c r="Y4" s="187" t="s">
        <v>20</v>
      </c>
      <c r="Z4" s="187" t="s">
        <v>26</v>
      </c>
      <c r="AA4" s="187" t="s">
        <v>27</v>
      </c>
      <c r="AB4" s="187" t="s">
        <v>28</v>
      </c>
      <c r="AC4" s="187" t="s">
        <v>29</v>
      </c>
      <c r="AD4" s="187" t="s">
        <v>30</v>
      </c>
      <c r="AE4" s="187" t="s">
        <v>31</v>
      </c>
      <c r="AF4" s="187" t="s">
        <v>32</v>
      </c>
      <c r="AG4" s="187" t="s">
        <v>33</v>
      </c>
      <c r="AH4" s="189" t="s">
        <v>34</v>
      </c>
      <c r="AI4" s="190" t="s">
        <v>35</v>
      </c>
      <c r="AJ4" s="187" t="s">
        <v>36</v>
      </c>
      <c r="AK4" s="187" t="s">
        <v>37</v>
      </c>
      <c r="AL4" s="187" t="s">
        <v>38</v>
      </c>
      <c r="AM4" s="191" t="s">
        <v>39</v>
      </c>
      <c r="AN4" s="192" t="s">
        <v>40</v>
      </c>
      <c r="AO4" s="5" t="s">
        <v>41</v>
      </c>
      <c r="AP4" s="4" t="s">
        <v>42</v>
      </c>
      <c r="AQ4" s="4" t="s">
        <v>285</v>
      </c>
      <c r="AR4" s="5" t="s">
        <v>43</v>
      </c>
      <c r="AS4" s="5" t="s">
        <v>44</v>
      </c>
      <c r="AT4" s="5" t="s">
        <v>45</v>
      </c>
      <c r="AU4" s="6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C4" s="148"/>
    </row>
    <row r="5" spans="1:56" s="1" customFormat="1" ht="15.75" x14ac:dyDescent="0.2">
      <c r="B5" s="195"/>
      <c r="C5" s="100"/>
      <c r="D5" s="8" t="s">
        <v>53</v>
      </c>
      <c r="E5" s="8" t="s">
        <v>53</v>
      </c>
      <c r="F5" s="104"/>
      <c r="G5" s="8" t="s">
        <v>53</v>
      </c>
      <c r="H5" s="8" t="s">
        <v>53</v>
      </c>
      <c r="I5" s="8" t="s">
        <v>53</v>
      </c>
      <c r="J5" s="8" t="s">
        <v>53</v>
      </c>
      <c r="K5" s="85" t="s">
        <v>53</v>
      </c>
      <c r="L5" s="8" t="s">
        <v>53</v>
      </c>
      <c r="M5" s="8" t="s">
        <v>53</v>
      </c>
      <c r="N5" s="8" t="s">
        <v>53</v>
      </c>
      <c r="O5" s="8" t="s">
        <v>53</v>
      </c>
      <c r="P5" s="8"/>
      <c r="Q5" s="8"/>
      <c r="R5" s="8" t="s">
        <v>53</v>
      </c>
      <c r="S5" s="8" t="s">
        <v>53</v>
      </c>
      <c r="T5" s="8"/>
      <c r="U5" s="8" t="s">
        <v>53</v>
      </c>
      <c r="V5" s="8" t="s">
        <v>53</v>
      </c>
      <c r="W5" s="8" t="s">
        <v>53</v>
      </c>
      <c r="X5" s="8" t="s">
        <v>53</v>
      </c>
      <c r="Y5" s="8" t="s">
        <v>53</v>
      </c>
      <c r="Z5" s="8"/>
      <c r="AA5" s="8"/>
      <c r="AB5" s="8"/>
      <c r="AC5" s="8" t="s">
        <v>53</v>
      </c>
      <c r="AD5" s="8" t="s">
        <v>53</v>
      </c>
      <c r="AE5" s="8" t="s">
        <v>53</v>
      </c>
      <c r="AF5" s="8" t="s">
        <v>53</v>
      </c>
      <c r="AG5" s="8" t="s">
        <v>53</v>
      </c>
      <c r="AH5" s="9" t="s">
        <v>53</v>
      </c>
      <c r="AI5" s="10" t="s">
        <v>53</v>
      </c>
      <c r="AJ5" s="8" t="s">
        <v>53</v>
      </c>
      <c r="AK5" s="8" t="s">
        <v>53</v>
      </c>
      <c r="AL5" s="8" t="s">
        <v>53</v>
      </c>
      <c r="AM5" s="11" t="s">
        <v>53</v>
      </c>
      <c r="AN5" s="12" t="s">
        <v>53</v>
      </c>
      <c r="AO5" s="8" t="s">
        <v>53</v>
      </c>
      <c r="AP5" s="8" t="s">
        <v>53</v>
      </c>
      <c r="AQ5" s="4"/>
      <c r="AR5" s="8" t="s">
        <v>53</v>
      </c>
      <c r="AS5" s="8" t="s">
        <v>53</v>
      </c>
      <c r="AT5" s="8" t="s">
        <v>53</v>
      </c>
      <c r="AU5" s="13" t="s">
        <v>53</v>
      </c>
      <c r="AV5" s="8" t="s">
        <v>53</v>
      </c>
      <c r="AW5" s="8" t="s">
        <v>53</v>
      </c>
      <c r="AX5" s="8" t="s">
        <v>53</v>
      </c>
      <c r="AY5" s="8" t="s">
        <v>53</v>
      </c>
      <c r="AZ5" s="8" t="s">
        <v>53</v>
      </c>
      <c r="BA5" s="8" t="s">
        <v>53</v>
      </c>
      <c r="BC5" s="148"/>
    </row>
    <row r="6" spans="1:56" ht="15.75" x14ac:dyDescent="0.25">
      <c r="B6" s="199">
        <v>28000</v>
      </c>
      <c r="C6" s="157">
        <v>27000</v>
      </c>
      <c r="D6" s="78">
        <v>25000</v>
      </c>
      <c r="E6" s="16" t="s">
        <v>54</v>
      </c>
      <c r="F6" s="104" t="s">
        <v>150</v>
      </c>
      <c r="G6" s="21" t="s">
        <v>55</v>
      </c>
      <c r="H6" s="15"/>
      <c r="I6" s="17"/>
      <c r="J6" s="17">
        <v>1</v>
      </c>
      <c r="K6" s="86" t="s">
        <v>56</v>
      </c>
      <c r="L6" s="18" t="s">
        <v>57</v>
      </c>
      <c r="M6" s="19">
        <v>28000</v>
      </c>
      <c r="N6" s="20">
        <f>ROUND(IF((M6*50%)&lt;15500,15500,(M6*50/100)),)</f>
        <v>15500</v>
      </c>
      <c r="O6" s="20">
        <f>ROUND((M6-N6)/2,)</f>
        <v>6250</v>
      </c>
      <c r="P6" s="20">
        <f>ROUND(O6*50%,)</f>
        <v>3125</v>
      </c>
      <c r="Q6" s="20">
        <f>ROUND(O6*50/100,)</f>
        <v>3125</v>
      </c>
      <c r="R6" s="21">
        <v>0</v>
      </c>
      <c r="S6" s="20">
        <f>N6+O6+P6+Q6+R6</f>
        <v>28000</v>
      </c>
      <c r="T6" s="20">
        <v>0</v>
      </c>
      <c r="U6" s="22">
        <v>19</v>
      </c>
      <c r="V6" s="22">
        <v>2</v>
      </c>
      <c r="W6" s="22">
        <v>0</v>
      </c>
      <c r="X6" s="22">
        <f>+U6+V6+W6</f>
        <v>21</v>
      </c>
      <c r="Y6" s="20">
        <f>+M6/30*X6</f>
        <v>19600</v>
      </c>
      <c r="Z6" s="20">
        <v>0</v>
      </c>
      <c r="AA6" s="20">
        <f>+Y6+Z6</f>
        <v>19600</v>
      </c>
      <c r="AB6" s="20">
        <f>+(N6/30)*U6</f>
        <v>9816.6666666666661</v>
      </c>
      <c r="AC6" s="20">
        <v>0</v>
      </c>
      <c r="AD6" s="20">
        <v>0</v>
      </c>
      <c r="AE6" s="20">
        <v>0</v>
      </c>
      <c r="AF6" s="20">
        <v>0</v>
      </c>
      <c r="AG6" s="20">
        <f>IF(AA6&gt;=12000,200,IF(AA6&gt;=9000,150,IF(AA6&gt;=6000,80,IF(AA6&gt;=3000,0,0))))</f>
        <v>200</v>
      </c>
      <c r="AH6" s="24"/>
      <c r="AI6" s="80">
        <v>0</v>
      </c>
      <c r="AJ6" s="24">
        <v>0</v>
      </c>
      <c r="AK6" s="24">
        <v>0</v>
      </c>
      <c r="AL6" s="24">
        <v>0</v>
      </c>
      <c r="AM6" s="23">
        <f>SUM(AI6:AL6)</f>
        <v>0</v>
      </c>
      <c r="AN6" s="60">
        <f>+AA6-(AC6+AE6+AG6+AH6+AI6+AJ6+AK6+AL6)</f>
        <v>19400</v>
      </c>
      <c r="AO6" s="15"/>
      <c r="AP6" s="27"/>
      <c r="AQ6" s="60" t="s">
        <v>324</v>
      </c>
      <c r="AR6" s="28"/>
      <c r="AS6" s="28"/>
      <c r="AT6" s="28"/>
      <c r="AU6" s="29"/>
      <c r="AV6" s="30"/>
      <c r="AW6" s="30"/>
      <c r="AX6" s="30"/>
      <c r="AY6" s="30"/>
      <c r="AZ6" s="30"/>
      <c r="BA6" s="30"/>
      <c r="BC6" s="152">
        <f>AC6+AE6+AG6+AN6</f>
        <v>19600</v>
      </c>
      <c r="BD6" s="32"/>
    </row>
    <row r="7" spans="1:56" ht="15.75" x14ac:dyDescent="0.25">
      <c r="B7" s="199">
        <v>26750</v>
      </c>
      <c r="C7" s="164">
        <v>25000</v>
      </c>
      <c r="D7" s="78">
        <v>21000</v>
      </c>
      <c r="E7" s="30" t="s">
        <v>58</v>
      </c>
      <c r="F7" s="101" t="s">
        <v>259</v>
      </c>
      <c r="G7" s="112">
        <v>43556</v>
      </c>
      <c r="H7" s="15"/>
      <c r="I7" s="15"/>
      <c r="J7" s="17">
        <f>J6+1</f>
        <v>2</v>
      </c>
      <c r="K7" s="86" t="s">
        <v>59</v>
      </c>
      <c r="L7" s="18" t="s">
        <v>60</v>
      </c>
      <c r="M7" s="19">
        <v>26750</v>
      </c>
      <c r="N7" s="20">
        <f>ROUND(IF((M7*50%)&lt;15500,15500,(M7*50/100)),)</f>
        <v>15500</v>
      </c>
      <c r="O7" s="20">
        <f>ROUND((M7-N7)/2,)</f>
        <v>5625</v>
      </c>
      <c r="P7" s="20">
        <f>ROUND(O7*50%,)</f>
        <v>2813</v>
      </c>
      <c r="Q7" s="20">
        <f>ROUND(O7*50/100,)</f>
        <v>2813</v>
      </c>
      <c r="R7" s="21">
        <v>0</v>
      </c>
      <c r="S7" s="20">
        <f>N7+O7+P7+Q7+R7</f>
        <v>26751</v>
      </c>
      <c r="T7" s="20">
        <v>0</v>
      </c>
      <c r="U7" s="22">
        <v>24</v>
      </c>
      <c r="V7" s="22">
        <v>3</v>
      </c>
      <c r="W7" s="22">
        <v>0</v>
      </c>
      <c r="X7" s="22">
        <f>+U7+V7+W7</f>
        <v>27</v>
      </c>
      <c r="Y7" s="20">
        <f t="shared" ref="Y7:Y9" si="0">+M7/30*X7</f>
        <v>24075</v>
      </c>
      <c r="Z7" s="20">
        <v>0</v>
      </c>
      <c r="AA7" s="20">
        <f>+Y7+Z7</f>
        <v>24075</v>
      </c>
      <c r="AB7" s="20">
        <f t="shared" ref="AB7:AB9" si="1">+(N7/30)*U7</f>
        <v>12400</v>
      </c>
      <c r="AC7" s="20">
        <v>0</v>
      </c>
      <c r="AD7" s="20">
        <v>0</v>
      </c>
      <c r="AE7" s="20">
        <v>0</v>
      </c>
      <c r="AF7" s="20">
        <v>0</v>
      </c>
      <c r="AG7" s="79">
        <f>IF(AA7&gt;=12000,200,IF(AA7&gt;=9000,150,IF(AA7&gt;=6000,80,IF(AA7&gt;=3000,0,0))))</f>
        <v>200</v>
      </c>
      <c r="AH7" s="24"/>
      <c r="AI7" s="80">
        <v>0</v>
      </c>
      <c r="AJ7" s="24">
        <v>0</v>
      </c>
      <c r="AK7" s="24">
        <v>0</v>
      </c>
      <c r="AL7" s="24">
        <v>0</v>
      </c>
      <c r="AM7" s="23">
        <f>SUM(AI7:AL7)</f>
        <v>0</v>
      </c>
      <c r="AN7" s="60">
        <f>+AA7-(AC7+AE7+AG7+AH7+AI7+AJ7+AK7+AL7)</f>
        <v>23875</v>
      </c>
      <c r="AO7" s="99"/>
      <c r="AP7" s="27"/>
      <c r="AQ7" s="168" t="s">
        <v>334</v>
      </c>
      <c r="AR7" s="15"/>
      <c r="AS7" s="15"/>
      <c r="AT7" s="15"/>
      <c r="AU7" s="29"/>
      <c r="AV7" s="30"/>
      <c r="AW7" s="30"/>
      <c r="AX7" s="30"/>
      <c r="AY7" s="30"/>
      <c r="AZ7" s="30"/>
      <c r="BA7" s="30"/>
      <c r="BC7" s="152">
        <f>AC7+AE7+AG7+AN7</f>
        <v>24075</v>
      </c>
    </row>
    <row r="8" spans="1:56" ht="15.75" x14ac:dyDescent="0.25">
      <c r="B8" s="199">
        <v>37000</v>
      </c>
      <c r="C8" s="157">
        <v>33000</v>
      </c>
      <c r="D8" s="78">
        <v>28000</v>
      </c>
      <c r="E8" s="30" t="s">
        <v>58</v>
      </c>
      <c r="F8" s="150" t="s">
        <v>145</v>
      </c>
      <c r="G8" s="21" t="s">
        <v>55</v>
      </c>
      <c r="H8" s="15"/>
      <c r="I8" s="17"/>
      <c r="J8" s="17">
        <f>J7+1</f>
        <v>3</v>
      </c>
      <c r="K8" s="86" t="s">
        <v>61</v>
      </c>
      <c r="L8" s="18" t="s">
        <v>62</v>
      </c>
      <c r="M8" s="33">
        <v>37000</v>
      </c>
      <c r="N8" s="20">
        <f>ROUND(IF((M8*50%)&lt;15500,15500,(M8*50/100)),)</f>
        <v>18500</v>
      </c>
      <c r="O8" s="20">
        <f>ROUND((M8-N8)/2,)</f>
        <v>9250</v>
      </c>
      <c r="P8" s="20">
        <f>ROUND(O8*50%,)</f>
        <v>4625</v>
      </c>
      <c r="Q8" s="20">
        <f>ROUND(O8*50/100,)</f>
        <v>4625</v>
      </c>
      <c r="R8" s="21">
        <v>0</v>
      </c>
      <c r="S8" s="20">
        <f>N8+O8+P8+Q8+R8</f>
        <v>37000</v>
      </c>
      <c r="T8" s="20">
        <v>0</v>
      </c>
      <c r="U8" s="22">
        <v>26</v>
      </c>
      <c r="V8" s="22">
        <v>4</v>
      </c>
      <c r="W8" s="22">
        <v>0</v>
      </c>
      <c r="X8" s="22">
        <f>+U8+V8+W8</f>
        <v>30</v>
      </c>
      <c r="Y8" s="20">
        <f t="shared" si="0"/>
        <v>37000</v>
      </c>
      <c r="Z8" s="20">
        <v>0</v>
      </c>
      <c r="AA8" s="20">
        <f>+Y8+Z8</f>
        <v>37000</v>
      </c>
      <c r="AB8" s="20">
        <f t="shared" si="1"/>
        <v>16033.333333333332</v>
      </c>
      <c r="AC8" s="20">
        <v>0</v>
      </c>
      <c r="AD8" s="20">
        <v>0</v>
      </c>
      <c r="AE8" s="20">
        <v>0</v>
      </c>
      <c r="AF8" s="20">
        <v>0</v>
      </c>
      <c r="AG8" s="79">
        <f>IF(AA8&gt;=12000,200,IF(AA8&gt;=9000,150,IF(AA8&gt;=6000,80,IF(AA8&gt;=3000,0,0))))</f>
        <v>200</v>
      </c>
      <c r="AH8" s="24"/>
      <c r="AI8" s="80">
        <v>0</v>
      </c>
      <c r="AJ8" s="24">
        <v>0</v>
      </c>
      <c r="AK8" s="24">
        <v>0</v>
      </c>
      <c r="AL8" s="24">
        <v>0</v>
      </c>
      <c r="AM8" s="23">
        <f>SUM(AI8:AL8)</f>
        <v>0</v>
      </c>
      <c r="AN8" s="60">
        <f>+AA8-(AC8+AE8+AG8+AH8+AI8+AJ8+AK8+AL8)</f>
        <v>36800</v>
      </c>
      <c r="AO8" s="99"/>
      <c r="AP8" s="27"/>
      <c r="AQ8" s="168" t="s">
        <v>330</v>
      </c>
      <c r="AR8" s="28"/>
      <c r="AS8" s="28"/>
      <c r="AT8" s="28"/>
      <c r="AU8" s="29"/>
      <c r="AV8" s="30"/>
      <c r="AW8" s="30"/>
      <c r="AX8" s="30"/>
      <c r="AY8" s="30"/>
      <c r="AZ8" s="30"/>
      <c r="BA8" s="30"/>
      <c r="BC8" s="152">
        <f>AC8+AE8+AG8+AN8</f>
        <v>37000</v>
      </c>
    </row>
    <row r="9" spans="1:56" ht="16.5" thickBot="1" x14ac:dyDescent="0.3">
      <c r="B9" s="199">
        <v>40000</v>
      </c>
      <c r="C9" s="157">
        <v>35000</v>
      </c>
      <c r="D9" s="78">
        <v>28000</v>
      </c>
      <c r="E9" s="30" t="s">
        <v>58</v>
      </c>
      <c r="F9" s="150" t="s">
        <v>145</v>
      </c>
      <c r="G9" s="21" t="s">
        <v>55</v>
      </c>
      <c r="H9" s="15"/>
      <c r="I9" s="17"/>
      <c r="J9" s="17">
        <f>J8+1</f>
        <v>4</v>
      </c>
      <c r="K9" s="86" t="s">
        <v>61</v>
      </c>
      <c r="L9" s="18" t="s">
        <v>63</v>
      </c>
      <c r="M9" s="33">
        <v>40000</v>
      </c>
      <c r="N9" s="20">
        <f>ROUND(IF((M9*50%)&lt;15500,15500,(M9*50/100)),)</f>
        <v>20000</v>
      </c>
      <c r="O9" s="20">
        <f>ROUND((M9-N9)/2,)</f>
        <v>10000</v>
      </c>
      <c r="P9" s="20">
        <f>ROUND(O9*50%,)</f>
        <v>5000</v>
      </c>
      <c r="Q9" s="20">
        <f>ROUND(O9*50/100,)</f>
        <v>5000</v>
      </c>
      <c r="R9" s="21">
        <v>0</v>
      </c>
      <c r="S9" s="20">
        <f>N9+O9+P9+Q9+R9</f>
        <v>40000</v>
      </c>
      <c r="T9" s="20">
        <v>0</v>
      </c>
      <c r="U9" s="22">
        <v>26</v>
      </c>
      <c r="V9" s="22">
        <v>4</v>
      </c>
      <c r="W9" s="22">
        <v>0</v>
      </c>
      <c r="X9" s="22">
        <f>+U9+V9+W9</f>
        <v>30</v>
      </c>
      <c r="Y9" s="20">
        <f t="shared" si="0"/>
        <v>40000</v>
      </c>
      <c r="Z9" s="20">
        <v>0</v>
      </c>
      <c r="AA9" s="20">
        <f>+Y9+Z9</f>
        <v>40000</v>
      </c>
      <c r="AB9" s="20">
        <f t="shared" si="1"/>
        <v>17333.333333333332</v>
      </c>
      <c r="AC9" s="20">
        <v>0</v>
      </c>
      <c r="AD9" s="20">
        <v>0</v>
      </c>
      <c r="AE9" s="20">
        <v>0</v>
      </c>
      <c r="AF9" s="20">
        <v>0</v>
      </c>
      <c r="AG9" s="20">
        <f>IF(AA9&gt;=12000,200,IF(AA9&gt;=9000,150,IF(AA9&gt;=6000,80,IF(AA9&gt;=3000,0,0))))</f>
        <v>200</v>
      </c>
      <c r="AH9" s="178"/>
      <c r="AI9" s="80">
        <v>0</v>
      </c>
      <c r="AJ9" s="24">
        <v>0</v>
      </c>
      <c r="AK9" s="24">
        <v>0</v>
      </c>
      <c r="AL9" s="24">
        <v>0</v>
      </c>
      <c r="AM9" s="25">
        <f>SUM(AI9:AL9)</f>
        <v>0</v>
      </c>
      <c r="AN9" s="26">
        <f>+AA9-(AC9+AE9+AG9+AH9+AI9+AJ9+AK9+AL9)</f>
        <v>39800</v>
      </c>
      <c r="AO9" s="15"/>
      <c r="AP9" s="27"/>
      <c r="AQ9" s="60" t="s">
        <v>333</v>
      </c>
      <c r="AR9" s="28"/>
      <c r="AS9" s="28"/>
      <c r="AT9" s="28"/>
      <c r="AU9" s="29"/>
      <c r="AV9" s="30"/>
      <c r="AW9" s="30"/>
      <c r="AX9" s="30"/>
      <c r="AY9" s="30"/>
      <c r="AZ9" s="30"/>
      <c r="BA9" s="30"/>
      <c r="BC9" s="152">
        <f>AC9+AE9+AG9+AN9</f>
        <v>40000</v>
      </c>
    </row>
    <row r="10" spans="1:56" ht="16.5" thickBot="1" x14ac:dyDescent="0.25">
      <c r="B10" s="102"/>
      <c r="C10" s="102">
        <f>SUM(C6:C9)</f>
        <v>120000</v>
      </c>
      <c r="D10" s="34">
        <f>SUM(D6:D9)</f>
        <v>102000</v>
      </c>
      <c r="E10" s="227"/>
      <c r="F10" s="163"/>
      <c r="G10" s="145"/>
      <c r="H10" s="35"/>
      <c r="I10" s="36"/>
      <c r="J10" s="37"/>
      <c r="K10" s="87"/>
      <c r="L10" s="38"/>
      <c r="M10" s="34">
        <f>SUM(M6:M9)</f>
        <v>131750</v>
      </c>
      <c r="N10" s="34">
        <f>SUM(N6:N9)</f>
        <v>69500</v>
      </c>
      <c r="O10" s="34">
        <f>SUM(O6:O9)</f>
        <v>31125</v>
      </c>
      <c r="P10" s="34">
        <f>SUM(P6:P9)</f>
        <v>15563</v>
      </c>
      <c r="Q10" s="34">
        <f>SUM(Q6:Q9)</f>
        <v>15563</v>
      </c>
      <c r="R10" s="34">
        <f t="shared" ref="R10" si="2">SUM(R6:R9)</f>
        <v>0</v>
      </c>
      <c r="S10" s="34">
        <f t="shared" ref="S10:AC10" si="3">SUM(S6:S9)</f>
        <v>131751</v>
      </c>
      <c r="T10" s="34">
        <f t="shared" si="3"/>
        <v>0</v>
      </c>
      <c r="U10" s="34">
        <f t="shared" si="3"/>
        <v>95</v>
      </c>
      <c r="V10" s="34">
        <f t="shared" si="3"/>
        <v>13</v>
      </c>
      <c r="W10" s="34">
        <f t="shared" si="3"/>
        <v>0</v>
      </c>
      <c r="X10" s="34">
        <f t="shared" si="3"/>
        <v>108</v>
      </c>
      <c r="Y10" s="34">
        <f t="shared" si="3"/>
        <v>120675</v>
      </c>
      <c r="Z10" s="34">
        <f t="shared" si="3"/>
        <v>0</v>
      </c>
      <c r="AA10" s="34">
        <f t="shared" si="3"/>
        <v>120675</v>
      </c>
      <c r="AB10" s="34">
        <f t="shared" si="3"/>
        <v>55583.333333333328</v>
      </c>
      <c r="AC10" s="34">
        <f t="shared" si="3"/>
        <v>0</v>
      </c>
      <c r="AD10" s="34">
        <f t="shared" ref="AD10:AM10" si="4">SUM(AD6:AD9)</f>
        <v>0</v>
      </c>
      <c r="AE10" s="34">
        <f t="shared" si="4"/>
        <v>0</v>
      </c>
      <c r="AF10" s="34">
        <f t="shared" si="4"/>
        <v>0</v>
      </c>
      <c r="AG10" s="34">
        <f>SUM(AG6:AG9)</f>
        <v>800</v>
      </c>
      <c r="AH10" s="179">
        <f t="shared" si="4"/>
        <v>0</v>
      </c>
      <c r="AI10" s="177">
        <f t="shared" si="4"/>
        <v>0</v>
      </c>
      <c r="AJ10" s="34">
        <f t="shared" si="4"/>
        <v>0</v>
      </c>
      <c r="AK10" s="34">
        <f t="shared" si="4"/>
        <v>0</v>
      </c>
      <c r="AL10" s="34">
        <f t="shared" si="4"/>
        <v>0</v>
      </c>
      <c r="AM10" s="193">
        <f t="shared" si="4"/>
        <v>0</v>
      </c>
      <c r="AN10" s="179">
        <f>SUM(AN6:AN9)</f>
        <v>119875</v>
      </c>
      <c r="AO10" s="177">
        <f t="shared" ref="AO10:AP10" si="5">SUM(AO6:AO9)</f>
        <v>0</v>
      </c>
      <c r="AP10" s="34">
        <f t="shared" si="5"/>
        <v>0</v>
      </c>
      <c r="AQ10" s="34"/>
      <c r="AR10" s="39"/>
      <c r="AS10" s="39"/>
      <c r="AT10" s="40"/>
      <c r="AU10" s="29"/>
      <c r="AV10" s="30"/>
      <c r="AW10" s="30"/>
      <c r="AX10" s="30"/>
      <c r="AY10" s="30"/>
      <c r="AZ10" s="30"/>
      <c r="BA10" s="30"/>
      <c r="BB10" s="34">
        <f>SUM(BB6:BB9)</f>
        <v>0</v>
      </c>
      <c r="BC10" s="34">
        <f>SUM(BC6:BC9)</f>
        <v>120675</v>
      </c>
    </row>
    <row r="11" spans="1:56" ht="18" customHeight="1" x14ac:dyDescent="0.25">
      <c r="B11" s="198">
        <v>32000</v>
      </c>
      <c r="C11" s="155">
        <v>27000</v>
      </c>
      <c r="D11" s="78">
        <v>24000</v>
      </c>
      <c r="E11" s="30" t="s">
        <v>422</v>
      </c>
      <c r="F11" s="104" t="s">
        <v>150</v>
      </c>
      <c r="G11" s="21" t="s">
        <v>55</v>
      </c>
      <c r="H11" s="15"/>
      <c r="I11" s="83" t="s">
        <v>104</v>
      </c>
      <c r="J11" s="41">
        <v>1</v>
      </c>
      <c r="K11" s="86" t="s">
        <v>64</v>
      </c>
      <c r="L11" s="43" t="s">
        <v>65</v>
      </c>
      <c r="M11" s="33">
        <v>32000</v>
      </c>
      <c r="N11" s="20">
        <v>10000</v>
      </c>
      <c r="O11" s="20">
        <f t="shared" ref="O11:O13" si="6">ROUND((M11-N11)/2,)</f>
        <v>11000</v>
      </c>
      <c r="P11" s="20">
        <f t="shared" ref="P11:P13" si="7">ROUND(O11*50%,)</f>
        <v>5500</v>
      </c>
      <c r="Q11" s="20">
        <f t="shared" ref="Q11:Q13" si="8">ROUND(O11*50/100,)</f>
        <v>5500</v>
      </c>
      <c r="R11" s="20">
        <v>0</v>
      </c>
      <c r="S11" s="20">
        <f t="shared" ref="S11:S13" si="9">N11+O11+P11+Q11+R11</f>
        <v>32000</v>
      </c>
      <c r="T11" s="20">
        <f t="shared" ref="T11:T13" si="10">ROUND(IF((S11-O11)&gt;15000,15000,(S11-O11)),)</f>
        <v>15000</v>
      </c>
      <c r="U11" s="22">
        <v>26</v>
      </c>
      <c r="V11" s="22">
        <v>4</v>
      </c>
      <c r="W11" s="22">
        <v>0</v>
      </c>
      <c r="X11" s="22">
        <f t="shared" ref="X11:X13" si="11">+U11+V11+W11</f>
        <v>30</v>
      </c>
      <c r="Y11" s="20">
        <f>+M11/30*X11</f>
        <v>32000.000000000004</v>
      </c>
      <c r="Z11" s="42">
        <v>0</v>
      </c>
      <c r="AA11" s="20">
        <f t="shared" ref="AA11:AA13" si="12">+Y11+Z11</f>
        <v>32000.000000000004</v>
      </c>
      <c r="AB11" s="20">
        <f>+(N11/30)*U11</f>
        <v>8666.6666666666661</v>
      </c>
      <c r="AC11" s="42">
        <f t="shared" ref="AC11:AC13" si="13">+AB11*12%</f>
        <v>1040</v>
      </c>
      <c r="AD11" s="42">
        <f t="shared" ref="AD11:AD13" si="14">+AB11*13%</f>
        <v>1126.6666666666665</v>
      </c>
      <c r="AE11" s="42">
        <v>0</v>
      </c>
      <c r="AF11" s="42">
        <v>0</v>
      </c>
      <c r="AG11" s="20">
        <f t="shared" ref="AG11:AG12" si="15">IF(AA11&gt;=12000,200,IF(AA11&gt;=9000,150,IF(AA11&gt;=6000,80,IF(AA11&gt;=3000,0,0))))</f>
        <v>200</v>
      </c>
      <c r="AH11" s="122"/>
      <c r="AI11" s="80">
        <v>0</v>
      </c>
      <c r="AJ11" s="24">
        <v>0</v>
      </c>
      <c r="AK11" s="24">
        <v>0</v>
      </c>
      <c r="AL11" s="24">
        <v>0</v>
      </c>
      <c r="AM11" s="23">
        <f t="shared" ref="AM11:AM13" si="16">SUM(AI11:AL11)</f>
        <v>0</v>
      </c>
      <c r="AN11" s="194">
        <f t="shared" ref="AN11:AN13" si="17">+AA11-(AC11+AE11+AG11+AH11+AI11+AJ11+AK11+AL11)</f>
        <v>30760.000000000004</v>
      </c>
      <c r="AO11" s="99"/>
      <c r="AP11" s="27"/>
      <c r="AQ11" s="60" t="s">
        <v>390</v>
      </c>
      <c r="AR11" s="28"/>
      <c r="AS11" s="28"/>
      <c r="AT11" s="28"/>
      <c r="AU11" s="29"/>
      <c r="AV11" s="21"/>
      <c r="AW11" s="30"/>
      <c r="AX11" s="30"/>
      <c r="AY11" s="30"/>
      <c r="AZ11" s="30"/>
      <c r="BA11" s="30"/>
      <c r="BC11" s="152">
        <f t="shared" ref="BC11:BC12" si="18">AC11+AE11+AG11+AN11</f>
        <v>32000.000000000004</v>
      </c>
      <c r="BD11" s="31"/>
    </row>
    <row r="12" spans="1:56" ht="18" customHeight="1" x14ac:dyDescent="0.25">
      <c r="B12" s="198">
        <v>23500</v>
      </c>
      <c r="C12" s="155">
        <f>21760+500+2000</f>
        <v>24260</v>
      </c>
      <c r="D12" s="78">
        <v>20760</v>
      </c>
      <c r="E12" s="16" t="s">
        <v>54</v>
      </c>
      <c r="F12" s="104" t="s">
        <v>150</v>
      </c>
      <c r="G12" s="112">
        <v>44501</v>
      </c>
      <c r="H12" s="15"/>
      <c r="I12" s="83" t="s">
        <v>105</v>
      </c>
      <c r="J12" s="41">
        <f t="shared" ref="J12:J17" si="19">J11+1</f>
        <v>2</v>
      </c>
      <c r="K12" s="86" t="s">
        <v>64</v>
      </c>
      <c r="L12" s="43" t="s">
        <v>66</v>
      </c>
      <c r="M12" s="33">
        <v>23500</v>
      </c>
      <c r="N12" s="20">
        <f>ROUND(IF((M12*50%)&lt;10000,10000,(M12*50/100)),)</f>
        <v>11750</v>
      </c>
      <c r="O12" s="20">
        <f t="shared" si="6"/>
        <v>5875</v>
      </c>
      <c r="P12" s="20">
        <f t="shared" si="7"/>
        <v>2938</v>
      </c>
      <c r="Q12" s="20">
        <f t="shared" si="8"/>
        <v>2938</v>
      </c>
      <c r="R12" s="20">
        <v>0</v>
      </c>
      <c r="S12" s="20">
        <f t="shared" si="9"/>
        <v>23501</v>
      </c>
      <c r="T12" s="20">
        <f t="shared" si="10"/>
        <v>15000</v>
      </c>
      <c r="U12" s="22">
        <v>25</v>
      </c>
      <c r="V12" s="22">
        <v>4</v>
      </c>
      <c r="W12" s="22">
        <v>0</v>
      </c>
      <c r="X12" s="22">
        <f t="shared" si="11"/>
        <v>29</v>
      </c>
      <c r="Y12" s="20">
        <f t="shared" ref="Y12:Y17" si="20">+M12/30*X12</f>
        <v>22716.666666666668</v>
      </c>
      <c r="Z12" s="42">
        <v>0</v>
      </c>
      <c r="AA12" s="20">
        <f t="shared" si="12"/>
        <v>22716.666666666668</v>
      </c>
      <c r="AB12" s="20">
        <f t="shared" ref="AB12:AB17" si="21">+(N12/30)*U12</f>
        <v>9791.6666666666679</v>
      </c>
      <c r="AC12" s="42">
        <f t="shared" si="13"/>
        <v>1175</v>
      </c>
      <c r="AD12" s="42">
        <f t="shared" si="14"/>
        <v>1272.916666666667</v>
      </c>
      <c r="AE12" s="42">
        <v>0</v>
      </c>
      <c r="AF12" s="42">
        <v>0</v>
      </c>
      <c r="AG12" s="20">
        <f t="shared" si="15"/>
        <v>200</v>
      </c>
      <c r="AH12" s="24"/>
      <c r="AI12" s="80">
        <v>0</v>
      </c>
      <c r="AJ12" s="24">
        <v>0</v>
      </c>
      <c r="AK12" s="24">
        <v>0</v>
      </c>
      <c r="AL12" s="24">
        <v>0</v>
      </c>
      <c r="AM12" s="23">
        <f t="shared" si="16"/>
        <v>0</v>
      </c>
      <c r="AN12" s="60">
        <f t="shared" si="17"/>
        <v>21341.666666666668</v>
      </c>
      <c r="AO12" s="99"/>
      <c r="AP12" s="27"/>
      <c r="AQ12" s="60" t="s">
        <v>325</v>
      </c>
      <c r="AR12" s="28"/>
      <c r="AS12" s="28"/>
      <c r="AT12" s="28"/>
      <c r="AU12" s="29"/>
      <c r="AV12" s="21"/>
      <c r="AW12" s="30"/>
      <c r="AX12" s="30"/>
      <c r="AY12" s="30"/>
      <c r="AZ12" s="44"/>
      <c r="BA12" s="30"/>
      <c r="BC12" s="152">
        <f t="shared" si="18"/>
        <v>22716.666666666668</v>
      </c>
      <c r="BD12" s="32"/>
    </row>
    <row r="13" spans="1:56" ht="18" customHeight="1" x14ac:dyDescent="0.25">
      <c r="B13" s="155">
        <v>25000</v>
      </c>
      <c r="C13" s="198">
        <v>22000</v>
      </c>
      <c r="D13" s="15">
        <v>18500</v>
      </c>
      <c r="E13" s="16" t="s">
        <v>438</v>
      </c>
      <c r="F13" s="104" t="s">
        <v>159</v>
      </c>
      <c r="G13" s="112">
        <v>44652</v>
      </c>
      <c r="H13" s="15"/>
      <c r="I13" s="83" t="s">
        <v>106</v>
      </c>
      <c r="J13" s="41">
        <f t="shared" si="19"/>
        <v>3</v>
      </c>
      <c r="K13" s="86" t="s">
        <v>64</v>
      </c>
      <c r="L13" s="43" t="s">
        <v>67</v>
      </c>
      <c r="M13" s="33">
        <v>25000</v>
      </c>
      <c r="N13" s="20">
        <f>ROUND(IF((M13*50%)&lt;10000,10000,(M13*50/100)),)</f>
        <v>12500</v>
      </c>
      <c r="O13" s="20">
        <f t="shared" si="6"/>
        <v>6250</v>
      </c>
      <c r="P13" s="20">
        <f t="shared" si="7"/>
        <v>3125</v>
      </c>
      <c r="Q13" s="20">
        <f t="shared" si="8"/>
        <v>3125</v>
      </c>
      <c r="R13" s="20">
        <v>0</v>
      </c>
      <c r="S13" s="20">
        <f t="shared" si="9"/>
        <v>25000</v>
      </c>
      <c r="T13" s="20">
        <f t="shared" si="10"/>
        <v>15000</v>
      </c>
      <c r="U13" s="22">
        <v>26</v>
      </c>
      <c r="V13" s="22">
        <v>4</v>
      </c>
      <c r="W13" s="22">
        <v>0</v>
      </c>
      <c r="X13" s="22">
        <f t="shared" si="11"/>
        <v>30</v>
      </c>
      <c r="Y13" s="20">
        <f t="shared" si="20"/>
        <v>25000</v>
      </c>
      <c r="Z13" s="42">
        <f>5000+193-8</f>
        <v>5185</v>
      </c>
      <c r="AA13" s="20">
        <f t="shared" si="12"/>
        <v>30185</v>
      </c>
      <c r="AB13" s="20">
        <f t="shared" si="21"/>
        <v>10833.333333333334</v>
      </c>
      <c r="AC13" s="42">
        <f t="shared" si="13"/>
        <v>1300</v>
      </c>
      <c r="AD13" s="42">
        <f t="shared" si="14"/>
        <v>1408.3333333333335</v>
      </c>
      <c r="AE13" s="42">
        <f>ROUNDUP(AA13*0.75%,0)</f>
        <v>227</v>
      </c>
      <c r="AF13" s="42">
        <f>ROUNDUP(AA13*3.25%,0)</f>
        <v>982</v>
      </c>
      <c r="AG13" s="20">
        <f>IF(AA13&gt;=12000,200,IF(AA13&gt;=9000,150,IF(AA13&gt;=6000,80,IF(AA13&gt;=3000,0,0))))</f>
        <v>200</v>
      </c>
      <c r="AH13" s="24">
        <v>0</v>
      </c>
      <c r="AI13" s="80">
        <v>2000</v>
      </c>
      <c r="AJ13" s="24">
        <v>0</v>
      </c>
      <c r="AK13" s="24">
        <v>0</v>
      </c>
      <c r="AL13" s="24">
        <v>0</v>
      </c>
      <c r="AM13" s="23">
        <f t="shared" si="16"/>
        <v>2000</v>
      </c>
      <c r="AN13" s="60">
        <f t="shared" si="17"/>
        <v>26458</v>
      </c>
      <c r="AO13" s="99"/>
      <c r="AP13" s="27"/>
      <c r="AQ13" s="60" t="s">
        <v>305</v>
      </c>
      <c r="AR13" s="28"/>
      <c r="AS13" s="28"/>
      <c r="AT13" s="28"/>
      <c r="AU13" s="29"/>
      <c r="AV13" s="21"/>
      <c r="AW13" s="30"/>
      <c r="AX13" s="30"/>
      <c r="AY13" s="30"/>
      <c r="AZ13" s="44"/>
      <c r="BA13" s="30"/>
      <c r="BC13" s="152">
        <f>AC13+AE13+AG13+AN13</f>
        <v>28185</v>
      </c>
      <c r="BD13" s="32"/>
    </row>
    <row r="14" spans="1:56" s="50" customFormat="1" ht="15.75" x14ac:dyDescent="0.25">
      <c r="B14" s="155">
        <v>32000</v>
      </c>
      <c r="C14" s="198">
        <v>28000</v>
      </c>
      <c r="D14" s="15">
        <v>24000</v>
      </c>
      <c r="E14" s="16" t="s">
        <v>438</v>
      </c>
      <c r="F14" s="104" t="s">
        <v>156</v>
      </c>
      <c r="G14" s="112">
        <v>44713</v>
      </c>
      <c r="H14" s="15"/>
      <c r="I14" s="83" t="s">
        <v>111</v>
      </c>
      <c r="J14" s="41">
        <f t="shared" si="19"/>
        <v>4</v>
      </c>
      <c r="K14" s="86" t="s">
        <v>64</v>
      </c>
      <c r="L14" s="43" t="s">
        <v>110</v>
      </c>
      <c r="M14" s="33">
        <v>32000</v>
      </c>
      <c r="N14" s="20">
        <v>10000</v>
      </c>
      <c r="O14" s="20">
        <f>ROUND((M14-N14)/2,)</f>
        <v>11000</v>
      </c>
      <c r="P14" s="20">
        <f>ROUND(O14*50%,)</f>
        <v>5500</v>
      </c>
      <c r="Q14" s="20">
        <f>ROUND(O14*50/100,)</f>
        <v>5500</v>
      </c>
      <c r="R14" s="20">
        <v>0</v>
      </c>
      <c r="S14" s="20">
        <f>N14+O14+P14+Q14+R14</f>
        <v>32000</v>
      </c>
      <c r="T14" s="20">
        <f>ROUND(IF((S14-O14)&gt;15000,15000,(S14-O14)),)</f>
        <v>15000</v>
      </c>
      <c r="U14" s="22">
        <v>26</v>
      </c>
      <c r="V14" s="22">
        <v>4</v>
      </c>
      <c r="W14" s="22">
        <v>0</v>
      </c>
      <c r="X14" s="22">
        <f>+U14+V14+W14</f>
        <v>30</v>
      </c>
      <c r="Y14" s="20">
        <f t="shared" si="20"/>
        <v>32000.000000000004</v>
      </c>
      <c r="Z14" s="20">
        <v>0</v>
      </c>
      <c r="AA14" s="20">
        <f>+Y14+Z14</f>
        <v>32000.000000000004</v>
      </c>
      <c r="AB14" s="20">
        <f t="shared" si="21"/>
        <v>8666.6666666666661</v>
      </c>
      <c r="AC14" s="20">
        <f>+AB14*12%</f>
        <v>1040</v>
      </c>
      <c r="AD14" s="20">
        <f>+AB14*13%</f>
        <v>1126.6666666666665</v>
      </c>
      <c r="AE14" s="20">
        <v>0</v>
      </c>
      <c r="AF14" s="20">
        <v>0</v>
      </c>
      <c r="AG14" s="20">
        <f>IF(AA14&gt;=12000,200,IF(AA14&gt;=9000,150,IF(AA14&gt;=6000,80,IF(AA14&gt;=3000,0,0))))</f>
        <v>200</v>
      </c>
      <c r="AH14" s="24"/>
      <c r="AI14" s="80">
        <v>1000</v>
      </c>
      <c r="AJ14" s="24">
        <v>0</v>
      </c>
      <c r="AK14" s="24">
        <v>0</v>
      </c>
      <c r="AL14" s="24">
        <v>0</v>
      </c>
      <c r="AM14" s="23">
        <f>SUM(AI14:AL14)</f>
        <v>1000</v>
      </c>
      <c r="AN14" s="60">
        <f>+AA14-(AC14+AE14+AG14+AH14+AI14+AJ14+AK14+AL14)</f>
        <v>29760.000000000004</v>
      </c>
      <c r="AO14" s="93"/>
      <c r="AP14" s="94"/>
      <c r="AQ14" s="167" t="s">
        <v>351</v>
      </c>
      <c r="AR14" s="95"/>
      <c r="AS14" s="95"/>
      <c r="AT14" s="96"/>
      <c r="AU14" s="29"/>
      <c r="AV14" s="21"/>
      <c r="AW14" s="30"/>
      <c r="AX14" s="30"/>
      <c r="AY14" s="30"/>
      <c r="AZ14" s="30"/>
      <c r="BA14" s="30"/>
      <c r="BB14" s="14"/>
      <c r="BC14" s="152">
        <f>AC14+AE14+AG14+AN14</f>
        <v>31000.000000000004</v>
      </c>
    </row>
    <row r="15" spans="1:56" ht="18" customHeight="1" x14ac:dyDescent="0.25">
      <c r="B15" s="155">
        <v>26000</v>
      </c>
      <c r="C15" s="198">
        <v>23650</v>
      </c>
      <c r="D15" s="15">
        <v>21500</v>
      </c>
      <c r="E15" s="16" t="s">
        <v>438</v>
      </c>
      <c r="F15" s="104" t="s">
        <v>158</v>
      </c>
      <c r="G15" s="112">
        <v>44652</v>
      </c>
      <c r="H15" s="15"/>
      <c r="I15" s="83" t="s">
        <v>108</v>
      </c>
      <c r="J15" s="41">
        <f t="shared" si="19"/>
        <v>5</v>
      </c>
      <c r="K15" s="86" t="s">
        <v>64</v>
      </c>
      <c r="L15" s="43" t="s">
        <v>68</v>
      </c>
      <c r="M15" s="33">
        <v>26000</v>
      </c>
      <c r="N15" s="20">
        <f>ROUND(IF((M15*50%)&lt;10000,10000,(M15*50/100)),)</f>
        <v>13000</v>
      </c>
      <c r="O15" s="20">
        <f>ROUND((M15-N15)/2,)</f>
        <v>6500</v>
      </c>
      <c r="P15" s="20">
        <f>ROUND(O15*50%,)</f>
        <v>3250</v>
      </c>
      <c r="Q15" s="20">
        <f>ROUND(O15*50/100,)</f>
        <v>3250</v>
      </c>
      <c r="R15" s="20">
        <v>0</v>
      </c>
      <c r="S15" s="20">
        <f>N15+O15+P15+Q15+R15</f>
        <v>26000</v>
      </c>
      <c r="T15" s="20">
        <f>ROUND(IF((S15-O15)&gt;15000,15000,(S15-O15)),)</f>
        <v>15000</v>
      </c>
      <c r="U15" s="22">
        <v>26</v>
      </c>
      <c r="V15" s="22">
        <v>4</v>
      </c>
      <c r="W15" s="22">
        <v>0</v>
      </c>
      <c r="X15" s="22">
        <f>+U15+V15+W15</f>
        <v>30</v>
      </c>
      <c r="Y15" s="20">
        <f t="shared" si="20"/>
        <v>26000</v>
      </c>
      <c r="Z15" s="42">
        <v>0</v>
      </c>
      <c r="AA15" s="20">
        <f>+Y15+Z15</f>
        <v>26000</v>
      </c>
      <c r="AB15" s="20">
        <f t="shared" si="21"/>
        <v>11266.666666666666</v>
      </c>
      <c r="AC15" s="42">
        <f>+AB15*12%</f>
        <v>1351.9999999999998</v>
      </c>
      <c r="AD15" s="42">
        <f>+AB15*13%</f>
        <v>1464.6666666666667</v>
      </c>
      <c r="AE15" s="42">
        <v>0</v>
      </c>
      <c r="AF15" s="42">
        <v>0</v>
      </c>
      <c r="AG15" s="20">
        <f>IF(AA15&gt;=12000,200,IF(AA15&gt;=9000,150,IF(AA15&gt;=6000,80,IF(AA15&gt;=3000,0,0))))</f>
        <v>200</v>
      </c>
      <c r="AH15" s="24"/>
      <c r="AI15" s="80">
        <v>2000</v>
      </c>
      <c r="AJ15" s="24">
        <v>0</v>
      </c>
      <c r="AK15" s="24">
        <v>0</v>
      </c>
      <c r="AL15" s="24">
        <v>0</v>
      </c>
      <c r="AM15" s="23">
        <f>SUM(AI15:AL15)</f>
        <v>2000</v>
      </c>
      <c r="AN15" s="60">
        <f>+AA15-(AC15+AE15+AG15+AH15+AI15+AJ15+AK15+AL15)</f>
        <v>22448</v>
      </c>
      <c r="AO15" s="99"/>
      <c r="AP15" s="27"/>
      <c r="AQ15" s="168" t="s">
        <v>311</v>
      </c>
      <c r="AR15" s="28"/>
      <c r="AS15" s="28"/>
      <c r="AT15" s="28"/>
      <c r="AU15" s="29"/>
      <c r="AV15" s="21"/>
      <c r="AW15" s="30"/>
      <c r="AX15" s="30"/>
      <c r="AY15" s="30"/>
      <c r="AZ15" s="44"/>
      <c r="BA15" s="30"/>
      <c r="BC15" s="152">
        <f>AC15+AE15+AG15+AN15</f>
        <v>24000</v>
      </c>
      <c r="BD15" s="32"/>
    </row>
    <row r="16" spans="1:56" ht="18" customHeight="1" x14ac:dyDescent="0.25">
      <c r="B16" s="155">
        <v>33500</v>
      </c>
      <c r="C16" s="198">
        <v>30050</v>
      </c>
      <c r="D16" s="15">
        <v>25500</v>
      </c>
      <c r="E16" s="16" t="s">
        <v>438</v>
      </c>
      <c r="F16" s="104" t="s">
        <v>157</v>
      </c>
      <c r="G16" s="112">
        <v>44652</v>
      </c>
      <c r="H16" s="15"/>
      <c r="I16" s="83" t="s">
        <v>107</v>
      </c>
      <c r="J16" s="41">
        <f t="shared" si="19"/>
        <v>6</v>
      </c>
      <c r="K16" s="86" t="s">
        <v>64</v>
      </c>
      <c r="L16" s="43" t="s">
        <v>69</v>
      </c>
      <c r="M16" s="33">
        <v>33500</v>
      </c>
      <c r="N16" s="20">
        <f>ROUND(IF((M16*50%)&lt;10000,10000,(M16*50/100)),)</f>
        <v>16750</v>
      </c>
      <c r="O16" s="20">
        <f>ROUND((M16-N16)/2,)</f>
        <v>8375</v>
      </c>
      <c r="P16" s="20">
        <f>ROUND(O16*50%,)</f>
        <v>4188</v>
      </c>
      <c r="Q16" s="20">
        <f>ROUND(O16*50/100,)</f>
        <v>4188</v>
      </c>
      <c r="R16" s="20">
        <v>0</v>
      </c>
      <c r="S16" s="20">
        <f>N16+O16+P16+Q16+R16</f>
        <v>33501</v>
      </c>
      <c r="T16" s="20">
        <f>ROUND(IF((S16-O16)&gt;15000,15000,(S16-O16)),)</f>
        <v>15000</v>
      </c>
      <c r="U16" s="22">
        <v>26</v>
      </c>
      <c r="V16" s="22">
        <v>4</v>
      </c>
      <c r="W16" s="22">
        <v>0</v>
      </c>
      <c r="X16" s="22">
        <f>+U16+V16+W16</f>
        <v>30</v>
      </c>
      <c r="Y16" s="20">
        <f t="shared" si="20"/>
        <v>33500</v>
      </c>
      <c r="Z16" s="42">
        <v>0</v>
      </c>
      <c r="AA16" s="20">
        <f>+Y16+Z16</f>
        <v>33500</v>
      </c>
      <c r="AB16" s="20">
        <f t="shared" si="21"/>
        <v>14516.666666666668</v>
      </c>
      <c r="AC16" s="42">
        <f>+AB16*12%</f>
        <v>1742</v>
      </c>
      <c r="AD16" s="42">
        <f>+AB16*13%</f>
        <v>1887.166666666667</v>
      </c>
      <c r="AE16" s="42">
        <v>0</v>
      </c>
      <c r="AF16" s="42">
        <v>0</v>
      </c>
      <c r="AG16" s="20">
        <f>IF(AA16&gt;=12000,200,IF(AA16&gt;=9000,150,IF(AA16&gt;=6000,80,IF(AA16&gt;=3000,0,0))))</f>
        <v>200</v>
      </c>
      <c r="AH16" s="24"/>
      <c r="AI16" s="80">
        <f>1000+12000</f>
        <v>13000</v>
      </c>
      <c r="AJ16" s="24">
        <v>0</v>
      </c>
      <c r="AK16" s="24">
        <v>0</v>
      </c>
      <c r="AL16" s="24">
        <v>0</v>
      </c>
      <c r="AM16" s="23">
        <f>SUM(AI16:AL16)</f>
        <v>13000</v>
      </c>
      <c r="AN16" s="60">
        <f>+AA16-(AC16+AE16+AG16+AH16+AI16+AJ16+AK16+AL16)</f>
        <v>18558</v>
      </c>
      <c r="AO16" s="26">
        <f t="shared" ref="AO16:AP16" si="22">+AB16-(AD16+AF16+AH16+AI16+AJ16+AK16+AL16+AM16)</f>
        <v>-13370.5</v>
      </c>
      <c r="AP16" s="60">
        <f t="shared" si="22"/>
        <v>-43016</v>
      </c>
      <c r="AQ16" s="168" t="s">
        <v>310</v>
      </c>
      <c r="AR16" s="60">
        <f>+AD16-(AF16+AH16+AJ16+AK16+AL16+AM16+AN16+AO16)</f>
        <v>-16300.333333333332</v>
      </c>
      <c r="AS16" s="60">
        <f>+AE16-(AG16+AI16+AK16+AL16+AM16+AN16+AO16+AP16)</f>
        <v>11628.5</v>
      </c>
      <c r="AT16" s="60">
        <f>+AF16-(AH16+AJ16+AL16+AM16+AN16+AO16+AP16+AR16)</f>
        <v>41128.833333333328</v>
      </c>
      <c r="AU16" s="60">
        <f>+AG16-(AI16+AK16+AM16+AN16+AO16+AP16+AR16+AS16)</f>
        <v>16700.333333333332</v>
      </c>
      <c r="AV16" s="60">
        <f>+AH16-(AJ16+AL16+AN16+AO16+AP16+AR16+AS16+AT16)</f>
        <v>1371.5</v>
      </c>
      <c r="AW16" s="60">
        <f>+AI16-(AK16+AM16+AO16+AP16+AR16+AS16+AT16+AU16)</f>
        <v>3229.1666666666679</v>
      </c>
      <c r="AX16" s="60">
        <f>+AJ16-(AL16+AN16+AP16+AR16+AS16+AT16+AU16+AV16)</f>
        <v>-30070.833333333332</v>
      </c>
      <c r="AY16" s="60">
        <f>+AK16-(AM16+AO16+AR16+AS16+AT16+AU16+AV16+AW16)</f>
        <v>-57387.5</v>
      </c>
      <c r="AZ16" s="60">
        <f>+AL16-(AN16+AP16+AS16+AT16+AU16+AV16+AW16+AX16)</f>
        <v>-19529.499999999996</v>
      </c>
      <c r="BA16" s="60">
        <f>+AM16-(AO16+AR16+AT16+AU16+AV16+AW16+AX16+AY16)</f>
        <v>67699.333333333343</v>
      </c>
      <c r="BB16" s="151">
        <f>+AN16-(AP16+AS16+AU16+AV16+AW16+AX16+AY16+AZ16)</f>
        <v>135632.33333333331</v>
      </c>
      <c r="BC16" s="152">
        <f>AC16+AE16+AG16+AN16</f>
        <v>20500</v>
      </c>
      <c r="BD16" s="32"/>
    </row>
    <row r="17" spans="2:56" ht="16.5" thickBot="1" x14ac:dyDescent="0.3">
      <c r="B17" s="157">
        <v>26000</v>
      </c>
      <c r="C17" s="199">
        <v>22800</v>
      </c>
      <c r="D17" s="15">
        <v>20735</v>
      </c>
      <c r="E17" s="16" t="s">
        <v>438</v>
      </c>
      <c r="F17" s="104" t="s">
        <v>150</v>
      </c>
      <c r="G17" s="112">
        <v>43556</v>
      </c>
      <c r="H17" s="17"/>
      <c r="I17" s="83" t="s">
        <v>109</v>
      </c>
      <c r="J17" s="41">
        <f t="shared" si="19"/>
        <v>7</v>
      </c>
      <c r="K17" s="86" t="s">
        <v>64</v>
      </c>
      <c r="L17" s="30" t="s">
        <v>70</v>
      </c>
      <c r="M17" s="19">
        <v>26000</v>
      </c>
      <c r="N17" s="20">
        <f>ROUND(IF((M17*50%)&lt;10000,10000,(M17*50/100)),)</f>
        <v>13000</v>
      </c>
      <c r="O17" s="20">
        <f>ROUND((M17-N17)/2,)</f>
        <v>6500</v>
      </c>
      <c r="P17" s="20">
        <f>ROUND(O17*50%,)</f>
        <v>3250</v>
      </c>
      <c r="Q17" s="20">
        <f>ROUND(O17*50/100,)</f>
        <v>3250</v>
      </c>
      <c r="R17" s="20">
        <v>0</v>
      </c>
      <c r="S17" s="20">
        <f>N17+O17+P17+Q17+R17</f>
        <v>26000</v>
      </c>
      <c r="T17" s="20">
        <f>ROUND(IF((S17-O17)&gt;15000,15000,(S17-O17)),)</f>
        <v>15000</v>
      </c>
      <c r="U17" s="22">
        <v>26</v>
      </c>
      <c r="V17" s="22">
        <v>4</v>
      </c>
      <c r="W17" s="22">
        <v>0</v>
      </c>
      <c r="X17" s="22">
        <f>+U17+V17+W17</f>
        <v>30</v>
      </c>
      <c r="Y17" s="20">
        <f t="shared" si="20"/>
        <v>26000</v>
      </c>
      <c r="Z17" s="42">
        <v>0</v>
      </c>
      <c r="AA17" s="20">
        <f>+Y17+Z17</f>
        <v>26000</v>
      </c>
      <c r="AB17" s="20">
        <f t="shared" si="21"/>
        <v>11266.666666666666</v>
      </c>
      <c r="AC17" s="42">
        <f>+AB17*12%</f>
        <v>1351.9999999999998</v>
      </c>
      <c r="AD17" s="42">
        <f>+AB17*13%</f>
        <v>1464.6666666666667</v>
      </c>
      <c r="AE17" s="42">
        <v>0</v>
      </c>
      <c r="AF17" s="42">
        <v>0</v>
      </c>
      <c r="AG17" s="20">
        <f>IF(AA17&gt;=12000,200,IF(AA17&gt;=9000,150,IF(AA17&gt;=6000,80,IF(AA17&gt;=3000,0,0))))</f>
        <v>200</v>
      </c>
      <c r="AH17" s="178"/>
      <c r="AI17" s="80">
        <v>0</v>
      </c>
      <c r="AJ17" s="24">
        <v>0</v>
      </c>
      <c r="AK17" s="24">
        <v>0</v>
      </c>
      <c r="AL17" s="24">
        <v>0</v>
      </c>
      <c r="AM17" s="23">
        <f>SUM(AI17:AL17)</f>
        <v>0</v>
      </c>
      <c r="AN17" s="60">
        <f>+AA17-(AC17+AE17+AG17+AH17+AI17+AJ17+AK17+AL17)</f>
        <v>24448</v>
      </c>
      <c r="AO17" s="99"/>
      <c r="AP17" s="27"/>
      <c r="AQ17" s="60" t="s">
        <v>342</v>
      </c>
      <c r="AR17" s="28"/>
      <c r="AS17" s="28"/>
      <c r="AT17" s="28"/>
      <c r="AU17" s="29"/>
      <c r="AV17" s="20"/>
      <c r="AW17" s="30"/>
      <c r="AX17" s="30"/>
      <c r="AY17" s="30"/>
      <c r="AZ17" s="44"/>
      <c r="BA17" s="30"/>
      <c r="BC17" s="152">
        <f>AC17+AE17+AG17+AN17</f>
        <v>26000</v>
      </c>
      <c r="BD17" s="31"/>
    </row>
    <row r="18" spans="2:56" ht="16.5" thickBot="1" x14ac:dyDescent="0.25">
      <c r="B18" s="102"/>
      <c r="C18" s="34">
        <f>SUM(C11:C17)</f>
        <v>177760</v>
      </c>
      <c r="D18" s="34">
        <f>SUM(D11:D17)</f>
        <v>154995</v>
      </c>
      <c r="E18" s="227"/>
      <c r="F18" s="163"/>
      <c r="G18" s="145"/>
      <c r="H18" s="35"/>
      <c r="I18" s="36"/>
      <c r="J18" s="37"/>
      <c r="K18" s="87"/>
      <c r="L18" s="38"/>
      <c r="M18" s="34">
        <f>SUM(M11:M17)</f>
        <v>198000</v>
      </c>
      <c r="N18" s="34">
        <f>SUM(N11:N17)</f>
        <v>87000</v>
      </c>
      <c r="O18" s="34">
        <f>SUM(O11:O17)</f>
        <v>55500</v>
      </c>
      <c r="P18" s="34">
        <f>SUM(P11:P17)</f>
        <v>27751</v>
      </c>
      <c r="Q18" s="34">
        <f>SUM(Q11:Q17)</f>
        <v>27751</v>
      </c>
      <c r="R18" s="34">
        <f t="shared" ref="R18:AL18" si="23">SUM(R11:R17)</f>
        <v>0</v>
      </c>
      <c r="S18" s="34">
        <f t="shared" ref="S18:AC18" si="24">SUM(S11:S17)</f>
        <v>198002</v>
      </c>
      <c r="T18" s="34">
        <f t="shared" si="24"/>
        <v>105000</v>
      </c>
      <c r="U18" s="34">
        <f t="shared" si="24"/>
        <v>181</v>
      </c>
      <c r="V18" s="34">
        <f t="shared" si="24"/>
        <v>28</v>
      </c>
      <c r="W18" s="34">
        <f t="shared" si="24"/>
        <v>0</v>
      </c>
      <c r="X18" s="34">
        <f t="shared" si="24"/>
        <v>209</v>
      </c>
      <c r="Y18" s="34">
        <f t="shared" si="24"/>
        <v>197216.66666666669</v>
      </c>
      <c r="Z18" s="34">
        <f t="shared" si="24"/>
        <v>5185</v>
      </c>
      <c r="AA18" s="34">
        <f t="shared" si="24"/>
        <v>202401.66666666669</v>
      </c>
      <c r="AB18" s="34">
        <f t="shared" si="24"/>
        <v>75008.333333333343</v>
      </c>
      <c r="AC18" s="34">
        <f t="shared" si="24"/>
        <v>9001</v>
      </c>
      <c r="AD18" s="34">
        <f t="shared" ref="AD18" si="25">SUM(AD11:AD17)</f>
        <v>9751.0833333333339</v>
      </c>
      <c r="AE18" s="34">
        <f>SUM(AE11:AE17)</f>
        <v>227</v>
      </c>
      <c r="AF18" s="34">
        <f>SUM(AF11:AF17)</f>
        <v>982</v>
      </c>
      <c r="AG18" s="34">
        <f>SUM(AG11:AG17)</f>
        <v>1400</v>
      </c>
      <c r="AH18" s="34">
        <f>SUM(AH11:AH17)</f>
        <v>0</v>
      </c>
      <c r="AI18" s="34">
        <f>SUM(AI11:AI17)</f>
        <v>18000</v>
      </c>
      <c r="AJ18" s="34">
        <f t="shared" si="23"/>
        <v>0</v>
      </c>
      <c r="AK18" s="34">
        <f t="shared" si="23"/>
        <v>0</v>
      </c>
      <c r="AL18" s="34">
        <f t="shared" si="23"/>
        <v>0</v>
      </c>
      <c r="AM18" s="34">
        <f>SUM(AM11:AM17)</f>
        <v>18000</v>
      </c>
      <c r="AN18" s="34">
        <f>SUM(AN11:AN17)</f>
        <v>173773.66666666669</v>
      </c>
      <c r="AO18" s="45">
        <f t="shared" ref="AO18:AT18" si="26">SUM(AO11:AO17)</f>
        <v>-13370.5</v>
      </c>
      <c r="AP18" s="46">
        <f t="shared" si="26"/>
        <v>-43016</v>
      </c>
      <c r="AQ18" s="46"/>
      <c r="AR18" s="46">
        <f t="shared" si="26"/>
        <v>-16300.333333333332</v>
      </c>
      <c r="AS18" s="46">
        <f t="shared" si="26"/>
        <v>11628.5</v>
      </c>
      <c r="AT18" s="47">
        <f t="shared" si="26"/>
        <v>41128.833333333328</v>
      </c>
      <c r="AU18" s="29"/>
      <c r="AV18" s="30"/>
      <c r="AW18" s="30"/>
      <c r="AX18" s="30"/>
      <c r="AY18" s="30"/>
      <c r="AZ18" s="30"/>
      <c r="BA18" s="30"/>
      <c r="BB18" s="34">
        <f>SUM(BB11:BB17)</f>
        <v>135632.33333333331</v>
      </c>
      <c r="BC18" s="34">
        <f>SUM(BC11:BC17)</f>
        <v>184401.66666666669</v>
      </c>
    </row>
    <row r="19" spans="2:56" ht="15.75" x14ac:dyDescent="0.25">
      <c r="B19" s="157">
        <v>70400</v>
      </c>
      <c r="C19" s="157">
        <v>64000</v>
      </c>
      <c r="D19" s="78">
        <v>60000</v>
      </c>
      <c r="E19" s="30" t="s">
        <v>71</v>
      </c>
      <c r="F19" s="104" t="s">
        <v>149</v>
      </c>
      <c r="G19" s="21" t="s">
        <v>55</v>
      </c>
      <c r="H19" s="17"/>
      <c r="I19" s="17"/>
      <c r="J19" s="41">
        <v>1</v>
      </c>
      <c r="K19" s="86" t="s">
        <v>59</v>
      </c>
      <c r="L19" s="18" t="s">
        <v>72</v>
      </c>
      <c r="M19" s="19">
        <v>70400</v>
      </c>
      <c r="N19" s="20">
        <f t="shared" ref="N19:N43" si="27">ROUND(IF((M19*50%)&lt;15500,15500,(M19*50/100)),)</f>
        <v>35200</v>
      </c>
      <c r="O19" s="20">
        <f t="shared" ref="O19:O43" si="28">ROUND((M19-N19)/2,)</f>
        <v>17600</v>
      </c>
      <c r="P19" s="20">
        <f t="shared" ref="P19:P43" si="29">ROUND(O19*50%,)</f>
        <v>8800</v>
      </c>
      <c r="Q19" s="20">
        <f t="shared" ref="Q19:Q43" si="30">ROUND(O19*50/100,)</f>
        <v>8800</v>
      </c>
      <c r="R19" s="20">
        <v>0</v>
      </c>
      <c r="S19" s="20">
        <f t="shared" ref="S19:S30" si="31">N19+O19+P19+Q19+R19</f>
        <v>70400</v>
      </c>
      <c r="T19" s="20">
        <v>0</v>
      </c>
      <c r="U19" s="22">
        <v>26</v>
      </c>
      <c r="V19" s="22">
        <v>4</v>
      </c>
      <c r="W19" s="22">
        <v>0</v>
      </c>
      <c r="X19" s="22">
        <f t="shared" ref="X19:X43" si="32">+U19+V19+W19</f>
        <v>30</v>
      </c>
      <c r="Y19" s="20">
        <f>+M19/30*X19</f>
        <v>70400</v>
      </c>
      <c r="Z19" s="20">
        <v>0</v>
      </c>
      <c r="AA19" s="20">
        <f t="shared" ref="AA19:AA43" si="33">+Y19+Z19</f>
        <v>70400</v>
      </c>
      <c r="AB19" s="20">
        <f>+(N19/30)*U19</f>
        <v>30506.666666666664</v>
      </c>
      <c r="AC19" s="42">
        <v>0</v>
      </c>
      <c r="AD19" s="42">
        <v>0</v>
      </c>
      <c r="AE19" s="42">
        <v>0</v>
      </c>
      <c r="AF19" s="42">
        <v>0</v>
      </c>
      <c r="AG19" s="79">
        <f t="shared" ref="AG19:AG43" si="34">IF(AA19&gt;=12000,200,IF(AA19&gt;=9000,150,IF(AA19&gt;=6000,80,IF(AA19&gt;=3000,0,0))))</f>
        <v>200</v>
      </c>
      <c r="AH19" s="122"/>
      <c r="AI19" s="80">
        <v>0</v>
      </c>
      <c r="AJ19" s="24">
        <v>0</v>
      </c>
      <c r="AK19" s="24">
        <v>0</v>
      </c>
      <c r="AL19" s="24">
        <v>0</v>
      </c>
      <c r="AM19" s="23">
        <f t="shared" ref="AM19:AM43" si="35">SUM(AI19:AL19)</f>
        <v>0</v>
      </c>
      <c r="AN19" s="60">
        <f t="shared" ref="AN19:AN43" si="36">+AA19-(AC19+AE19+AG19+AH19+AI19+AJ19+AK19+AL19)</f>
        <v>70200</v>
      </c>
      <c r="AO19" s="99"/>
      <c r="AP19" s="27"/>
      <c r="AQ19" s="60" t="s">
        <v>323</v>
      </c>
      <c r="AR19" s="28"/>
      <c r="AS19" s="28"/>
      <c r="AT19" s="28"/>
      <c r="AU19" s="29"/>
      <c r="AV19" s="30"/>
      <c r="AW19" s="30"/>
      <c r="AX19" s="30"/>
      <c r="AY19" s="30"/>
      <c r="AZ19" s="30"/>
      <c r="BA19" s="30"/>
      <c r="BC19" s="152">
        <f t="shared" ref="BC19:BC29" si="37">AC19+AE19+AG19+AN19</f>
        <v>70400</v>
      </c>
    </row>
    <row r="20" spans="2:56" ht="15.75" x14ac:dyDescent="0.25">
      <c r="B20" s="155">
        <v>79000</v>
      </c>
      <c r="C20" s="155">
        <v>71500</v>
      </c>
      <c r="D20" s="15">
        <v>65000</v>
      </c>
      <c r="E20" s="30" t="s">
        <v>426</v>
      </c>
      <c r="F20" s="104" t="s">
        <v>155</v>
      </c>
      <c r="G20" s="112">
        <v>43556</v>
      </c>
      <c r="H20" s="17"/>
      <c r="I20" s="17"/>
      <c r="J20" s="41">
        <f>J19+1</f>
        <v>2</v>
      </c>
      <c r="K20" s="86" t="s">
        <v>59</v>
      </c>
      <c r="L20" s="18" t="s">
        <v>73</v>
      </c>
      <c r="M20" s="19">
        <v>79000</v>
      </c>
      <c r="N20" s="20">
        <f t="shared" si="27"/>
        <v>39500</v>
      </c>
      <c r="O20" s="20">
        <f t="shared" si="28"/>
        <v>19750</v>
      </c>
      <c r="P20" s="20">
        <f t="shared" si="29"/>
        <v>9875</v>
      </c>
      <c r="Q20" s="20">
        <f t="shared" si="30"/>
        <v>9875</v>
      </c>
      <c r="R20" s="20">
        <v>0</v>
      </c>
      <c r="S20" s="20">
        <f t="shared" si="31"/>
        <v>79000</v>
      </c>
      <c r="T20" s="20">
        <v>0</v>
      </c>
      <c r="U20" s="22">
        <v>26</v>
      </c>
      <c r="V20" s="22">
        <v>4</v>
      </c>
      <c r="W20" s="22">
        <v>0</v>
      </c>
      <c r="X20" s="22">
        <f t="shared" si="32"/>
        <v>30</v>
      </c>
      <c r="Y20" s="20">
        <f t="shared" ref="Y20:Y83" si="38">+M20/30*X20</f>
        <v>79000</v>
      </c>
      <c r="Z20" s="20">
        <v>0</v>
      </c>
      <c r="AA20" s="20">
        <f t="shared" si="33"/>
        <v>79000</v>
      </c>
      <c r="AB20" s="20">
        <f t="shared" ref="AB20:AB83" si="39">+(N20/30)*U20</f>
        <v>34233.333333333336</v>
      </c>
      <c r="AC20" s="42">
        <v>0</v>
      </c>
      <c r="AD20" s="42">
        <v>0</v>
      </c>
      <c r="AE20" s="42">
        <v>0</v>
      </c>
      <c r="AF20" s="42">
        <v>0</v>
      </c>
      <c r="AG20" s="20">
        <f t="shared" si="34"/>
        <v>200</v>
      </c>
      <c r="AH20" s="24">
        <v>0</v>
      </c>
      <c r="AI20" s="80">
        <v>0</v>
      </c>
      <c r="AJ20" s="24">
        <v>0</v>
      </c>
      <c r="AK20" s="24">
        <v>0</v>
      </c>
      <c r="AL20" s="24">
        <v>0</v>
      </c>
      <c r="AM20" s="25">
        <f t="shared" si="35"/>
        <v>0</v>
      </c>
      <c r="AN20" s="26">
        <f t="shared" si="36"/>
        <v>78800</v>
      </c>
      <c r="AO20" s="15"/>
      <c r="AP20" s="27"/>
      <c r="AQ20" s="168" t="s">
        <v>307</v>
      </c>
      <c r="AR20" s="28"/>
      <c r="AS20" s="28"/>
      <c r="AT20" s="28"/>
      <c r="AU20" s="29"/>
      <c r="AV20" s="30"/>
      <c r="AW20" s="30"/>
      <c r="AX20" s="30"/>
      <c r="AY20" s="30"/>
      <c r="AZ20" s="30"/>
      <c r="BA20" s="30"/>
      <c r="BC20" s="152">
        <f t="shared" si="37"/>
        <v>79000</v>
      </c>
    </row>
    <row r="21" spans="2:56" ht="15.75" x14ac:dyDescent="0.25">
      <c r="B21" s="219">
        <v>50000</v>
      </c>
      <c r="C21" s="155">
        <v>44000</v>
      </c>
      <c r="D21" s="15">
        <v>40200</v>
      </c>
      <c r="E21" s="30" t="s">
        <v>426</v>
      </c>
      <c r="F21" s="104" t="s">
        <v>145</v>
      </c>
      <c r="G21" s="112">
        <v>43556</v>
      </c>
      <c r="H21" s="17"/>
      <c r="I21" s="17"/>
      <c r="J21" s="41">
        <f t="shared" ref="J21:J84" si="40">J20+1</f>
        <v>3</v>
      </c>
      <c r="K21" s="86" t="s">
        <v>59</v>
      </c>
      <c r="L21" s="18" t="s">
        <v>75</v>
      </c>
      <c r="M21" s="19">
        <v>50000</v>
      </c>
      <c r="N21" s="20">
        <f t="shared" si="27"/>
        <v>25000</v>
      </c>
      <c r="O21" s="20">
        <f t="shared" si="28"/>
        <v>12500</v>
      </c>
      <c r="P21" s="20">
        <f t="shared" si="29"/>
        <v>6250</v>
      </c>
      <c r="Q21" s="20">
        <f t="shared" si="30"/>
        <v>6250</v>
      </c>
      <c r="R21" s="20">
        <v>0</v>
      </c>
      <c r="S21" s="20">
        <f t="shared" si="31"/>
        <v>50000</v>
      </c>
      <c r="T21" s="20">
        <v>0</v>
      </c>
      <c r="U21" s="22">
        <v>26</v>
      </c>
      <c r="V21" s="22">
        <v>4</v>
      </c>
      <c r="W21" s="22">
        <v>0</v>
      </c>
      <c r="X21" s="22">
        <f t="shared" si="32"/>
        <v>30</v>
      </c>
      <c r="Y21" s="20">
        <f t="shared" si="38"/>
        <v>50000</v>
      </c>
      <c r="Z21" s="20">
        <v>0</v>
      </c>
      <c r="AA21" s="20">
        <f t="shared" si="33"/>
        <v>50000</v>
      </c>
      <c r="AB21" s="20">
        <f t="shared" si="39"/>
        <v>21666.666666666668</v>
      </c>
      <c r="AC21" s="42">
        <v>0</v>
      </c>
      <c r="AD21" s="42">
        <v>0</v>
      </c>
      <c r="AE21" s="42">
        <v>0</v>
      </c>
      <c r="AF21" s="42">
        <v>0</v>
      </c>
      <c r="AG21" s="20">
        <f t="shared" si="34"/>
        <v>200</v>
      </c>
      <c r="AH21" s="24"/>
      <c r="AI21" s="80">
        <v>0</v>
      </c>
      <c r="AJ21" s="24">
        <v>0</v>
      </c>
      <c r="AK21" s="24">
        <v>0</v>
      </c>
      <c r="AL21" s="24">
        <v>0</v>
      </c>
      <c r="AM21" s="25">
        <f t="shared" si="35"/>
        <v>0</v>
      </c>
      <c r="AN21" s="26">
        <f t="shared" si="36"/>
        <v>49800</v>
      </c>
      <c r="AO21" s="15"/>
      <c r="AP21" s="27"/>
      <c r="AQ21" s="168" t="s">
        <v>318</v>
      </c>
      <c r="AR21" s="28"/>
      <c r="AS21" s="28"/>
      <c r="AT21" s="28"/>
      <c r="AU21" s="29"/>
      <c r="AV21" s="49" t="e">
        <f>+#REF!-AN21</f>
        <v>#REF!</v>
      </c>
      <c r="AW21" s="30"/>
      <c r="AX21" s="30"/>
      <c r="AY21" s="30"/>
      <c r="AZ21" s="30"/>
      <c r="BA21" s="30"/>
      <c r="BC21" s="152">
        <f t="shared" si="37"/>
        <v>50000</v>
      </c>
    </row>
    <row r="22" spans="2:56" ht="15.75" x14ac:dyDescent="0.25">
      <c r="B22" s="197"/>
      <c r="C22" s="103"/>
      <c r="D22" s="15">
        <v>150000</v>
      </c>
      <c r="E22" s="48" t="s">
        <v>212</v>
      </c>
      <c r="F22" s="113" t="s">
        <v>210</v>
      </c>
      <c r="G22" s="112">
        <v>43556</v>
      </c>
      <c r="H22" s="17"/>
      <c r="I22" s="17"/>
      <c r="J22" s="41">
        <f t="shared" si="40"/>
        <v>4</v>
      </c>
      <c r="K22" s="86" t="s">
        <v>59</v>
      </c>
      <c r="L22" s="18" t="s">
        <v>76</v>
      </c>
      <c r="M22" s="19">
        <v>150200</v>
      </c>
      <c r="N22" s="20">
        <f t="shared" si="27"/>
        <v>75100</v>
      </c>
      <c r="O22" s="20">
        <f t="shared" si="28"/>
        <v>37550</v>
      </c>
      <c r="P22" s="20">
        <f t="shared" si="29"/>
        <v>18775</v>
      </c>
      <c r="Q22" s="20">
        <f t="shared" si="30"/>
        <v>18775</v>
      </c>
      <c r="R22" s="20">
        <v>0</v>
      </c>
      <c r="S22" s="20">
        <f t="shared" si="31"/>
        <v>150200</v>
      </c>
      <c r="T22" s="20">
        <v>0</v>
      </c>
      <c r="U22" s="22">
        <v>26</v>
      </c>
      <c r="V22" s="22">
        <v>4</v>
      </c>
      <c r="W22" s="22">
        <v>0</v>
      </c>
      <c r="X22" s="22">
        <f t="shared" si="32"/>
        <v>30</v>
      </c>
      <c r="Y22" s="20">
        <f t="shared" si="38"/>
        <v>150200</v>
      </c>
      <c r="Z22" s="20">
        <v>0</v>
      </c>
      <c r="AA22" s="20">
        <f t="shared" si="33"/>
        <v>150200</v>
      </c>
      <c r="AB22" s="20">
        <f t="shared" si="39"/>
        <v>65086.666666666672</v>
      </c>
      <c r="AC22" s="42">
        <v>0</v>
      </c>
      <c r="AD22" s="42">
        <v>0</v>
      </c>
      <c r="AE22" s="42">
        <v>0</v>
      </c>
      <c r="AF22" s="98">
        <v>0</v>
      </c>
      <c r="AG22" s="20">
        <f t="shared" si="34"/>
        <v>200</v>
      </c>
      <c r="AH22" s="24">
        <v>12000</v>
      </c>
      <c r="AI22" s="80">
        <v>0</v>
      </c>
      <c r="AJ22" s="24">
        <v>0</v>
      </c>
      <c r="AK22" s="24">
        <v>0</v>
      </c>
      <c r="AL22" s="24">
        <v>0</v>
      </c>
      <c r="AM22" s="23">
        <f t="shared" si="35"/>
        <v>0</v>
      </c>
      <c r="AN22" s="60">
        <f t="shared" si="36"/>
        <v>138000</v>
      </c>
      <c r="AO22" s="99"/>
      <c r="AP22" s="27"/>
      <c r="AQ22" s="166" t="s">
        <v>290</v>
      </c>
      <c r="AR22" s="28"/>
      <c r="AS22" s="28"/>
      <c r="AT22" s="28"/>
      <c r="AU22" s="29"/>
      <c r="AV22" s="49" t="e">
        <f>+#REF!-AN22</f>
        <v>#REF!</v>
      </c>
      <c r="AW22" s="30"/>
      <c r="AX22" s="30"/>
      <c r="AY22" s="30"/>
      <c r="AZ22" s="30"/>
      <c r="BA22" s="30"/>
      <c r="BB22" s="14">
        <v>10000</v>
      </c>
      <c r="BC22" s="152">
        <f t="shared" si="37"/>
        <v>138200</v>
      </c>
    </row>
    <row r="23" spans="2:56" ht="15.75" x14ac:dyDescent="0.25">
      <c r="B23" s="196"/>
      <c r="C23" s="103">
        <v>90000</v>
      </c>
      <c r="D23" s="120">
        <v>90000</v>
      </c>
      <c r="E23" s="30" t="s">
        <v>426</v>
      </c>
      <c r="F23" s="104" t="s">
        <v>242</v>
      </c>
      <c r="G23" s="112">
        <v>43556</v>
      </c>
      <c r="H23" s="17"/>
      <c r="I23" s="17"/>
      <c r="J23" s="41">
        <f t="shared" si="40"/>
        <v>5</v>
      </c>
      <c r="K23" s="86" t="s">
        <v>59</v>
      </c>
      <c r="L23" s="18" t="s">
        <v>77</v>
      </c>
      <c r="M23" s="19">
        <v>95200</v>
      </c>
      <c r="N23" s="20">
        <f t="shared" si="27"/>
        <v>47600</v>
      </c>
      <c r="O23" s="20">
        <f t="shared" si="28"/>
        <v>23800</v>
      </c>
      <c r="P23" s="20">
        <f t="shared" si="29"/>
        <v>11900</v>
      </c>
      <c r="Q23" s="20">
        <f t="shared" si="30"/>
        <v>11900</v>
      </c>
      <c r="R23" s="20">
        <v>0</v>
      </c>
      <c r="S23" s="20">
        <f t="shared" si="31"/>
        <v>95200</v>
      </c>
      <c r="T23" s="20">
        <v>0</v>
      </c>
      <c r="U23" s="22">
        <v>26</v>
      </c>
      <c r="V23" s="22">
        <v>4</v>
      </c>
      <c r="W23" s="22">
        <v>0</v>
      </c>
      <c r="X23" s="22">
        <f t="shared" si="32"/>
        <v>30</v>
      </c>
      <c r="Y23" s="20">
        <f t="shared" si="38"/>
        <v>95200</v>
      </c>
      <c r="Z23" s="20">
        <v>0</v>
      </c>
      <c r="AA23" s="20">
        <f t="shared" si="33"/>
        <v>95200</v>
      </c>
      <c r="AB23" s="20">
        <f t="shared" si="39"/>
        <v>41253.333333333336</v>
      </c>
      <c r="AC23" s="42">
        <v>0</v>
      </c>
      <c r="AD23" s="42">
        <v>0</v>
      </c>
      <c r="AE23" s="42">
        <v>0</v>
      </c>
      <c r="AF23" s="42">
        <v>0</v>
      </c>
      <c r="AG23" s="20">
        <f t="shared" si="34"/>
        <v>200</v>
      </c>
      <c r="AH23" s="24"/>
      <c r="AI23" s="80">
        <v>0</v>
      </c>
      <c r="AJ23" s="24">
        <v>0</v>
      </c>
      <c r="AK23" s="24">
        <v>0</v>
      </c>
      <c r="AL23" s="24">
        <v>0</v>
      </c>
      <c r="AM23" s="25">
        <f t="shared" si="35"/>
        <v>0</v>
      </c>
      <c r="AN23" s="26">
        <f t="shared" si="36"/>
        <v>95000</v>
      </c>
      <c r="AO23" s="15"/>
      <c r="AP23" s="27"/>
      <c r="AQ23" s="60" t="s">
        <v>317</v>
      </c>
      <c r="AR23" s="28"/>
      <c r="AS23" s="28"/>
      <c r="AT23" s="28"/>
      <c r="AU23" s="29"/>
      <c r="AV23" s="30"/>
      <c r="AW23" s="30"/>
      <c r="AX23" s="30"/>
      <c r="AY23" s="30"/>
      <c r="AZ23" s="30"/>
      <c r="BA23" s="30"/>
      <c r="BC23" s="152">
        <f t="shared" si="37"/>
        <v>95200</v>
      </c>
    </row>
    <row r="24" spans="2:56" ht="15.75" x14ac:dyDescent="0.25">
      <c r="B24" s="155">
        <v>79000</v>
      </c>
      <c r="C24" s="155">
        <v>65000</v>
      </c>
      <c r="D24" s="15">
        <v>54000</v>
      </c>
      <c r="E24" s="30" t="s">
        <v>426</v>
      </c>
      <c r="F24" s="104" t="s">
        <v>145</v>
      </c>
      <c r="G24" s="112">
        <v>43556</v>
      </c>
      <c r="H24" s="17"/>
      <c r="I24" s="17"/>
      <c r="J24" s="41">
        <f t="shared" si="40"/>
        <v>6</v>
      </c>
      <c r="K24" s="86" t="s">
        <v>59</v>
      </c>
      <c r="L24" s="18" t="s">
        <v>78</v>
      </c>
      <c r="M24" s="19">
        <v>79000</v>
      </c>
      <c r="N24" s="20">
        <f t="shared" si="27"/>
        <v>39500</v>
      </c>
      <c r="O24" s="20">
        <f t="shared" si="28"/>
        <v>19750</v>
      </c>
      <c r="P24" s="20">
        <f t="shared" si="29"/>
        <v>9875</v>
      </c>
      <c r="Q24" s="20">
        <f t="shared" si="30"/>
        <v>9875</v>
      </c>
      <c r="R24" s="20">
        <v>0</v>
      </c>
      <c r="S24" s="20">
        <f t="shared" si="31"/>
        <v>79000</v>
      </c>
      <c r="T24" s="20">
        <v>0</v>
      </c>
      <c r="U24" s="22">
        <v>26</v>
      </c>
      <c r="V24" s="22">
        <v>4</v>
      </c>
      <c r="W24" s="22">
        <v>0</v>
      </c>
      <c r="X24" s="22">
        <f t="shared" si="32"/>
        <v>30</v>
      </c>
      <c r="Y24" s="20">
        <f t="shared" si="38"/>
        <v>79000</v>
      </c>
      <c r="Z24" s="20">
        <v>15000</v>
      </c>
      <c r="AA24" s="20">
        <f t="shared" si="33"/>
        <v>94000</v>
      </c>
      <c r="AB24" s="20">
        <f t="shared" si="39"/>
        <v>34233.333333333336</v>
      </c>
      <c r="AC24" s="42">
        <v>0</v>
      </c>
      <c r="AD24" s="42">
        <v>0</v>
      </c>
      <c r="AE24" s="42">
        <v>0</v>
      </c>
      <c r="AF24" s="42">
        <v>0</v>
      </c>
      <c r="AG24" s="20">
        <f t="shared" si="34"/>
        <v>200</v>
      </c>
      <c r="AH24" s="24"/>
      <c r="AI24" s="80">
        <v>0</v>
      </c>
      <c r="AJ24" s="24">
        <v>0</v>
      </c>
      <c r="AK24" s="24">
        <v>0</v>
      </c>
      <c r="AL24" s="24">
        <v>0</v>
      </c>
      <c r="AM24" s="25">
        <f t="shared" si="35"/>
        <v>0</v>
      </c>
      <c r="AN24" s="26">
        <f t="shared" si="36"/>
        <v>93800</v>
      </c>
      <c r="AO24" s="15"/>
      <c r="AP24" s="27"/>
      <c r="AQ24" s="60" t="s">
        <v>296</v>
      </c>
      <c r="AR24" s="28"/>
      <c r="AS24" s="28"/>
      <c r="AT24" s="28"/>
      <c r="AU24" s="29"/>
      <c r="AV24" s="30"/>
      <c r="AW24" s="30"/>
      <c r="AX24" s="30"/>
      <c r="AY24" s="30"/>
      <c r="AZ24" s="30"/>
      <c r="BA24" s="30"/>
      <c r="BC24" s="152">
        <f t="shared" si="37"/>
        <v>94000</v>
      </c>
    </row>
    <row r="25" spans="2:56" ht="15.75" x14ac:dyDescent="0.25">
      <c r="B25" s="155">
        <v>75000</v>
      </c>
      <c r="C25" s="155">
        <v>68000</v>
      </c>
      <c r="D25" s="120">
        <v>65000</v>
      </c>
      <c r="E25" s="30" t="s">
        <v>426</v>
      </c>
      <c r="F25" s="104" t="s">
        <v>162</v>
      </c>
      <c r="G25" s="112">
        <v>43556</v>
      </c>
      <c r="H25" s="15"/>
      <c r="I25" s="15"/>
      <c r="J25" s="41">
        <f t="shared" si="40"/>
        <v>7</v>
      </c>
      <c r="K25" s="86" t="s">
        <v>59</v>
      </c>
      <c r="L25" s="18" t="s">
        <v>79</v>
      </c>
      <c r="M25" s="19">
        <v>75200</v>
      </c>
      <c r="N25" s="20">
        <f t="shared" si="27"/>
        <v>37600</v>
      </c>
      <c r="O25" s="20">
        <f t="shared" si="28"/>
        <v>18800</v>
      </c>
      <c r="P25" s="20">
        <f t="shared" si="29"/>
        <v>9400</v>
      </c>
      <c r="Q25" s="20">
        <f t="shared" si="30"/>
        <v>9400</v>
      </c>
      <c r="R25" s="20">
        <v>0</v>
      </c>
      <c r="S25" s="20">
        <f t="shared" si="31"/>
        <v>75200</v>
      </c>
      <c r="T25" s="20">
        <v>0</v>
      </c>
      <c r="U25" s="22">
        <v>26</v>
      </c>
      <c r="V25" s="22">
        <v>4</v>
      </c>
      <c r="W25" s="22">
        <v>0</v>
      </c>
      <c r="X25" s="22">
        <f t="shared" si="32"/>
        <v>30</v>
      </c>
      <c r="Y25" s="20">
        <f t="shared" si="38"/>
        <v>75200</v>
      </c>
      <c r="Z25" s="20">
        <v>0</v>
      </c>
      <c r="AA25" s="20">
        <f t="shared" si="33"/>
        <v>75200</v>
      </c>
      <c r="AB25" s="20">
        <f t="shared" si="39"/>
        <v>32586.666666666664</v>
      </c>
      <c r="AC25" s="42">
        <v>0</v>
      </c>
      <c r="AD25" s="42">
        <v>0</v>
      </c>
      <c r="AE25" s="42">
        <v>0</v>
      </c>
      <c r="AF25" s="42">
        <v>0</v>
      </c>
      <c r="AG25" s="20">
        <f t="shared" si="34"/>
        <v>200</v>
      </c>
      <c r="AH25" s="24"/>
      <c r="AI25" s="80">
        <v>0</v>
      </c>
      <c r="AJ25" s="24">
        <v>0</v>
      </c>
      <c r="AK25" s="24">
        <v>0</v>
      </c>
      <c r="AL25" s="24">
        <v>0</v>
      </c>
      <c r="AM25" s="25">
        <f t="shared" si="35"/>
        <v>0</v>
      </c>
      <c r="AN25" s="26">
        <f t="shared" si="36"/>
        <v>75000</v>
      </c>
      <c r="AO25" s="15"/>
      <c r="AP25" s="27"/>
      <c r="AQ25" s="60" t="s">
        <v>297</v>
      </c>
      <c r="AR25" s="15"/>
      <c r="AS25" s="15"/>
      <c r="AT25" s="15"/>
      <c r="AU25" s="29"/>
      <c r="AV25" s="30"/>
      <c r="AW25" s="30"/>
      <c r="AX25" s="30"/>
      <c r="AY25" s="30"/>
      <c r="AZ25" s="30"/>
      <c r="BA25" s="30"/>
      <c r="BC25" s="152">
        <f t="shared" si="37"/>
        <v>75200</v>
      </c>
    </row>
    <row r="26" spans="2:56" ht="15.75" x14ac:dyDescent="0.25">
      <c r="B26" s="196"/>
      <c r="C26" s="103"/>
      <c r="D26" s="15">
        <v>100000</v>
      </c>
      <c r="E26" s="30" t="s">
        <v>74</v>
      </c>
      <c r="F26" s="104" t="s">
        <v>151</v>
      </c>
      <c r="G26" s="112">
        <v>43617</v>
      </c>
      <c r="H26" s="15"/>
      <c r="I26" s="15"/>
      <c r="J26" s="41">
        <f t="shared" si="40"/>
        <v>8</v>
      </c>
      <c r="K26" s="86" t="s">
        <v>61</v>
      </c>
      <c r="L26" s="18" t="s">
        <v>80</v>
      </c>
      <c r="M26" s="19">
        <v>100200</v>
      </c>
      <c r="N26" s="20">
        <f t="shared" si="27"/>
        <v>50100</v>
      </c>
      <c r="O26" s="20">
        <f t="shared" si="28"/>
        <v>25050</v>
      </c>
      <c r="P26" s="20">
        <f t="shared" si="29"/>
        <v>12525</v>
      </c>
      <c r="Q26" s="20">
        <f t="shared" si="30"/>
        <v>12525</v>
      </c>
      <c r="R26" s="20">
        <v>0</v>
      </c>
      <c r="S26" s="20">
        <f t="shared" si="31"/>
        <v>100200</v>
      </c>
      <c r="T26" s="20">
        <v>0</v>
      </c>
      <c r="U26" s="22">
        <v>26</v>
      </c>
      <c r="V26" s="22">
        <v>4</v>
      </c>
      <c r="W26" s="22">
        <v>0</v>
      </c>
      <c r="X26" s="22">
        <f t="shared" si="32"/>
        <v>30</v>
      </c>
      <c r="Y26" s="20">
        <f t="shared" si="38"/>
        <v>100200</v>
      </c>
      <c r="Z26" s="20">
        <v>0</v>
      </c>
      <c r="AA26" s="20">
        <f t="shared" si="33"/>
        <v>100200</v>
      </c>
      <c r="AB26" s="20">
        <f t="shared" si="39"/>
        <v>43420</v>
      </c>
      <c r="AC26" s="42">
        <v>0</v>
      </c>
      <c r="AD26" s="42">
        <v>0</v>
      </c>
      <c r="AE26" s="42">
        <v>0</v>
      </c>
      <c r="AF26" s="42">
        <v>0</v>
      </c>
      <c r="AG26" s="20">
        <f t="shared" si="34"/>
        <v>200</v>
      </c>
      <c r="AH26" s="24">
        <v>0</v>
      </c>
      <c r="AI26" s="80">
        <v>0</v>
      </c>
      <c r="AJ26" s="24">
        <v>0</v>
      </c>
      <c r="AK26" s="24">
        <v>0</v>
      </c>
      <c r="AL26" s="24">
        <v>0</v>
      </c>
      <c r="AM26" s="25">
        <f t="shared" si="35"/>
        <v>0</v>
      </c>
      <c r="AN26" s="26">
        <f t="shared" si="36"/>
        <v>100000</v>
      </c>
      <c r="AO26" s="15"/>
      <c r="AP26" s="27"/>
      <c r="AQ26" s="166" t="s">
        <v>291</v>
      </c>
      <c r="AR26" s="15"/>
      <c r="AS26" s="15"/>
      <c r="AT26" s="15"/>
      <c r="AU26" s="29"/>
      <c r="AV26" s="30"/>
      <c r="AW26" s="30"/>
      <c r="AX26" s="30"/>
      <c r="AY26" s="30"/>
      <c r="AZ26" s="30"/>
      <c r="BA26" s="30"/>
      <c r="BB26" s="14">
        <v>0</v>
      </c>
      <c r="BC26" s="152">
        <f t="shared" si="37"/>
        <v>100200</v>
      </c>
    </row>
    <row r="27" spans="2:56" ht="15.75" x14ac:dyDescent="0.25">
      <c r="B27" s="155">
        <v>59000</v>
      </c>
      <c r="C27" s="198">
        <f>51425+3000</f>
        <v>54425</v>
      </c>
      <c r="D27" s="120">
        <v>46750</v>
      </c>
      <c r="E27" s="16" t="s">
        <v>438</v>
      </c>
      <c r="F27" s="104" t="s">
        <v>147</v>
      </c>
      <c r="G27" s="21" t="s">
        <v>55</v>
      </c>
      <c r="H27" s="15"/>
      <c r="I27" s="17"/>
      <c r="J27" s="41">
        <f t="shared" si="40"/>
        <v>9</v>
      </c>
      <c r="K27" s="86" t="s">
        <v>61</v>
      </c>
      <c r="L27" s="18" t="s">
        <v>81</v>
      </c>
      <c r="M27" s="19">
        <v>59000</v>
      </c>
      <c r="N27" s="20">
        <f t="shared" si="27"/>
        <v>29500</v>
      </c>
      <c r="O27" s="20">
        <f t="shared" si="28"/>
        <v>14750</v>
      </c>
      <c r="P27" s="20">
        <f t="shared" si="29"/>
        <v>7375</v>
      </c>
      <c r="Q27" s="20">
        <f t="shared" si="30"/>
        <v>7375</v>
      </c>
      <c r="R27" s="20">
        <v>0</v>
      </c>
      <c r="S27" s="20">
        <f t="shared" si="31"/>
        <v>59000</v>
      </c>
      <c r="T27" s="20">
        <v>0</v>
      </c>
      <c r="U27" s="22">
        <v>26</v>
      </c>
      <c r="V27" s="22">
        <v>4</v>
      </c>
      <c r="W27" s="22">
        <v>0</v>
      </c>
      <c r="X27" s="22">
        <f t="shared" si="32"/>
        <v>30</v>
      </c>
      <c r="Y27" s="20">
        <f t="shared" si="38"/>
        <v>59000</v>
      </c>
      <c r="Z27" s="20">
        <v>0</v>
      </c>
      <c r="AA27" s="20">
        <f t="shared" si="33"/>
        <v>59000</v>
      </c>
      <c r="AB27" s="20">
        <f t="shared" si="39"/>
        <v>25566.666666666668</v>
      </c>
      <c r="AC27" s="42">
        <v>0</v>
      </c>
      <c r="AD27" s="42">
        <v>0</v>
      </c>
      <c r="AE27" s="42">
        <v>0</v>
      </c>
      <c r="AF27" s="42">
        <v>0</v>
      </c>
      <c r="AG27" s="20">
        <f t="shared" si="34"/>
        <v>200</v>
      </c>
      <c r="AH27" s="24"/>
      <c r="AI27" s="80">
        <v>0</v>
      </c>
      <c r="AJ27" s="24">
        <v>0</v>
      </c>
      <c r="AK27" s="24">
        <v>0</v>
      </c>
      <c r="AL27" s="24">
        <v>0</v>
      </c>
      <c r="AM27" s="25">
        <f t="shared" si="35"/>
        <v>0</v>
      </c>
      <c r="AN27" s="82">
        <f t="shared" si="36"/>
        <v>58800</v>
      </c>
      <c r="AO27" s="15"/>
      <c r="AP27" s="27"/>
      <c r="AQ27" s="60" t="s">
        <v>298</v>
      </c>
      <c r="AR27" s="28"/>
      <c r="AS27" s="28"/>
      <c r="AT27" s="28"/>
      <c r="AU27" s="29"/>
      <c r="AV27" s="30"/>
      <c r="AW27" s="30"/>
      <c r="AX27" s="30"/>
      <c r="AY27" s="30"/>
      <c r="AZ27" s="30"/>
      <c r="BA27" s="30"/>
      <c r="BC27" s="152">
        <f t="shared" si="37"/>
        <v>59000</v>
      </c>
    </row>
    <row r="28" spans="2:56" ht="15.75" x14ac:dyDescent="0.25">
      <c r="B28" s="155">
        <v>23500</v>
      </c>
      <c r="C28" s="198">
        <v>20500</v>
      </c>
      <c r="D28" s="15">
        <v>15000</v>
      </c>
      <c r="E28" s="16" t="s">
        <v>438</v>
      </c>
      <c r="F28" s="104" t="s">
        <v>150</v>
      </c>
      <c r="G28" s="21" t="s">
        <v>55</v>
      </c>
      <c r="H28" s="15"/>
      <c r="I28" s="17"/>
      <c r="J28" s="41">
        <f t="shared" si="40"/>
        <v>10</v>
      </c>
      <c r="K28" s="86" t="s">
        <v>61</v>
      </c>
      <c r="L28" s="18" t="s">
        <v>82</v>
      </c>
      <c r="M28" s="19">
        <v>48500</v>
      </c>
      <c r="N28" s="20">
        <f t="shared" si="27"/>
        <v>24250</v>
      </c>
      <c r="O28" s="20">
        <f t="shared" si="28"/>
        <v>12125</v>
      </c>
      <c r="P28" s="20">
        <f t="shared" si="29"/>
        <v>6063</v>
      </c>
      <c r="Q28" s="20">
        <f t="shared" si="30"/>
        <v>6063</v>
      </c>
      <c r="R28" s="20">
        <v>0</v>
      </c>
      <c r="S28" s="20">
        <f t="shared" si="31"/>
        <v>48501</v>
      </c>
      <c r="T28" s="20">
        <v>0</v>
      </c>
      <c r="U28" s="22">
        <v>26</v>
      </c>
      <c r="V28" s="22">
        <v>4</v>
      </c>
      <c r="W28" s="22">
        <v>0</v>
      </c>
      <c r="X28" s="22">
        <f t="shared" si="32"/>
        <v>30</v>
      </c>
      <c r="Y28" s="20">
        <f t="shared" si="38"/>
        <v>48500</v>
      </c>
      <c r="Z28" s="20">
        <v>0</v>
      </c>
      <c r="AA28" s="20">
        <f t="shared" si="33"/>
        <v>48500</v>
      </c>
      <c r="AB28" s="20">
        <f t="shared" si="39"/>
        <v>21016.666666666668</v>
      </c>
      <c r="AC28" s="42">
        <v>0</v>
      </c>
      <c r="AD28" s="42">
        <v>0</v>
      </c>
      <c r="AE28" s="42">
        <v>0</v>
      </c>
      <c r="AF28" s="42">
        <v>0</v>
      </c>
      <c r="AG28" s="20">
        <f t="shared" si="34"/>
        <v>200</v>
      </c>
      <c r="AH28" s="24"/>
      <c r="AI28" s="80">
        <v>0</v>
      </c>
      <c r="AJ28" s="24">
        <v>0</v>
      </c>
      <c r="AK28" s="24">
        <v>0</v>
      </c>
      <c r="AL28" s="24">
        <v>0</v>
      </c>
      <c r="AM28" s="25">
        <f t="shared" si="35"/>
        <v>0</v>
      </c>
      <c r="AN28" s="26">
        <f t="shared" si="36"/>
        <v>48300</v>
      </c>
      <c r="AO28" s="15"/>
      <c r="AP28" s="27"/>
      <c r="AQ28" s="168" t="s">
        <v>303</v>
      </c>
      <c r="AR28" s="28"/>
      <c r="AS28" s="28"/>
      <c r="AT28" s="28"/>
      <c r="AU28" s="29"/>
      <c r="AV28" s="49" t="e">
        <f>+#REF!-AN28</f>
        <v>#REF!</v>
      </c>
      <c r="AW28" s="30"/>
      <c r="AX28" s="30"/>
      <c r="AY28" s="30"/>
      <c r="AZ28" s="30"/>
      <c r="BA28" s="30"/>
      <c r="BC28" s="152">
        <f t="shared" si="37"/>
        <v>48500</v>
      </c>
    </row>
    <row r="29" spans="2:56" ht="15.75" x14ac:dyDescent="0.25">
      <c r="B29" s="199">
        <v>53000</v>
      </c>
      <c r="C29" s="157">
        <v>50500</v>
      </c>
      <c r="D29" s="78">
        <v>48000</v>
      </c>
      <c r="E29" s="16" t="s">
        <v>54</v>
      </c>
      <c r="F29" s="104" t="s">
        <v>147</v>
      </c>
      <c r="G29" s="21" t="s">
        <v>55</v>
      </c>
      <c r="H29" s="15"/>
      <c r="I29" s="17"/>
      <c r="J29" s="41">
        <f t="shared" si="40"/>
        <v>11</v>
      </c>
      <c r="K29" s="86" t="s">
        <v>61</v>
      </c>
      <c r="L29" s="43" t="s">
        <v>83</v>
      </c>
      <c r="M29" s="19">
        <v>53000</v>
      </c>
      <c r="N29" s="20">
        <f t="shared" si="27"/>
        <v>26500</v>
      </c>
      <c r="O29" s="20">
        <f t="shared" si="28"/>
        <v>13250</v>
      </c>
      <c r="P29" s="20">
        <f t="shared" si="29"/>
        <v>6625</v>
      </c>
      <c r="Q29" s="20">
        <f t="shared" si="30"/>
        <v>6625</v>
      </c>
      <c r="R29" s="20"/>
      <c r="S29" s="20">
        <f t="shared" si="31"/>
        <v>53000</v>
      </c>
      <c r="T29" s="20"/>
      <c r="U29" s="22">
        <v>26</v>
      </c>
      <c r="V29" s="22">
        <v>4</v>
      </c>
      <c r="W29" s="22">
        <v>0</v>
      </c>
      <c r="X29" s="22">
        <f t="shared" si="32"/>
        <v>30</v>
      </c>
      <c r="Y29" s="20">
        <f t="shared" si="38"/>
        <v>53000</v>
      </c>
      <c r="Z29" s="20">
        <v>0</v>
      </c>
      <c r="AA29" s="20">
        <f t="shared" si="33"/>
        <v>53000</v>
      </c>
      <c r="AB29" s="20">
        <f t="shared" si="39"/>
        <v>22966.666666666668</v>
      </c>
      <c r="AC29" s="42">
        <v>0</v>
      </c>
      <c r="AD29" s="42">
        <v>0</v>
      </c>
      <c r="AE29" s="42">
        <v>0</v>
      </c>
      <c r="AF29" s="42">
        <v>0</v>
      </c>
      <c r="AG29" s="20">
        <f t="shared" si="34"/>
        <v>200</v>
      </c>
      <c r="AH29" s="24"/>
      <c r="AI29" s="80">
        <v>0</v>
      </c>
      <c r="AJ29" s="24">
        <v>0</v>
      </c>
      <c r="AK29" s="24">
        <v>0</v>
      </c>
      <c r="AL29" s="24">
        <v>0</v>
      </c>
      <c r="AM29" s="23">
        <f t="shared" si="35"/>
        <v>0</v>
      </c>
      <c r="AN29" s="60">
        <f t="shared" si="36"/>
        <v>52800</v>
      </c>
      <c r="AO29" s="15"/>
      <c r="AP29" s="27"/>
      <c r="AQ29" s="60" t="s">
        <v>326</v>
      </c>
      <c r="AR29" s="28"/>
      <c r="AS29" s="28"/>
      <c r="AT29" s="28"/>
      <c r="AU29" s="29"/>
      <c r="AV29" s="30"/>
      <c r="AW29" s="30"/>
      <c r="AX29" s="30"/>
      <c r="AY29" s="30"/>
      <c r="AZ29" s="30"/>
      <c r="BA29" s="30"/>
      <c r="BC29" s="152">
        <f t="shared" si="37"/>
        <v>53000</v>
      </c>
      <c r="BD29" s="31"/>
    </row>
    <row r="30" spans="2:56" ht="15.75" x14ac:dyDescent="0.25">
      <c r="B30" s="196"/>
      <c r="C30" s="103"/>
      <c r="D30" s="15">
        <v>120000</v>
      </c>
      <c r="E30" s="16" t="s">
        <v>182</v>
      </c>
      <c r="F30" s="104" t="s">
        <v>155</v>
      </c>
      <c r="G30" s="112">
        <v>43709</v>
      </c>
      <c r="H30" s="30"/>
      <c r="I30" s="30"/>
      <c r="J30" s="41">
        <f t="shared" si="40"/>
        <v>12</v>
      </c>
      <c r="K30" s="86" t="s">
        <v>61</v>
      </c>
      <c r="L30" s="30" t="s">
        <v>84</v>
      </c>
      <c r="M30" s="19">
        <v>100200</v>
      </c>
      <c r="N30" s="20">
        <f t="shared" si="27"/>
        <v>50100</v>
      </c>
      <c r="O30" s="20">
        <f t="shared" si="28"/>
        <v>25050</v>
      </c>
      <c r="P30" s="20">
        <f t="shared" si="29"/>
        <v>12525</v>
      </c>
      <c r="Q30" s="20">
        <f t="shared" si="30"/>
        <v>12525</v>
      </c>
      <c r="R30" s="20">
        <v>0</v>
      </c>
      <c r="S30" s="20">
        <f t="shared" si="31"/>
        <v>100200</v>
      </c>
      <c r="T30" s="20">
        <v>0</v>
      </c>
      <c r="U30" s="22">
        <v>26</v>
      </c>
      <c r="V30" s="22">
        <v>4</v>
      </c>
      <c r="W30" s="22">
        <v>0</v>
      </c>
      <c r="X30" s="22">
        <f t="shared" si="32"/>
        <v>30</v>
      </c>
      <c r="Y30" s="20">
        <f t="shared" si="38"/>
        <v>100200</v>
      </c>
      <c r="Z30" s="20">
        <v>0</v>
      </c>
      <c r="AA30" s="20">
        <f t="shared" si="33"/>
        <v>100200</v>
      </c>
      <c r="AB30" s="20">
        <f t="shared" si="39"/>
        <v>43420</v>
      </c>
      <c r="AC30" s="42">
        <v>0</v>
      </c>
      <c r="AD30" s="42">
        <v>0</v>
      </c>
      <c r="AE30" s="42">
        <v>0</v>
      </c>
      <c r="AF30" s="42">
        <v>0</v>
      </c>
      <c r="AG30" s="20">
        <f t="shared" si="34"/>
        <v>200</v>
      </c>
      <c r="AH30" s="24">
        <v>0</v>
      </c>
      <c r="AI30" s="80">
        <v>0</v>
      </c>
      <c r="AJ30" s="24">
        <v>0</v>
      </c>
      <c r="AK30" s="24">
        <v>0</v>
      </c>
      <c r="AL30" s="24">
        <v>0</v>
      </c>
      <c r="AM30" s="25">
        <f t="shared" si="35"/>
        <v>0</v>
      </c>
      <c r="AN30" s="26">
        <f t="shared" si="36"/>
        <v>100000</v>
      </c>
      <c r="AO30" s="15"/>
      <c r="AP30" s="27"/>
      <c r="AQ30" s="168" t="s">
        <v>315</v>
      </c>
      <c r="AR30" s="28"/>
      <c r="AS30" s="28"/>
      <c r="AT30" s="28"/>
      <c r="AU30" s="29"/>
      <c r="AV30" s="30"/>
      <c r="AW30" s="30"/>
      <c r="AX30" s="30"/>
      <c r="AY30" s="30"/>
      <c r="AZ30" s="30"/>
      <c r="BA30" s="30"/>
      <c r="BB30" s="14">
        <v>0</v>
      </c>
      <c r="BC30" s="152">
        <f>AC30+AE30+AG30+AN30+AH30</f>
        <v>100200</v>
      </c>
    </row>
    <row r="31" spans="2:56" s="50" customFormat="1" ht="15.75" x14ac:dyDescent="0.25">
      <c r="B31" s="196"/>
      <c r="C31" s="103"/>
      <c r="D31" s="78">
        <v>85200</v>
      </c>
      <c r="E31" s="16" t="s">
        <v>135</v>
      </c>
      <c r="F31" s="104" t="s">
        <v>153</v>
      </c>
      <c r="G31" s="112">
        <v>43862</v>
      </c>
      <c r="H31" s="51"/>
      <c r="I31" s="51"/>
      <c r="J31" s="41">
        <f t="shared" si="40"/>
        <v>13</v>
      </c>
      <c r="K31" s="86" t="s">
        <v>85</v>
      </c>
      <c r="L31" s="221" t="s">
        <v>86</v>
      </c>
      <c r="M31" s="33">
        <v>100200</v>
      </c>
      <c r="N31" s="20">
        <f t="shared" si="27"/>
        <v>50100</v>
      </c>
      <c r="O31" s="20">
        <f t="shared" si="28"/>
        <v>25050</v>
      </c>
      <c r="P31" s="20">
        <f t="shared" si="29"/>
        <v>12525</v>
      </c>
      <c r="Q31" s="20">
        <f t="shared" si="30"/>
        <v>12525</v>
      </c>
      <c r="R31" s="20">
        <v>0</v>
      </c>
      <c r="S31" s="20">
        <f t="shared" ref="S31:S67" si="41">N31+O31+P31+Q31+R31</f>
        <v>100200</v>
      </c>
      <c r="T31" s="20">
        <v>0</v>
      </c>
      <c r="U31" s="22">
        <v>26</v>
      </c>
      <c r="V31" s="22">
        <v>4</v>
      </c>
      <c r="W31" s="22">
        <v>0</v>
      </c>
      <c r="X31" s="22">
        <f t="shared" si="32"/>
        <v>30</v>
      </c>
      <c r="Y31" s="20">
        <f t="shared" si="38"/>
        <v>100200</v>
      </c>
      <c r="Z31" s="20">
        <v>0</v>
      </c>
      <c r="AA31" s="20">
        <f t="shared" si="33"/>
        <v>100200</v>
      </c>
      <c r="AB31" s="20">
        <f t="shared" si="39"/>
        <v>43420</v>
      </c>
      <c r="AC31" s="20">
        <v>0</v>
      </c>
      <c r="AD31" s="20">
        <v>0</v>
      </c>
      <c r="AE31" s="20">
        <v>0</v>
      </c>
      <c r="AF31" s="79">
        <v>0</v>
      </c>
      <c r="AG31" s="20">
        <f t="shared" si="34"/>
        <v>200</v>
      </c>
      <c r="AH31" s="24">
        <v>0</v>
      </c>
      <c r="AI31" s="80">
        <v>0</v>
      </c>
      <c r="AJ31" s="24">
        <v>0</v>
      </c>
      <c r="AK31" s="24">
        <v>0</v>
      </c>
      <c r="AL31" s="24">
        <v>0</v>
      </c>
      <c r="AM31" s="23">
        <f t="shared" si="35"/>
        <v>0</v>
      </c>
      <c r="AN31" s="60">
        <f t="shared" si="36"/>
        <v>100000</v>
      </c>
      <c r="AO31" s="51"/>
      <c r="AP31" s="51"/>
      <c r="AQ31" s="51" t="s">
        <v>362</v>
      </c>
      <c r="AR31" s="51"/>
      <c r="AS31" s="51"/>
      <c r="AT31" s="51"/>
      <c r="AU31" s="58"/>
      <c r="AV31" s="53"/>
      <c r="AW31" s="54"/>
      <c r="AX31" s="51"/>
      <c r="AY31" s="51"/>
      <c r="AZ31" s="51"/>
      <c r="BA31" s="51"/>
      <c r="BC31" s="152">
        <f t="shared" ref="BC31:BC51" si="42">AC31+AE31+AG31+AN31</f>
        <v>100200</v>
      </c>
    </row>
    <row r="32" spans="2:56" s="50" customFormat="1" ht="16.5" customHeight="1" x14ac:dyDescent="0.25">
      <c r="B32" s="155">
        <v>56000</v>
      </c>
      <c r="C32" s="198">
        <v>46600</v>
      </c>
      <c r="D32" s="15">
        <v>42350</v>
      </c>
      <c r="E32" s="16" t="s">
        <v>438</v>
      </c>
      <c r="F32" s="104" t="s">
        <v>160</v>
      </c>
      <c r="G32" s="112">
        <v>44105</v>
      </c>
      <c r="H32" s="51"/>
      <c r="I32" s="51"/>
      <c r="J32" s="41">
        <f t="shared" si="40"/>
        <v>14</v>
      </c>
      <c r="K32" s="86" t="s">
        <v>87</v>
      </c>
      <c r="L32" s="52" t="s">
        <v>88</v>
      </c>
      <c r="M32" s="33">
        <v>56000</v>
      </c>
      <c r="N32" s="20">
        <f t="shared" si="27"/>
        <v>28000</v>
      </c>
      <c r="O32" s="20">
        <f t="shared" si="28"/>
        <v>14000</v>
      </c>
      <c r="P32" s="20">
        <f t="shared" si="29"/>
        <v>7000</v>
      </c>
      <c r="Q32" s="20">
        <f t="shared" si="30"/>
        <v>7000</v>
      </c>
      <c r="R32" s="20">
        <v>0</v>
      </c>
      <c r="S32" s="20">
        <f t="shared" si="41"/>
        <v>56000</v>
      </c>
      <c r="T32" s="20">
        <v>0</v>
      </c>
      <c r="U32" s="22">
        <v>26</v>
      </c>
      <c r="V32" s="22">
        <v>4</v>
      </c>
      <c r="W32" s="22">
        <v>0</v>
      </c>
      <c r="X32" s="22">
        <f t="shared" si="32"/>
        <v>30</v>
      </c>
      <c r="Y32" s="20">
        <f t="shared" si="38"/>
        <v>56000</v>
      </c>
      <c r="Z32" s="42">
        <v>385</v>
      </c>
      <c r="AA32" s="20">
        <f t="shared" si="33"/>
        <v>56385</v>
      </c>
      <c r="AB32" s="20">
        <f t="shared" si="39"/>
        <v>24266.666666666668</v>
      </c>
      <c r="AC32" s="20">
        <v>0</v>
      </c>
      <c r="AD32" s="20">
        <v>0</v>
      </c>
      <c r="AE32" s="20">
        <v>0</v>
      </c>
      <c r="AF32" s="20">
        <v>0</v>
      </c>
      <c r="AG32" s="20">
        <f t="shared" si="34"/>
        <v>200</v>
      </c>
      <c r="AH32" s="24"/>
      <c r="AI32" s="80">
        <v>0</v>
      </c>
      <c r="AJ32" s="24">
        <v>0</v>
      </c>
      <c r="AK32" s="24">
        <v>0</v>
      </c>
      <c r="AL32" s="24">
        <v>0</v>
      </c>
      <c r="AM32" s="25">
        <f t="shared" si="35"/>
        <v>0</v>
      </c>
      <c r="AN32" s="26">
        <f t="shared" si="36"/>
        <v>56185</v>
      </c>
      <c r="AO32" s="109"/>
      <c r="AP32" s="109"/>
      <c r="AQ32" s="169" t="s">
        <v>319</v>
      </c>
      <c r="AR32" s="109"/>
      <c r="AS32" s="109"/>
      <c r="AT32" s="109"/>
      <c r="AU32" s="51"/>
      <c r="AV32" s="53"/>
      <c r="AW32" s="54"/>
      <c r="AX32" s="51"/>
      <c r="AY32" s="51"/>
      <c r="AZ32" s="51"/>
      <c r="BA32" s="51"/>
      <c r="BC32" s="153">
        <f t="shared" si="42"/>
        <v>56385</v>
      </c>
    </row>
    <row r="33" spans="2:55" s="50" customFormat="1" ht="15.75" x14ac:dyDescent="0.25">
      <c r="B33" s="155">
        <v>107200</v>
      </c>
      <c r="C33" s="198">
        <v>97400</v>
      </c>
      <c r="D33" s="15">
        <v>88550</v>
      </c>
      <c r="E33" s="16" t="s">
        <v>438</v>
      </c>
      <c r="F33" s="104" t="s">
        <v>161</v>
      </c>
      <c r="G33" s="112">
        <v>44105</v>
      </c>
      <c r="H33" s="51"/>
      <c r="I33" s="51"/>
      <c r="J33" s="41">
        <f t="shared" si="40"/>
        <v>15</v>
      </c>
      <c r="K33" s="86" t="s">
        <v>87</v>
      </c>
      <c r="L33" s="136" t="s">
        <v>89</v>
      </c>
      <c r="M33" s="33">
        <v>107200</v>
      </c>
      <c r="N33" s="20">
        <f t="shared" si="27"/>
        <v>53600</v>
      </c>
      <c r="O33" s="20">
        <f t="shared" si="28"/>
        <v>26800</v>
      </c>
      <c r="P33" s="20">
        <f t="shared" si="29"/>
        <v>13400</v>
      </c>
      <c r="Q33" s="20">
        <f t="shared" si="30"/>
        <v>13400</v>
      </c>
      <c r="R33" s="20">
        <v>0</v>
      </c>
      <c r="S33" s="20">
        <f t="shared" si="41"/>
        <v>107200</v>
      </c>
      <c r="T33" s="20">
        <v>0</v>
      </c>
      <c r="U33" s="22">
        <v>26</v>
      </c>
      <c r="V33" s="22">
        <v>4</v>
      </c>
      <c r="W33" s="22">
        <v>0</v>
      </c>
      <c r="X33" s="22">
        <f t="shared" si="32"/>
        <v>30</v>
      </c>
      <c r="Y33" s="20">
        <f t="shared" si="38"/>
        <v>107200</v>
      </c>
      <c r="Z33" s="42">
        <v>0</v>
      </c>
      <c r="AA33" s="20">
        <f t="shared" si="33"/>
        <v>107200</v>
      </c>
      <c r="AB33" s="20">
        <f t="shared" si="39"/>
        <v>46453.333333333336</v>
      </c>
      <c r="AC33" s="20">
        <v>0</v>
      </c>
      <c r="AD33" s="20">
        <v>0</v>
      </c>
      <c r="AE33" s="20">
        <v>0</v>
      </c>
      <c r="AF33" s="79">
        <v>0</v>
      </c>
      <c r="AG33" s="20">
        <f t="shared" si="34"/>
        <v>200</v>
      </c>
      <c r="AH33" s="24">
        <v>0</v>
      </c>
      <c r="AI33" s="80">
        <v>0</v>
      </c>
      <c r="AJ33" s="24">
        <v>0</v>
      </c>
      <c r="AK33" s="24">
        <v>0</v>
      </c>
      <c r="AL33" s="24">
        <v>0</v>
      </c>
      <c r="AM33" s="24">
        <f t="shared" si="35"/>
        <v>0</v>
      </c>
      <c r="AN33" s="60">
        <f t="shared" si="36"/>
        <v>107000</v>
      </c>
      <c r="AO33" s="58"/>
      <c r="AP33" s="51"/>
      <c r="AQ33" s="4" t="s">
        <v>356</v>
      </c>
      <c r="AR33" s="51"/>
      <c r="AS33" s="51"/>
      <c r="AT33" s="51"/>
      <c r="AU33" s="51"/>
      <c r="AV33" s="53"/>
      <c r="AW33" s="54"/>
      <c r="AX33" s="51"/>
      <c r="AY33" s="51"/>
      <c r="AZ33" s="51"/>
      <c r="BA33" s="51"/>
      <c r="BC33" s="153">
        <f t="shared" si="42"/>
        <v>107200</v>
      </c>
    </row>
    <row r="34" spans="2:55" s="50" customFormat="1" ht="15.75" x14ac:dyDescent="0.25">
      <c r="B34" s="196">
        <v>43000</v>
      </c>
      <c r="C34" s="155">
        <v>0</v>
      </c>
      <c r="D34" s="78">
        <v>39600</v>
      </c>
      <c r="E34" s="16" t="s">
        <v>90</v>
      </c>
      <c r="F34" s="104" t="s">
        <v>145</v>
      </c>
      <c r="G34" s="112">
        <v>44105</v>
      </c>
      <c r="H34" s="51"/>
      <c r="I34" s="51"/>
      <c r="J34" s="41">
        <f t="shared" si="40"/>
        <v>16</v>
      </c>
      <c r="K34" s="86" t="s">
        <v>87</v>
      </c>
      <c r="L34" s="55" t="s">
        <v>91</v>
      </c>
      <c r="M34" s="33">
        <v>43000</v>
      </c>
      <c r="N34" s="20">
        <f t="shared" si="27"/>
        <v>21500</v>
      </c>
      <c r="O34" s="20">
        <f t="shared" si="28"/>
        <v>10750</v>
      </c>
      <c r="P34" s="20">
        <f t="shared" si="29"/>
        <v>5375</v>
      </c>
      <c r="Q34" s="20">
        <f t="shared" si="30"/>
        <v>5375</v>
      </c>
      <c r="R34" s="20">
        <v>0</v>
      </c>
      <c r="S34" s="20">
        <f t="shared" si="41"/>
        <v>43000</v>
      </c>
      <c r="T34" s="20">
        <v>0</v>
      </c>
      <c r="U34" s="22">
        <v>26</v>
      </c>
      <c r="V34" s="22">
        <v>4</v>
      </c>
      <c r="W34" s="22">
        <v>0</v>
      </c>
      <c r="X34" s="22">
        <f t="shared" si="32"/>
        <v>30</v>
      </c>
      <c r="Y34" s="20">
        <f t="shared" si="38"/>
        <v>43000</v>
      </c>
      <c r="Z34" s="20">
        <v>0</v>
      </c>
      <c r="AA34" s="20">
        <f t="shared" si="33"/>
        <v>43000</v>
      </c>
      <c r="AB34" s="20">
        <f t="shared" si="39"/>
        <v>18633.333333333332</v>
      </c>
      <c r="AC34" s="20">
        <v>0</v>
      </c>
      <c r="AD34" s="20">
        <v>0</v>
      </c>
      <c r="AE34" s="20">
        <v>0</v>
      </c>
      <c r="AF34" s="20">
        <v>0</v>
      </c>
      <c r="AG34" s="79">
        <f t="shared" si="34"/>
        <v>200</v>
      </c>
      <c r="AH34" s="24"/>
      <c r="AI34" s="80">
        <v>0</v>
      </c>
      <c r="AJ34" s="24">
        <v>0</v>
      </c>
      <c r="AK34" s="24">
        <v>0</v>
      </c>
      <c r="AL34" s="24">
        <v>0</v>
      </c>
      <c r="AM34" s="23">
        <f t="shared" si="35"/>
        <v>0</v>
      </c>
      <c r="AN34" s="60">
        <f t="shared" si="36"/>
        <v>42800</v>
      </c>
      <c r="AO34" s="81"/>
      <c r="AP34" s="56"/>
      <c r="AQ34" s="51" t="s">
        <v>364</v>
      </c>
      <c r="AR34" s="56"/>
      <c r="AS34" s="56"/>
      <c r="AT34" s="57"/>
      <c r="AU34" s="58"/>
      <c r="AV34" s="53"/>
      <c r="AW34" s="54"/>
      <c r="AX34" s="51"/>
      <c r="AY34" s="51"/>
      <c r="AZ34" s="51"/>
      <c r="BA34" s="51"/>
      <c r="BC34" s="152">
        <f t="shared" si="42"/>
        <v>43000</v>
      </c>
    </row>
    <row r="35" spans="2:55" s="50" customFormat="1" ht="15.75" x14ac:dyDescent="0.25">
      <c r="B35" s="198">
        <v>95000</v>
      </c>
      <c r="C35" s="103">
        <v>0</v>
      </c>
      <c r="D35" s="120">
        <v>85000</v>
      </c>
      <c r="E35" s="30" t="s">
        <v>226</v>
      </c>
      <c r="F35" s="104" t="s">
        <v>149</v>
      </c>
      <c r="G35" s="112">
        <v>44105</v>
      </c>
      <c r="H35" s="51"/>
      <c r="I35" s="51"/>
      <c r="J35" s="41">
        <f t="shared" si="40"/>
        <v>17</v>
      </c>
      <c r="K35" s="86" t="s">
        <v>87</v>
      </c>
      <c r="L35" s="44" t="s">
        <v>92</v>
      </c>
      <c r="M35" s="33">
        <v>95000</v>
      </c>
      <c r="N35" s="20">
        <f t="shared" si="27"/>
        <v>47500</v>
      </c>
      <c r="O35" s="20">
        <f t="shared" si="28"/>
        <v>23750</v>
      </c>
      <c r="P35" s="20">
        <f t="shared" si="29"/>
        <v>11875</v>
      </c>
      <c r="Q35" s="20">
        <f t="shared" si="30"/>
        <v>11875</v>
      </c>
      <c r="R35" s="20">
        <v>0</v>
      </c>
      <c r="S35" s="20">
        <f t="shared" si="41"/>
        <v>95000</v>
      </c>
      <c r="T35" s="20">
        <v>0</v>
      </c>
      <c r="U35" s="22">
        <v>26</v>
      </c>
      <c r="V35" s="22">
        <v>4</v>
      </c>
      <c r="W35" s="22">
        <v>0</v>
      </c>
      <c r="X35" s="22">
        <f t="shared" ref="X35:X36" si="43">+U35+V35+W35</f>
        <v>30</v>
      </c>
      <c r="Y35" s="20">
        <f t="shared" si="38"/>
        <v>95000</v>
      </c>
      <c r="Z35" s="20">
        <v>0</v>
      </c>
      <c r="AA35" s="20">
        <f t="shared" si="33"/>
        <v>95000</v>
      </c>
      <c r="AB35" s="20">
        <f t="shared" si="39"/>
        <v>41166.666666666664</v>
      </c>
      <c r="AC35" s="20">
        <v>0</v>
      </c>
      <c r="AD35" s="20">
        <v>0</v>
      </c>
      <c r="AE35" s="20">
        <v>0</v>
      </c>
      <c r="AF35" s="79">
        <v>0</v>
      </c>
      <c r="AG35" s="20">
        <f t="shared" si="34"/>
        <v>200</v>
      </c>
      <c r="AH35" s="24">
        <v>0</v>
      </c>
      <c r="AI35" s="80">
        <v>0</v>
      </c>
      <c r="AJ35" s="24">
        <v>0</v>
      </c>
      <c r="AK35" s="24">
        <v>0</v>
      </c>
      <c r="AL35" s="24">
        <v>0</v>
      </c>
      <c r="AM35" s="23">
        <f t="shared" si="35"/>
        <v>0</v>
      </c>
      <c r="AN35" s="60">
        <f t="shared" si="36"/>
        <v>94800</v>
      </c>
      <c r="AO35" s="81"/>
      <c r="AP35" s="56"/>
      <c r="AQ35" s="51" t="s">
        <v>359</v>
      </c>
      <c r="AR35" s="56"/>
      <c r="AS35" s="56"/>
      <c r="AT35" s="57"/>
      <c r="AU35" s="58"/>
      <c r="AV35" s="53"/>
      <c r="AW35" s="54"/>
      <c r="AX35" s="51"/>
      <c r="AY35" s="51"/>
      <c r="AZ35" s="51"/>
      <c r="BA35" s="51"/>
      <c r="BC35" s="152">
        <f>AC35+AE35+AG35+AN35+AH35</f>
        <v>95000</v>
      </c>
    </row>
    <row r="36" spans="2:55" s="50" customFormat="1" ht="15.75" x14ac:dyDescent="0.25">
      <c r="B36" s="198">
        <v>75900</v>
      </c>
      <c r="C36" s="155">
        <v>69000</v>
      </c>
      <c r="D36" s="78">
        <v>58000</v>
      </c>
      <c r="E36" s="16" t="s">
        <v>114</v>
      </c>
      <c r="F36" s="104" t="s">
        <v>149</v>
      </c>
      <c r="G36" s="112">
        <v>44166</v>
      </c>
      <c r="H36" s="51"/>
      <c r="I36" s="51"/>
      <c r="J36" s="41">
        <f t="shared" si="40"/>
        <v>18</v>
      </c>
      <c r="K36" s="86" t="s">
        <v>93</v>
      </c>
      <c r="L36" s="55" t="s">
        <v>94</v>
      </c>
      <c r="M36" s="33">
        <v>75900</v>
      </c>
      <c r="N36" s="20">
        <f t="shared" si="27"/>
        <v>37950</v>
      </c>
      <c r="O36" s="20">
        <f t="shared" si="28"/>
        <v>18975</v>
      </c>
      <c r="P36" s="20">
        <f t="shared" si="29"/>
        <v>9488</v>
      </c>
      <c r="Q36" s="20">
        <f t="shared" si="30"/>
        <v>9488</v>
      </c>
      <c r="R36" s="20">
        <v>0</v>
      </c>
      <c r="S36" s="20">
        <f t="shared" si="41"/>
        <v>75901</v>
      </c>
      <c r="T36" s="20">
        <v>0</v>
      </c>
      <c r="U36" s="22">
        <v>26</v>
      </c>
      <c r="V36" s="22">
        <v>4</v>
      </c>
      <c r="W36" s="22">
        <v>0</v>
      </c>
      <c r="X36" s="22">
        <f t="shared" si="43"/>
        <v>30</v>
      </c>
      <c r="Y36" s="20">
        <f t="shared" si="38"/>
        <v>75900</v>
      </c>
      <c r="Z36" s="20">
        <v>0</v>
      </c>
      <c r="AA36" s="20">
        <f t="shared" si="33"/>
        <v>75900</v>
      </c>
      <c r="AB36" s="20">
        <f t="shared" si="39"/>
        <v>32890</v>
      </c>
      <c r="AC36" s="20">
        <v>0</v>
      </c>
      <c r="AD36" s="20">
        <v>0</v>
      </c>
      <c r="AE36" s="20">
        <v>0</v>
      </c>
      <c r="AF36" s="79">
        <v>0</v>
      </c>
      <c r="AG36" s="20">
        <f t="shared" si="34"/>
        <v>200</v>
      </c>
      <c r="AH36" s="24">
        <v>0</v>
      </c>
      <c r="AI36" s="80">
        <v>0</v>
      </c>
      <c r="AJ36" s="24">
        <v>0</v>
      </c>
      <c r="AK36" s="24">
        <v>0</v>
      </c>
      <c r="AL36" s="24">
        <v>0</v>
      </c>
      <c r="AM36" s="23">
        <f t="shared" si="35"/>
        <v>0</v>
      </c>
      <c r="AN36" s="60">
        <f t="shared" si="36"/>
        <v>75700</v>
      </c>
      <c r="AO36" s="56"/>
      <c r="AP36" s="56"/>
      <c r="AQ36" s="165" t="s">
        <v>335</v>
      </c>
      <c r="AR36" s="56"/>
      <c r="AS36" s="56"/>
      <c r="AT36" s="57"/>
      <c r="AU36" s="58"/>
      <c r="AV36" s="53"/>
      <c r="AW36" s="54"/>
      <c r="AX36" s="51"/>
      <c r="AY36" s="51"/>
      <c r="AZ36" s="51"/>
      <c r="BA36" s="51"/>
      <c r="BC36" s="152">
        <f t="shared" si="42"/>
        <v>75900</v>
      </c>
    </row>
    <row r="37" spans="2:55" s="50" customFormat="1" ht="15.75" x14ac:dyDescent="0.25">
      <c r="B37" s="196"/>
      <c r="C37" s="103">
        <v>48000</v>
      </c>
      <c r="D37" s="15">
        <v>40200</v>
      </c>
      <c r="E37" s="16" t="s">
        <v>135</v>
      </c>
      <c r="F37" s="104" t="s">
        <v>150</v>
      </c>
      <c r="G37" s="112">
        <v>44501</v>
      </c>
      <c r="H37" s="51"/>
      <c r="I37" s="51"/>
      <c r="J37" s="41">
        <f t="shared" si="40"/>
        <v>19</v>
      </c>
      <c r="K37" s="86" t="s">
        <v>95</v>
      </c>
      <c r="L37" s="59" t="s">
        <v>96</v>
      </c>
      <c r="M37" s="33">
        <v>50200</v>
      </c>
      <c r="N37" s="20">
        <f t="shared" si="27"/>
        <v>25100</v>
      </c>
      <c r="O37" s="20">
        <f t="shared" si="28"/>
        <v>12550</v>
      </c>
      <c r="P37" s="20">
        <f t="shared" si="29"/>
        <v>6275</v>
      </c>
      <c r="Q37" s="20">
        <f t="shared" si="30"/>
        <v>6275</v>
      </c>
      <c r="R37" s="20">
        <v>0</v>
      </c>
      <c r="S37" s="20">
        <f t="shared" si="41"/>
        <v>50200</v>
      </c>
      <c r="T37" s="20">
        <v>0</v>
      </c>
      <c r="U37" s="22">
        <v>26</v>
      </c>
      <c r="V37" s="22">
        <v>4</v>
      </c>
      <c r="W37" s="22">
        <v>0</v>
      </c>
      <c r="X37" s="22">
        <f t="shared" si="32"/>
        <v>30</v>
      </c>
      <c r="Y37" s="20">
        <f t="shared" si="38"/>
        <v>50200</v>
      </c>
      <c r="Z37" s="20">
        <v>0</v>
      </c>
      <c r="AA37" s="20">
        <f t="shared" si="33"/>
        <v>50200</v>
      </c>
      <c r="AB37" s="20">
        <f t="shared" si="39"/>
        <v>21753.333333333332</v>
      </c>
      <c r="AC37" s="20">
        <v>0</v>
      </c>
      <c r="AD37" s="20">
        <v>0</v>
      </c>
      <c r="AE37" s="20">
        <v>0</v>
      </c>
      <c r="AF37" s="20">
        <v>0</v>
      </c>
      <c r="AG37" s="20">
        <f t="shared" si="34"/>
        <v>200</v>
      </c>
      <c r="AH37" s="24"/>
      <c r="AI37" s="80">
        <v>0</v>
      </c>
      <c r="AJ37" s="24">
        <v>0</v>
      </c>
      <c r="AK37" s="24">
        <v>0</v>
      </c>
      <c r="AL37" s="24">
        <v>0</v>
      </c>
      <c r="AM37" s="25">
        <f t="shared" si="35"/>
        <v>0</v>
      </c>
      <c r="AN37" s="26">
        <f t="shared" si="36"/>
        <v>50000</v>
      </c>
      <c r="AO37" s="51"/>
      <c r="AP37" s="51"/>
      <c r="AQ37" s="165" t="s">
        <v>345</v>
      </c>
      <c r="AR37" s="51"/>
      <c r="AS37" s="51"/>
      <c r="AT37" s="51"/>
      <c r="AU37" s="58"/>
      <c r="AV37" s="53"/>
      <c r="AW37" s="54"/>
      <c r="AX37" s="51"/>
      <c r="AY37" s="51"/>
      <c r="AZ37" s="51"/>
      <c r="BA37" s="51"/>
      <c r="BC37" s="152">
        <f t="shared" si="42"/>
        <v>50200</v>
      </c>
    </row>
    <row r="38" spans="2:55" s="50" customFormat="1" ht="15.75" x14ac:dyDescent="0.25">
      <c r="B38" s="196"/>
      <c r="C38" s="103"/>
      <c r="D38" s="15">
        <v>40200</v>
      </c>
      <c r="E38" s="16" t="s">
        <v>97</v>
      </c>
      <c r="F38" s="104" t="s">
        <v>151</v>
      </c>
      <c r="G38" s="112">
        <v>44501</v>
      </c>
      <c r="H38" s="51"/>
      <c r="I38" s="51"/>
      <c r="J38" s="41">
        <f t="shared" si="40"/>
        <v>20</v>
      </c>
      <c r="K38" s="86" t="s">
        <v>95</v>
      </c>
      <c r="L38" s="59" t="s">
        <v>98</v>
      </c>
      <c r="M38" s="33">
        <v>40200</v>
      </c>
      <c r="N38" s="20">
        <f t="shared" si="27"/>
        <v>20100</v>
      </c>
      <c r="O38" s="20">
        <f t="shared" si="28"/>
        <v>10050</v>
      </c>
      <c r="P38" s="20">
        <f t="shared" si="29"/>
        <v>5025</v>
      </c>
      <c r="Q38" s="20">
        <f t="shared" si="30"/>
        <v>5025</v>
      </c>
      <c r="R38" s="20">
        <v>0</v>
      </c>
      <c r="S38" s="20">
        <f t="shared" si="41"/>
        <v>40200</v>
      </c>
      <c r="T38" s="20">
        <v>0</v>
      </c>
      <c r="U38" s="22">
        <v>26</v>
      </c>
      <c r="V38" s="22">
        <v>4</v>
      </c>
      <c r="W38" s="22">
        <v>0</v>
      </c>
      <c r="X38" s="22">
        <f t="shared" si="32"/>
        <v>30</v>
      </c>
      <c r="Y38" s="20">
        <f t="shared" si="38"/>
        <v>40200</v>
      </c>
      <c r="Z38" s="20">
        <v>0</v>
      </c>
      <c r="AA38" s="20">
        <f t="shared" si="33"/>
        <v>40200</v>
      </c>
      <c r="AB38" s="20">
        <f t="shared" si="39"/>
        <v>17420</v>
      </c>
      <c r="AC38" s="20">
        <v>0</v>
      </c>
      <c r="AD38" s="20">
        <v>0</v>
      </c>
      <c r="AE38" s="20">
        <v>0</v>
      </c>
      <c r="AF38" s="20">
        <v>0</v>
      </c>
      <c r="AG38" s="20">
        <f t="shared" si="34"/>
        <v>200</v>
      </c>
      <c r="AH38" s="24"/>
      <c r="AI38" s="80">
        <v>0</v>
      </c>
      <c r="AJ38" s="24">
        <v>0</v>
      </c>
      <c r="AK38" s="24">
        <v>0</v>
      </c>
      <c r="AL38" s="24">
        <v>0</v>
      </c>
      <c r="AM38" s="25">
        <f t="shared" si="35"/>
        <v>0</v>
      </c>
      <c r="AN38" s="26">
        <f t="shared" si="36"/>
        <v>40000</v>
      </c>
      <c r="AO38" s="56"/>
      <c r="AP38" s="56"/>
      <c r="AQ38" s="51" t="s">
        <v>308</v>
      </c>
      <c r="AR38" s="56"/>
      <c r="AS38" s="56"/>
      <c r="AT38" s="57"/>
      <c r="AU38" s="58"/>
      <c r="AV38" s="53"/>
      <c r="AW38" s="54"/>
      <c r="AX38" s="51"/>
      <c r="AY38" s="51"/>
      <c r="AZ38" s="51"/>
      <c r="BA38" s="51"/>
      <c r="BC38" s="152">
        <f t="shared" si="42"/>
        <v>40200</v>
      </c>
    </row>
    <row r="39" spans="2:55" s="50" customFormat="1" ht="15.75" x14ac:dyDescent="0.25">
      <c r="B39" s="198">
        <v>31030</v>
      </c>
      <c r="C39" s="155">
        <v>29000</v>
      </c>
      <c r="D39" s="78">
        <v>27500</v>
      </c>
      <c r="E39" s="30" t="s">
        <v>71</v>
      </c>
      <c r="F39" s="104" t="s">
        <v>150</v>
      </c>
      <c r="G39" s="112">
        <v>44652</v>
      </c>
      <c r="H39" s="51"/>
      <c r="I39" s="51"/>
      <c r="J39" s="41">
        <f t="shared" si="40"/>
        <v>21</v>
      </c>
      <c r="K39" s="86" t="s">
        <v>99</v>
      </c>
      <c r="L39" s="52" t="s">
        <v>100</v>
      </c>
      <c r="M39" s="33">
        <v>31030</v>
      </c>
      <c r="N39" s="20">
        <f t="shared" si="27"/>
        <v>15515</v>
      </c>
      <c r="O39" s="20">
        <f t="shared" si="28"/>
        <v>7758</v>
      </c>
      <c r="P39" s="20">
        <f t="shared" si="29"/>
        <v>3879</v>
      </c>
      <c r="Q39" s="20">
        <f t="shared" si="30"/>
        <v>3879</v>
      </c>
      <c r="R39" s="20">
        <v>0</v>
      </c>
      <c r="S39" s="20">
        <f t="shared" si="41"/>
        <v>31031</v>
      </c>
      <c r="T39" s="20">
        <v>0</v>
      </c>
      <c r="U39" s="22">
        <v>26</v>
      </c>
      <c r="V39" s="22">
        <v>4</v>
      </c>
      <c r="W39" s="22">
        <v>0</v>
      </c>
      <c r="X39" s="22">
        <f t="shared" si="32"/>
        <v>30</v>
      </c>
      <c r="Y39" s="20">
        <f t="shared" si="38"/>
        <v>31029.999999999996</v>
      </c>
      <c r="Z39" s="20">
        <v>0</v>
      </c>
      <c r="AA39" s="20">
        <f t="shared" si="33"/>
        <v>31029.999999999996</v>
      </c>
      <c r="AB39" s="20">
        <f t="shared" si="39"/>
        <v>13446.333333333332</v>
      </c>
      <c r="AC39" s="20">
        <v>0</v>
      </c>
      <c r="AD39" s="20">
        <v>0</v>
      </c>
      <c r="AE39" s="20">
        <v>0</v>
      </c>
      <c r="AF39" s="20">
        <v>0</v>
      </c>
      <c r="AG39" s="20">
        <f t="shared" si="34"/>
        <v>200</v>
      </c>
      <c r="AH39" s="24"/>
      <c r="AI39" s="80">
        <v>0</v>
      </c>
      <c r="AJ39" s="24">
        <v>0</v>
      </c>
      <c r="AK39" s="24">
        <v>0</v>
      </c>
      <c r="AL39" s="24">
        <v>0</v>
      </c>
      <c r="AM39" s="25">
        <f t="shared" si="35"/>
        <v>0</v>
      </c>
      <c r="AN39" s="26">
        <f t="shared" si="36"/>
        <v>30829.999999999996</v>
      </c>
      <c r="AO39" s="56"/>
      <c r="AP39" s="56"/>
      <c r="AQ39" s="51" t="s">
        <v>347</v>
      </c>
      <c r="AR39" s="56"/>
      <c r="AS39" s="56"/>
      <c r="AT39" s="57"/>
      <c r="AU39" s="58"/>
      <c r="AV39" s="53"/>
      <c r="AW39" s="54"/>
      <c r="AX39" s="51"/>
      <c r="AY39" s="51"/>
      <c r="AZ39" s="51"/>
      <c r="BA39" s="51"/>
      <c r="BC39" s="152">
        <f t="shared" si="42"/>
        <v>31029.999999999996</v>
      </c>
    </row>
    <row r="40" spans="2:55" s="50" customFormat="1" ht="17.25" customHeight="1" x14ac:dyDescent="0.25">
      <c r="B40" s="196">
        <v>35800</v>
      </c>
      <c r="C40" s="198">
        <v>32670</v>
      </c>
      <c r="D40" s="15">
        <v>29700</v>
      </c>
      <c r="E40" s="16" t="s">
        <v>438</v>
      </c>
      <c r="F40" s="104" t="s">
        <v>157</v>
      </c>
      <c r="G40" s="112">
        <v>44682</v>
      </c>
      <c r="H40" s="51"/>
      <c r="I40" s="51"/>
      <c r="J40" s="41">
        <f t="shared" si="40"/>
        <v>22</v>
      </c>
      <c r="K40" s="86" t="s">
        <v>103</v>
      </c>
      <c r="L40" s="52" t="s">
        <v>102</v>
      </c>
      <c r="M40" s="33">
        <v>35800</v>
      </c>
      <c r="N40" s="20">
        <f t="shared" si="27"/>
        <v>17900</v>
      </c>
      <c r="O40" s="20">
        <f t="shared" si="28"/>
        <v>8950</v>
      </c>
      <c r="P40" s="20">
        <f t="shared" si="29"/>
        <v>4475</v>
      </c>
      <c r="Q40" s="20">
        <f t="shared" si="30"/>
        <v>4475</v>
      </c>
      <c r="R40" s="20">
        <v>0</v>
      </c>
      <c r="S40" s="20">
        <f t="shared" si="41"/>
        <v>35800</v>
      </c>
      <c r="T40" s="20">
        <v>0</v>
      </c>
      <c r="U40" s="22">
        <v>25</v>
      </c>
      <c r="V40" s="22">
        <v>4</v>
      </c>
      <c r="W40" s="22">
        <v>0</v>
      </c>
      <c r="X40" s="22">
        <f t="shared" si="32"/>
        <v>29</v>
      </c>
      <c r="Y40" s="20">
        <f t="shared" si="38"/>
        <v>34606.666666666664</v>
      </c>
      <c r="Z40" s="42">
        <v>265</v>
      </c>
      <c r="AA40" s="20">
        <f t="shared" si="33"/>
        <v>34871.666666666664</v>
      </c>
      <c r="AB40" s="20">
        <f t="shared" si="39"/>
        <v>14916.666666666666</v>
      </c>
      <c r="AC40" s="20">
        <v>0</v>
      </c>
      <c r="AD40" s="20">
        <v>0</v>
      </c>
      <c r="AE40" s="20">
        <v>0</v>
      </c>
      <c r="AF40" s="20">
        <v>0</v>
      </c>
      <c r="AG40" s="20">
        <f t="shared" si="34"/>
        <v>200</v>
      </c>
      <c r="AH40" s="24">
        <v>0</v>
      </c>
      <c r="AI40" s="80">
        <v>0</v>
      </c>
      <c r="AJ40" s="24">
        <v>0</v>
      </c>
      <c r="AK40" s="24">
        <v>0</v>
      </c>
      <c r="AL40" s="24">
        <v>0</v>
      </c>
      <c r="AM40" s="25">
        <f t="shared" si="35"/>
        <v>0</v>
      </c>
      <c r="AN40" s="26">
        <f t="shared" si="36"/>
        <v>34671.666666666664</v>
      </c>
      <c r="AO40" s="56"/>
      <c r="AP40" s="56"/>
      <c r="AQ40" s="170" t="s">
        <v>300</v>
      </c>
      <c r="AR40" s="56"/>
      <c r="AS40" s="56"/>
      <c r="AT40" s="57"/>
      <c r="AU40" s="58"/>
      <c r="AV40" s="53"/>
      <c r="AW40" s="54"/>
      <c r="AX40" s="51"/>
      <c r="AY40" s="51"/>
      <c r="AZ40" s="51"/>
      <c r="BA40" s="51"/>
      <c r="BC40" s="153">
        <f t="shared" si="42"/>
        <v>34871.666666666664</v>
      </c>
    </row>
    <row r="41" spans="2:55" s="50" customFormat="1" ht="15.75" x14ac:dyDescent="0.25">
      <c r="B41" s="196">
        <v>31000</v>
      </c>
      <c r="C41" s="198">
        <v>28050</v>
      </c>
      <c r="D41" s="15">
        <v>25500</v>
      </c>
      <c r="E41" s="16" t="s">
        <v>438</v>
      </c>
      <c r="F41" s="104" t="s">
        <v>158</v>
      </c>
      <c r="G41" s="112">
        <v>44805</v>
      </c>
      <c r="H41" s="51"/>
      <c r="I41" s="51"/>
      <c r="J41" s="41">
        <f t="shared" si="40"/>
        <v>23</v>
      </c>
      <c r="K41" s="86" t="s">
        <v>112</v>
      </c>
      <c r="L41" s="52" t="s">
        <v>115</v>
      </c>
      <c r="M41" s="33">
        <v>31000</v>
      </c>
      <c r="N41" s="20">
        <f t="shared" si="27"/>
        <v>15500</v>
      </c>
      <c r="O41" s="20">
        <f t="shared" si="28"/>
        <v>7750</v>
      </c>
      <c r="P41" s="20">
        <f t="shared" si="29"/>
        <v>3875</v>
      </c>
      <c r="Q41" s="20">
        <f t="shared" si="30"/>
        <v>3875</v>
      </c>
      <c r="R41" s="20">
        <v>0</v>
      </c>
      <c r="S41" s="20">
        <f t="shared" si="41"/>
        <v>31000</v>
      </c>
      <c r="T41" s="20">
        <v>0</v>
      </c>
      <c r="U41" s="22">
        <v>25</v>
      </c>
      <c r="V41" s="22">
        <v>4</v>
      </c>
      <c r="W41" s="22">
        <v>0</v>
      </c>
      <c r="X41" s="22">
        <f t="shared" si="32"/>
        <v>29</v>
      </c>
      <c r="Y41" s="20">
        <f t="shared" si="38"/>
        <v>29966.666666666664</v>
      </c>
      <c r="Z41" s="42">
        <v>230</v>
      </c>
      <c r="AA41" s="20">
        <f t="shared" si="33"/>
        <v>30196.666666666664</v>
      </c>
      <c r="AB41" s="20">
        <f t="shared" si="39"/>
        <v>12916.666666666666</v>
      </c>
      <c r="AC41" s="20">
        <v>0</v>
      </c>
      <c r="AD41" s="20">
        <v>0</v>
      </c>
      <c r="AE41" s="20">
        <v>0</v>
      </c>
      <c r="AF41" s="20">
        <v>0</v>
      </c>
      <c r="AG41" s="20">
        <f t="shared" si="34"/>
        <v>200</v>
      </c>
      <c r="AH41" s="24"/>
      <c r="AI41" s="80">
        <v>2000</v>
      </c>
      <c r="AJ41" s="24">
        <v>0</v>
      </c>
      <c r="AK41" s="24">
        <v>0</v>
      </c>
      <c r="AL41" s="24">
        <v>0</v>
      </c>
      <c r="AM41" s="25">
        <f t="shared" si="35"/>
        <v>2000</v>
      </c>
      <c r="AN41" s="26">
        <f t="shared" si="36"/>
        <v>27996.666666666664</v>
      </c>
      <c r="AO41" s="56"/>
      <c r="AP41" s="56"/>
      <c r="AQ41" s="170" t="s">
        <v>301</v>
      </c>
      <c r="AR41" s="56"/>
      <c r="AS41" s="56"/>
      <c r="AT41" s="57"/>
      <c r="AU41" s="58"/>
      <c r="AV41" s="53"/>
      <c r="AW41" s="54"/>
      <c r="AX41" s="51"/>
      <c r="AY41" s="51"/>
      <c r="AZ41" s="51"/>
      <c r="BA41" s="51"/>
      <c r="BC41" s="153">
        <f t="shared" si="42"/>
        <v>28196.666666666664</v>
      </c>
    </row>
    <row r="42" spans="2:55" s="50" customFormat="1" ht="15.75" x14ac:dyDescent="0.25">
      <c r="B42" s="198">
        <v>28000</v>
      </c>
      <c r="C42" s="155">
        <v>0</v>
      </c>
      <c r="D42" s="78">
        <v>26400</v>
      </c>
      <c r="E42" s="16" t="s">
        <v>187</v>
      </c>
      <c r="F42" s="104" t="s">
        <v>150</v>
      </c>
      <c r="G42" s="112">
        <v>44805</v>
      </c>
      <c r="H42" s="51"/>
      <c r="I42" s="51"/>
      <c r="J42" s="41">
        <f t="shared" si="40"/>
        <v>24</v>
      </c>
      <c r="K42" s="86" t="s">
        <v>112</v>
      </c>
      <c r="L42" s="132" t="s">
        <v>113</v>
      </c>
      <c r="M42" s="33">
        <v>28000</v>
      </c>
      <c r="N42" s="20">
        <f t="shared" si="27"/>
        <v>15500</v>
      </c>
      <c r="O42" s="20">
        <f t="shared" si="28"/>
        <v>6250</v>
      </c>
      <c r="P42" s="20">
        <f t="shared" si="29"/>
        <v>3125</v>
      </c>
      <c r="Q42" s="20">
        <f t="shared" si="30"/>
        <v>3125</v>
      </c>
      <c r="R42" s="20">
        <v>0</v>
      </c>
      <c r="S42" s="20">
        <f t="shared" si="41"/>
        <v>28000</v>
      </c>
      <c r="T42" s="20">
        <v>0</v>
      </c>
      <c r="U42" s="22">
        <v>26</v>
      </c>
      <c r="V42" s="22">
        <v>4</v>
      </c>
      <c r="W42" s="22">
        <v>0</v>
      </c>
      <c r="X42" s="22">
        <f t="shared" si="32"/>
        <v>30</v>
      </c>
      <c r="Y42" s="20">
        <f t="shared" si="38"/>
        <v>28000</v>
      </c>
      <c r="Z42" s="20">
        <v>0</v>
      </c>
      <c r="AA42" s="20">
        <f t="shared" si="33"/>
        <v>28000</v>
      </c>
      <c r="AB42" s="20">
        <f t="shared" si="39"/>
        <v>13433.333333333332</v>
      </c>
      <c r="AC42" s="20">
        <v>0</v>
      </c>
      <c r="AD42" s="20">
        <v>0</v>
      </c>
      <c r="AE42" s="20">
        <v>0</v>
      </c>
      <c r="AF42" s="20">
        <v>0</v>
      </c>
      <c r="AG42" s="20">
        <f t="shared" si="34"/>
        <v>200</v>
      </c>
      <c r="AH42" s="24"/>
      <c r="AI42" s="80">
        <v>0</v>
      </c>
      <c r="AJ42" s="24">
        <v>0</v>
      </c>
      <c r="AK42" s="24">
        <v>0</v>
      </c>
      <c r="AL42" s="24">
        <v>0</v>
      </c>
      <c r="AM42" s="25">
        <f t="shared" si="35"/>
        <v>0</v>
      </c>
      <c r="AN42" s="26">
        <f t="shared" si="36"/>
        <v>27800</v>
      </c>
      <c r="AO42" s="56"/>
      <c r="AP42" s="56"/>
      <c r="AQ42" s="165" t="s">
        <v>332</v>
      </c>
      <c r="AR42" s="56"/>
      <c r="AS42" s="56"/>
      <c r="AT42" s="57"/>
      <c r="AU42" s="58"/>
      <c r="AV42" s="53"/>
      <c r="AW42" s="54"/>
      <c r="AX42" s="51"/>
      <c r="AY42" s="51"/>
      <c r="AZ42" s="51"/>
      <c r="BA42" s="51"/>
      <c r="BC42" s="152">
        <f t="shared" si="42"/>
        <v>28000</v>
      </c>
    </row>
    <row r="43" spans="2:55" s="50" customFormat="1" ht="15.75" x14ac:dyDescent="0.25">
      <c r="B43" s="196"/>
      <c r="C43" s="103"/>
      <c r="D43" s="15">
        <v>40200</v>
      </c>
      <c r="E43" s="16" t="s">
        <v>135</v>
      </c>
      <c r="F43" s="104" t="s">
        <v>150</v>
      </c>
      <c r="G43" s="112">
        <v>44866</v>
      </c>
      <c r="H43" s="51"/>
      <c r="I43" s="51"/>
      <c r="J43" s="41">
        <f t="shared" si="40"/>
        <v>25</v>
      </c>
      <c r="K43" s="86" t="s">
        <v>121</v>
      </c>
      <c r="L43" s="52" t="s">
        <v>116</v>
      </c>
      <c r="M43" s="33">
        <v>40200</v>
      </c>
      <c r="N43" s="20">
        <f t="shared" si="27"/>
        <v>20100</v>
      </c>
      <c r="O43" s="20">
        <f t="shared" si="28"/>
        <v>10050</v>
      </c>
      <c r="P43" s="20">
        <f t="shared" si="29"/>
        <v>5025</v>
      </c>
      <c r="Q43" s="20">
        <f t="shared" si="30"/>
        <v>5025</v>
      </c>
      <c r="R43" s="20">
        <v>0</v>
      </c>
      <c r="S43" s="20">
        <f t="shared" si="41"/>
        <v>40200</v>
      </c>
      <c r="T43" s="20">
        <v>0</v>
      </c>
      <c r="U43" s="22">
        <v>26</v>
      </c>
      <c r="V43" s="22">
        <v>4</v>
      </c>
      <c r="W43" s="22">
        <v>0</v>
      </c>
      <c r="X43" s="22">
        <f t="shared" si="32"/>
        <v>30</v>
      </c>
      <c r="Y43" s="20">
        <f t="shared" si="38"/>
        <v>40200</v>
      </c>
      <c r="Z43" s="20">
        <v>0</v>
      </c>
      <c r="AA43" s="20">
        <f t="shared" si="33"/>
        <v>40200</v>
      </c>
      <c r="AB43" s="20">
        <f t="shared" si="39"/>
        <v>17420</v>
      </c>
      <c r="AC43" s="20">
        <v>0</v>
      </c>
      <c r="AD43" s="20">
        <v>0</v>
      </c>
      <c r="AE43" s="20">
        <v>0</v>
      </c>
      <c r="AF43" s="20">
        <v>0</v>
      </c>
      <c r="AG43" s="20">
        <f t="shared" si="34"/>
        <v>200</v>
      </c>
      <c r="AH43" s="24"/>
      <c r="AI43" s="80">
        <v>0</v>
      </c>
      <c r="AJ43" s="24">
        <v>0</v>
      </c>
      <c r="AK43" s="24">
        <v>0</v>
      </c>
      <c r="AL43" s="24">
        <v>0</v>
      </c>
      <c r="AM43" s="25">
        <f t="shared" si="35"/>
        <v>0</v>
      </c>
      <c r="AN43" s="26">
        <f t="shared" si="36"/>
        <v>40000</v>
      </c>
      <c r="AO43" s="51"/>
      <c r="AP43" s="51"/>
      <c r="AQ43" s="165" t="s">
        <v>344</v>
      </c>
      <c r="AR43" s="51"/>
      <c r="AS43" s="51"/>
      <c r="AT43" s="51"/>
      <c r="AU43" s="58"/>
      <c r="AV43" s="53"/>
      <c r="AW43" s="54"/>
      <c r="AX43" s="51"/>
      <c r="AY43" s="51"/>
      <c r="AZ43" s="51"/>
      <c r="BA43" s="51"/>
      <c r="BC43" s="152">
        <f t="shared" si="42"/>
        <v>40200</v>
      </c>
    </row>
    <row r="44" spans="2:55" s="50" customFormat="1" ht="15.75" x14ac:dyDescent="0.25">
      <c r="B44" s="162"/>
      <c r="C44" s="198">
        <v>0</v>
      </c>
      <c r="D44" s="140">
        <v>13200</v>
      </c>
      <c r="E44" s="16" t="s">
        <v>438</v>
      </c>
      <c r="F44" s="104" t="s">
        <v>159</v>
      </c>
      <c r="G44" s="112">
        <v>45047</v>
      </c>
      <c r="H44" s="51"/>
      <c r="I44" s="51"/>
      <c r="J44" s="41">
        <f t="shared" si="40"/>
        <v>26</v>
      </c>
      <c r="K44" s="86" t="s">
        <v>172</v>
      </c>
      <c r="L44" s="84" t="s">
        <v>168</v>
      </c>
      <c r="M44" s="33">
        <v>26800</v>
      </c>
      <c r="N44" s="20">
        <f t="shared" ref="N44:N67" si="44">ROUND(IF((M44*50%)&lt;15500,15500,(M44*50/100)),)</f>
        <v>15500</v>
      </c>
      <c r="O44" s="20">
        <f t="shared" ref="O44:O67" si="45">ROUND((M44-N44)/2,)</f>
        <v>5650</v>
      </c>
      <c r="P44" s="20">
        <f t="shared" ref="P44:P67" si="46">ROUND(O44*50%,)</f>
        <v>2825</v>
      </c>
      <c r="Q44" s="20">
        <f t="shared" ref="Q44:Q67" si="47">ROUND(O44*50/100,)</f>
        <v>2825</v>
      </c>
      <c r="R44" s="20">
        <v>0</v>
      </c>
      <c r="S44" s="20">
        <f t="shared" si="41"/>
        <v>26800</v>
      </c>
      <c r="T44" s="20">
        <v>0</v>
      </c>
      <c r="U44" s="22">
        <v>13</v>
      </c>
      <c r="V44" s="22">
        <v>2</v>
      </c>
      <c r="W44" s="22">
        <v>0</v>
      </c>
      <c r="X44" s="22">
        <f t="shared" ref="X44:X67" si="48">+U44+V44+W44</f>
        <v>15</v>
      </c>
      <c r="Y44" s="20">
        <f t="shared" si="38"/>
        <v>13400</v>
      </c>
      <c r="Z44" s="42">
        <v>0</v>
      </c>
      <c r="AA44" s="20">
        <f t="shared" ref="AA44:AA67" si="49">+Y44+Z44</f>
        <v>13400</v>
      </c>
      <c r="AB44" s="20">
        <f t="shared" si="39"/>
        <v>6716.6666666666661</v>
      </c>
      <c r="AC44" s="20">
        <v>0</v>
      </c>
      <c r="AD44" s="20">
        <v>0</v>
      </c>
      <c r="AE44" s="20">
        <v>0</v>
      </c>
      <c r="AF44" s="20">
        <v>0</v>
      </c>
      <c r="AG44" s="20">
        <f t="shared" ref="AG44:AG67" si="50">IF(AA44&gt;=12000,200,IF(AA44&gt;=9000,150,IF(AA44&gt;=6000,80,IF(AA44&gt;=3000,0,0))))</f>
        <v>200</v>
      </c>
      <c r="AH44" s="24"/>
      <c r="AI44" s="80">
        <v>0</v>
      </c>
      <c r="AJ44" s="24">
        <v>0</v>
      </c>
      <c r="AK44" s="24">
        <v>0</v>
      </c>
      <c r="AL44" s="24">
        <v>0</v>
      </c>
      <c r="AM44" s="25">
        <f t="shared" ref="AM44:AM67" si="51">SUM(AI44:AL44)</f>
        <v>0</v>
      </c>
      <c r="AN44" s="26">
        <f t="shared" ref="AN44:AN67" si="52">+AA44-(AC44+AE44+AG44+AH44+AI44+AJ44+AK44+AL44)</f>
        <v>13200</v>
      </c>
      <c r="AO44" s="56"/>
      <c r="AP44" s="56"/>
      <c r="AQ44" s="171" t="s">
        <v>398</v>
      </c>
      <c r="AR44" s="56"/>
      <c r="AS44" s="56"/>
      <c r="AT44" s="57"/>
      <c r="AU44" s="58"/>
      <c r="AV44" s="53"/>
      <c r="AW44" s="54"/>
      <c r="AX44" s="51"/>
      <c r="AY44" s="51"/>
      <c r="AZ44" s="51"/>
      <c r="BA44" s="51"/>
      <c r="BC44" s="152">
        <f t="shared" si="42"/>
        <v>13400</v>
      </c>
    </row>
    <row r="45" spans="2:55" s="50" customFormat="1" ht="15.75" x14ac:dyDescent="0.25">
      <c r="B45" s="198">
        <v>48400</v>
      </c>
      <c r="C45" s="155">
        <v>44000</v>
      </c>
      <c r="D45" s="78">
        <v>40000</v>
      </c>
      <c r="E45" s="30" t="s">
        <v>232</v>
      </c>
      <c r="F45" s="104" t="s">
        <v>145</v>
      </c>
      <c r="G45" s="112">
        <v>44866</v>
      </c>
      <c r="H45" s="51"/>
      <c r="I45" s="51"/>
      <c r="J45" s="41">
        <f t="shared" si="40"/>
        <v>27</v>
      </c>
      <c r="K45" s="86" t="s">
        <v>121</v>
      </c>
      <c r="L45" s="52" t="s">
        <v>118</v>
      </c>
      <c r="M45" s="33">
        <v>48400</v>
      </c>
      <c r="N45" s="20">
        <f t="shared" si="44"/>
        <v>24200</v>
      </c>
      <c r="O45" s="20">
        <f t="shared" si="45"/>
        <v>12100</v>
      </c>
      <c r="P45" s="20">
        <f t="shared" si="46"/>
        <v>6050</v>
      </c>
      <c r="Q45" s="20">
        <f t="shared" si="47"/>
        <v>6050</v>
      </c>
      <c r="R45" s="20">
        <v>0</v>
      </c>
      <c r="S45" s="20">
        <f t="shared" si="41"/>
        <v>48400</v>
      </c>
      <c r="T45" s="20">
        <v>0</v>
      </c>
      <c r="U45" s="22">
        <v>26</v>
      </c>
      <c r="V45" s="22">
        <v>4</v>
      </c>
      <c r="W45" s="22">
        <v>0</v>
      </c>
      <c r="X45" s="22">
        <f t="shared" si="48"/>
        <v>30</v>
      </c>
      <c r="Y45" s="20">
        <f t="shared" si="38"/>
        <v>48400</v>
      </c>
      <c r="Z45" s="20">
        <v>0</v>
      </c>
      <c r="AA45" s="20">
        <f t="shared" si="49"/>
        <v>48400</v>
      </c>
      <c r="AB45" s="20">
        <f t="shared" si="39"/>
        <v>20973.333333333332</v>
      </c>
      <c r="AC45" s="20">
        <v>0</v>
      </c>
      <c r="AD45" s="20">
        <v>0</v>
      </c>
      <c r="AE45" s="20">
        <v>0</v>
      </c>
      <c r="AF45" s="20">
        <v>0</v>
      </c>
      <c r="AG45" s="20">
        <f t="shared" si="50"/>
        <v>200</v>
      </c>
      <c r="AH45" s="24"/>
      <c r="AI45" s="80">
        <v>0</v>
      </c>
      <c r="AJ45" s="24">
        <v>0</v>
      </c>
      <c r="AK45" s="24">
        <v>0</v>
      </c>
      <c r="AL45" s="24">
        <v>0</v>
      </c>
      <c r="AM45" s="25">
        <f t="shared" si="51"/>
        <v>0</v>
      </c>
      <c r="AN45" s="26">
        <f t="shared" si="52"/>
        <v>48200</v>
      </c>
      <c r="AO45" s="56"/>
      <c r="AP45" s="56"/>
      <c r="AQ45" s="51" t="s">
        <v>375</v>
      </c>
      <c r="AR45" s="56"/>
      <c r="AS45" s="56"/>
      <c r="AT45" s="57"/>
      <c r="AU45" s="58"/>
      <c r="AV45" s="53"/>
      <c r="AW45" s="54"/>
      <c r="AX45" s="51"/>
      <c r="AY45" s="51"/>
      <c r="AZ45" s="51"/>
      <c r="BA45" s="51"/>
      <c r="BC45" s="152">
        <f t="shared" si="42"/>
        <v>48400</v>
      </c>
    </row>
    <row r="46" spans="2:55" s="50" customFormat="1" ht="15.75" x14ac:dyDescent="0.25">
      <c r="B46" s="198">
        <v>28875</v>
      </c>
      <c r="C46" s="155">
        <v>27500</v>
      </c>
      <c r="D46" s="15">
        <v>26500</v>
      </c>
      <c r="E46" s="30" t="s">
        <v>233</v>
      </c>
      <c r="F46" s="104" t="s">
        <v>146</v>
      </c>
      <c r="G46" s="112">
        <v>44866</v>
      </c>
      <c r="H46" s="51"/>
      <c r="I46" s="51"/>
      <c r="J46" s="41">
        <f t="shared" si="40"/>
        <v>28</v>
      </c>
      <c r="K46" s="86" t="s">
        <v>121</v>
      </c>
      <c r="L46" s="52" t="s">
        <v>119</v>
      </c>
      <c r="M46" s="33">
        <v>28875</v>
      </c>
      <c r="N46" s="20">
        <f t="shared" si="44"/>
        <v>15500</v>
      </c>
      <c r="O46" s="20">
        <f t="shared" si="45"/>
        <v>6688</v>
      </c>
      <c r="P46" s="20">
        <f t="shared" si="46"/>
        <v>3344</v>
      </c>
      <c r="Q46" s="20">
        <f t="shared" si="47"/>
        <v>3344</v>
      </c>
      <c r="R46" s="20">
        <v>0</v>
      </c>
      <c r="S46" s="20">
        <f t="shared" si="41"/>
        <v>28876</v>
      </c>
      <c r="T46" s="20">
        <v>0</v>
      </c>
      <c r="U46" s="22">
        <v>24</v>
      </c>
      <c r="V46" s="22">
        <v>3</v>
      </c>
      <c r="W46" s="22">
        <v>0</v>
      </c>
      <c r="X46" s="22">
        <f t="shared" si="48"/>
        <v>27</v>
      </c>
      <c r="Y46" s="20">
        <f t="shared" si="38"/>
        <v>25987.5</v>
      </c>
      <c r="Z46" s="20">
        <v>0</v>
      </c>
      <c r="AA46" s="20">
        <f t="shared" si="49"/>
        <v>25987.5</v>
      </c>
      <c r="AB46" s="20">
        <f t="shared" si="39"/>
        <v>12400</v>
      </c>
      <c r="AC46" s="20">
        <v>0</v>
      </c>
      <c r="AD46" s="20">
        <v>0</v>
      </c>
      <c r="AE46" s="20">
        <v>0</v>
      </c>
      <c r="AF46" s="20">
        <v>0</v>
      </c>
      <c r="AG46" s="20">
        <f t="shared" si="50"/>
        <v>200</v>
      </c>
      <c r="AH46" s="24"/>
      <c r="AI46" s="80">
        <v>0</v>
      </c>
      <c r="AJ46" s="24">
        <v>0</v>
      </c>
      <c r="AK46" s="24">
        <v>0</v>
      </c>
      <c r="AL46" s="24">
        <v>0</v>
      </c>
      <c r="AM46" s="25">
        <f t="shared" si="51"/>
        <v>0</v>
      </c>
      <c r="AN46" s="26">
        <f t="shared" si="52"/>
        <v>25787.5</v>
      </c>
      <c r="AO46" s="56"/>
      <c r="AP46" s="56"/>
      <c r="AQ46" s="172" t="s">
        <v>388</v>
      </c>
      <c r="AR46" s="56"/>
      <c r="AS46" s="56"/>
      <c r="AT46" s="57"/>
      <c r="AU46" s="58"/>
      <c r="AV46" s="53"/>
      <c r="AW46" s="54"/>
      <c r="AX46" s="51"/>
      <c r="AY46" s="51"/>
      <c r="AZ46" s="51"/>
      <c r="BA46" s="51"/>
      <c r="BC46" s="152">
        <f t="shared" si="42"/>
        <v>25987.5</v>
      </c>
    </row>
    <row r="47" spans="2:55" s="50" customFormat="1" ht="15.75" x14ac:dyDescent="0.25">
      <c r="B47" s="198">
        <v>46200</v>
      </c>
      <c r="C47" s="155">
        <v>44000</v>
      </c>
      <c r="D47" s="15">
        <v>40000</v>
      </c>
      <c r="E47" s="30" t="s">
        <v>233</v>
      </c>
      <c r="F47" s="104" t="s">
        <v>145</v>
      </c>
      <c r="G47" s="112">
        <v>44866</v>
      </c>
      <c r="H47" s="51"/>
      <c r="I47" s="51"/>
      <c r="J47" s="41">
        <f t="shared" si="40"/>
        <v>29</v>
      </c>
      <c r="K47" s="86" t="s">
        <v>121</v>
      </c>
      <c r="L47" s="52" t="s">
        <v>120</v>
      </c>
      <c r="M47" s="33">
        <v>46200</v>
      </c>
      <c r="N47" s="20">
        <f t="shared" si="44"/>
        <v>23100</v>
      </c>
      <c r="O47" s="20">
        <f t="shared" si="45"/>
        <v>11550</v>
      </c>
      <c r="P47" s="20">
        <f t="shared" si="46"/>
        <v>5775</v>
      </c>
      <c r="Q47" s="20">
        <f t="shared" si="47"/>
        <v>5775</v>
      </c>
      <c r="R47" s="20">
        <v>0</v>
      </c>
      <c r="S47" s="20">
        <f t="shared" si="41"/>
        <v>46200</v>
      </c>
      <c r="T47" s="20">
        <v>0</v>
      </c>
      <c r="U47" s="22">
        <v>25</v>
      </c>
      <c r="V47" s="22">
        <v>4</v>
      </c>
      <c r="W47" s="22">
        <v>0</v>
      </c>
      <c r="X47" s="22">
        <f t="shared" si="48"/>
        <v>29</v>
      </c>
      <c r="Y47" s="20">
        <f t="shared" si="38"/>
        <v>44660</v>
      </c>
      <c r="Z47" s="20">
        <v>0</v>
      </c>
      <c r="AA47" s="20">
        <f t="shared" si="49"/>
        <v>44660</v>
      </c>
      <c r="AB47" s="20">
        <f t="shared" si="39"/>
        <v>19250</v>
      </c>
      <c r="AC47" s="20">
        <v>0</v>
      </c>
      <c r="AD47" s="20">
        <v>0</v>
      </c>
      <c r="AE47" s="20">
        <v>0</v>
      </c>
      <c r="AF47" s="20">
        <v>0</v>
      </c>
      <c r="AG47" s="20">
        <f t="shared" si="50"/>
        <v>200</v>
      </c>
      <c r="AH47" s="24"/>
      <c r="AI47" s="80">
        <v>0</v>
      </c>
      <c r="AJ47" s="24">
        <v>0</v>
      </c>
      <c r="AK47" s="24">
        <v>0</v>
      </c>
      <c r="AL47" s="24">
        <v>0</v>
      </c>
      <c r="AM47" s="25">
        <f t="shared" si="51"/>
        <v>0</v>
      </c>
      <c r="AN47" s="26">
        <f t="shared" si="52"/>
        <v>44460</v>
      </c>
      <c r="AO47" s="56"/>
      <c r="AP47" s="56"/>
      <c r="AQ47" s="51" t="s">
        <v>376</v>
      </c>
      <c r="AR47" s="56"/>
      <c r="AS47" s="56"/>
      <c r="AT47" s="57"/>
      <c r="AU47" s="58"/>
      <c r="AV47" s="53"/>
      <c r="AW47" s="54"/>
      <c r="AX47" s="51"/>
      <c r="AY47" s="51"/>
      <c r="AZ47" s="51"/>
      <c r="BA47" s="51"/>
      <c r="BC47" s="152">
        <f t="shared" si="42"/>
        <v>44660</v>
      </c>
    </row>
    <row r="48" spans="2:55" s="50" customFormat="1" ht="15.75" x14ac:dyDescent="0.25">
      <c r="B48" s="196"/>
      <c r="C48" s="103"/>
      <c r="D48" s="15">
        <v>55000</v>
      </c>
      <c r="E48" s="16" t="s">
        <v>135</v>
      </c>
      <c r="F48" s="104" t="s">
        <v>153</v>
      </c>
      <c r="G48" s="112">
        <v>44896</v>
      </c>
      <c r="H48" s="51"/>
      <c r="I48" s="51"/>
      <c r="J48" s="41">
        <f t="shared" si="40"/>
        <v>30</v>
      </c>
      <c r="K48" s="86" t="s">
        <v>122</v>
      </c>
      <c r="L48" s="52" t="s">
        <v>123</v>
      </c>
      <c r="M48" s="33">
        <v>55200</v>
      </c>
      <c r="N48" s="20">
        <f t="shared" si="44"/>
        <v>27600</v>
      </c>
      <c r="O48" s="20">
        <f t="shared" si="45"/>
        <v>13800</v>
      </c>
      <c r="P48" s="20">
        <f t="shared" si="46"/>
        <v>6900</v>
      </c>
      <c r="Q48" s="20">
        <f t="shared" si="47"/>
        <v>6900</v>
      </c>
      <c r="R48" s="20">
        <v>0</v>
      </c>
      <c r="S48" s="20">
        <f t="shared" si="41"/>
        <v>55200</v>
      </c>
      <c r="T48" s="20">
        <v>0</v>
      </c>
      <c r="U48" s="22">
        <v>26</v>
      </c>
      <c r="V48" s="22">
        <v>4</v>
      </c>
      <c r="W48" s="22">
        <v>0</v>
      </c>
      <c r="X48" s="22">
        <f t="shared" si="48"/>
        <v>30</v>
      </c>
      <c r="Y48" s="20">
        <f t="shared" si="38"/>
        <v>55200</v>
      </c>
      <c r="Z48" s="20">
        <v>0</v>
      </c>
      <c r="AA48" s="20">
        <f t="shared" si="49"/>
        <v>55200</v>
      </c>
      <c r="AB48" s="20">
        <f t="shared" si="39"/>
        <v>23920</v>
      </c>
      <c r="AC48" s="20">
        <v>0</v>
      </c>
      <c r="AD48" s="20">
        <v>0</v>
      </c>
      <c r="AE48" s="20">
        <v>0</v>
      </c>
      <c r="AF48" s="20">
        <v>0</v>
      </c>
      <c r="AG48" s="20">
        <f t="shared" si="50"/>
        <v>200</v>
      </c>
      <c r="AH48" s="24"/>
      <c r="AI48" s="80">
        <v>0</v>
      </c>
      <c r="AJ48" s="24">
        <v>0</v>
      </c>
      <c r="AK48" s="24">
        <v>0</v>
      </c>
      <c r="AL48" s="24">
        <v>0</v>
      </c>
      <c r="AM48" s="25">
        <f t="shared" si="51"/>
        <v>0</v>
      </c>
      <c r="AN48" s="26">
        <f t="shared" si="52"/>
        <v>55000</v>
      </c>
      <c r="AO48" s="51"/>
      <c r="AP48" s="51"/>
      <c r="AQ48" s="51" t="s">
        <v>320</v>
      </c>
      <c r="AR48" s="51"/>
      <c r="AS48" s="51"/>
      <c r="AT48" s="51"/>
      <c r="AU48" s="58"/>
      <c r="AV48" s="53"/>
      <c r="AW48" s="54"/>
      <c r="AX48" s="51"/>
      <c r="AY48" s="51"/>
      <c r="AZ48" s="51"/>
      <c r="BA48" s="51"/>
      <c r="BC48" s="152">
        <f t="shared" si="42"/>
        <v>55200</v>
      </c>
    </row>
    <row r="49" spans="2:55" s="50" customFormat="1" ht="15.75" x14ac:dyDescent="0.25">
      <c r="B49" s="196"/>
      <c r="C49" s="103"/>
      <c r="D49" s="15">
        <v>50200</v>
      </c>
      <c r="E49" s="16" t="s">
        <v>135</v>
      </c>
      <c r="F49" s="104" t="s">
        <v>150</v>
      </c>
      <c r="G49" s="112">
        <v>44896</v>
      </c>
      <c r="H49" s="51"/>
      <c r="I49" s="51"/>
      <c r="J49" s="41">
        <f t="shared" si="40"/>
        <v>31</v>
      </c>
      <c r="K49" s="86" t="s">
        <v>122</v>
      </c>
      <c r="L49" s="52" t="s">
        <v>126</v>
      </c>
      <c r="M49" s="33">
        <v>50000</v>
      </c>
      <c r="N49" s="20">
        <f t="shared" si="44"/>
        <v>25000</v>
      </c>
      <c r="O49" s="20">
        <f t="shared" si="45"/>
        <v>12500</v>
      </c>
      <c r="P49" s="20">
        <f t="shared" si="46"/>
        <v>6250</v>
      </c>
      <c r="Q49" s="20">
        <f t="shared" si="47"/>
        <v>6250</v>
      </c>
      <c r="R49" s="20">
        <v>0</v>
      </c>
      <c r="S49" s="20">
        <f t="shared" si="41"/>
        <v>50000</v>
      </c>
      <c r="T49" s="20">
        <v>0</v>
      </c>
      <c r="U49" s="22">
        <v>26</v>
      </c>
      <c r="V49" s="22">
        <v>4</v>
      </c>
      <c r="W49" s="22">
        <v>0</v>
      </c>
      <c r="X49" s="22">
        <f t="shared" si="48"/>
        <v>30</v>
      </c>
      <c r="Y49" s="20">
        <f t="shared" si="38"/>
        <v>50000</v>
      </c>
      <c r="Z49" s="20">
        <v>0</v>
      </c>
      <c r="AA49" s="20">
        <f t="shared" si="49"/>
        <v>50000</v>
      </c>
      <c r="AB49" s="20">
        <f t="shared" si="39"/>
        <v>21666.666666666668</v>
      </c>
      <c r="AC49" s="20">
        <v>0</v>
      </c>
      <c r="AD49" s="20">
        <v>0</v>
      </c>
      <c r="AE49" s="20">
        <v>0</v>
      </c>
      <c r="AF49" s="20">
        <v>0</v>
      </c>
      <c r="AG49" s="20">
        <f t="shared" si="50"/>
        <v>200</v>
      </c>
      <c r="AH49" s="24"/>
      <c r="AI49" s="80">
        <v>0</v>
      </c>
      <c r="AJ49" s="24">
        <v>0</v>
      </c>
      <c r="AK49" s="24">
        <v>0</v>
      </c>
      <c r="AL49" s="24">
        <v>0</v>
      </c>
      <c r="AM49" s="25">
        <f t="shared" si="51"/>
        <v>0</v>
      </c>
      <c r="AN49" s="26">
        <f t="shared" si="52"/>
        <v>49800</v>
      </c>
      <c r="AO49" s="51"/>
      <c r="AP49" s="51"/>
      <c r="AQ49" s="172" t="s">
        <v>389</v>
      </c>
      <c r="AR49" s="51"/>
      <c r="AS49" s="51"/>
      <c r="AT49" s="51"/>
      <c r="AU49" s="58"/>
      <c r="AV49" s="53"/>
      <c r="AW49" s="54"/>
      <c r="AX49" s="51"/>
      <c r="AY49" s="51"/>
      <c r="AZ49" s="51"/>
      <c r="BA49" s="51"/>
      <c r="BC49" s="152">
        <f t="shared" si="42"/>
        <v>50000</v>
      </c>
    </row>
    <row r="50" spans="2:55" s="50" customFormat="1" ht="15.75" x14ac:dyDescent="0.25">
      <c r="B50" s="196"/>
      <c r="C50" s="103"/>
      <c r="D50" s="15">
        <v>55200</v>
      </c>
      <c r="E50" s="16" t="s">
        <v>135</v>
      </c>
      <c r="F50" s="104" t="s">
        <v>150</v>
      </c>
      <c r="G50" s="112">
        <v>44896</v>
      </c>
      <c r="H50" s="51"/>
      <c r="I50" s="51"/>
      <c r="J50" s="41">
        <f t="shared" si="40"/>
        <v>32</v>
      </c>
      <c r="K50" s="86" t="s">
        <v>122</v>
      </c>
      <c r="L50" s="52" t="s">
        <v>124</v>
      </c>
      <c r="M50" s="33">
        <v>55200</v>
      </c>
      <c r="N50" s="20">
        <f t="shared" si="44"/>
        <v>27600</v>
      </c>
      <c r="O50" s="20">
        <f t="shared" si="45"/>
        <v>13800</v>
      </c>
      <c r="P50" s="20">
        <f t="shared" si="46"/>
        <v>6900</v>
      </c>
      <c r="Q50" s="20">
        <f t="shared" si="47"/>
        <v>6900</v>
      </c>
      <c r="R50" s="20">
        <v>0</v>
      </c>
      <c r="S50" s="20">
        <f t="shared" si="41"/>
        <v>55200</v>
      </c>
      <c r="T50" s="20">
        <v>0</v>
      </c>
      <c r="U50" s="22">
        <v>26</v>
      </c>
      <c r="V50" s="22">
        <v>4</v>
      </c>
      <c r="W50" s="22">
        <v>0</v>
      </c>
      <c r="X50" s="22">
        <f t="shared" si="48"/>
        <v>30</v>
      </c>
      <c r="Y50" s="20">
        <f t="shared" si="38"/>
        <v>55200</v>
      </c>
      <c r="Z50" s="20">
        <v>0</v>
      </c>
      <c r="AA50" s="20">
        <f t="shared" si="49"/>
        <v>55200</v>
      </c>
      <c r="AB50" s="20">
        <f t="shared" si="39"/>
        <v>23920</v>
      </c>
      <c r="AC50" s="20">
        <v>0</v>
      </c>
      <c r="AD50" s="20">
        <v>0</v>
      </c>
      <c r="AE50" s="20">
        <v>0</v>
      </c>
      <c r="AF50" s="20">
        <v>0</v>
      </c>
      <c r="AG50" s="20">
        <f t="shared" si="50"/>
        <v>200</v>
      </c>
      <c r="AH50" s="24"/>
      <c r="AI50" s="80">
        <v>0</v>
      </c>
      <c r="AJ50" s="24">
        <v>0</v>
      </c>
      <c r="AK50" s="24">
        <v>0</v>
      </c>
      <c r="AL50" s="24">
        <v>0</v>
      </c>
      <c r="AM50" s="25">
        <f t="shared" si="51"/>
        <v>0</v>
      </c>
      <c r="AN50" s="26">
        <f t="shared" si="52"/>
        <v>55000</v>
      </c>
      <c r="AO50" s="51"/>
      <c r="AP50" s="51"/>
      <c r="AQ50" s="172" t="s">
        <v>384</v>
      </c>
      <c r="AR50" s="51"/>
      <c r="AS50" s="51"/>
      <c r="AT50" s="51"/>
      <c r="AU50" s="58"/>
      <c r="AV50" s="53"/>
      <c r="AW50" s="54"/>
      <c r="AX50" s="51"/>
      <c r="AY50" s="51"/>
      <c r="AZ50" s="51"/>
      <c r="BA50" s="51"/>
      <c r="BC50" s="152">
        <f t="shared" si="42"/>
        <v>55200</v>
      </c>
    </row>
    <row r="51" spans="2:55" s="50" customFormat="1" ht="15.75" x14ac:dyDescent="0.25">
      <c r="B51" s="196">
        <v>28500</v>
      </c>
      <c r="C51" s="198">
        <v>26620</v>
      </c>
      <c r="D51" s="15">
        <v>24200</v>
      </c>
      <c r="E51" s="16" t="s">
        <v>438</v>
      </c>
      <c r="F51" s="104" t="s">
        <v>154</v>
      </c>
      <c r="G51" s="112">
        <v>44866</v>
      </c>
      <c r="H51" s="51"/>
      <c r="I51" s="51"/>
      <c r="J51" s="41">
        <f t="shared" si="40"/>
        <v>33</v>
      </c>
      <c r="K51" s="86" t="s">
        <v>121</v>
      </c>
      <c r="L51" s="141" t="s">
        <v>117</v>
      </c>
      <c r="M51" s="33">
        <v>28500</v>
      </c>
      <c r="N51" s="20">
        <f t="shared" si="44"/>
        <v>15500</v>
      </c>
      <c r="O51" s="20">
        <f t="shared" si="45"/>
        <v>6500</v>
      </c>
      <c r="P51" s="20">
        <f t="shared" si="46"/>
        <v>3250</v>
      </c>
      <c r="Q51" s="20">
        <f t="shared" si="47"/>
        <v>3250</v>
      </c>
      <c r="R51" s="20">
        <v>0</v>
      </c>
      <c r="S51" s="20">
        <f t="shared" si="41"/>
        <v>28500</v>
      </c>
      <c r="T51" s="20">
        <v>0</v>
      </c>
      <c r="U51" s="22">
        <v>25</v>
      </c>
      <c r="V51" s="22">
        <v>4</v>
      </c>
      <c r="W51" s="22">
        <v>0</v>
      </c>
      <c r="X51" s="22">
        <f t="shared" si="48"/>
        <v>29</v>
      </c>
      <c r="Y51" s="20">
        <f t="shared" si="38"/>
        <v>27550</v>
      </c>
      <c r="Z51" s="42">
        <v>0</v>
      </c>
      <c r="AA51" s="20">
        <f t="shared" si="49"/>
        <v>27550</v>
      </c>
      <c r="AB51" s="20">
        <f t="shared" si="39"/>
        <v>12916.666666666666</v>
      </c>
      <c r="AC51" s="20">
        <v>0</v>
      </c>
      <c r="AD51" s="20">
        <v>0</v>
      </c>
      <c r="AE51" s="20">
        <v>0</v>
      </c>
      <c r="AF51" s="20">
        <v>0</v>
      </c>
      <c r="AG51" s="20">
        <f t="shared" si="50"/>
        <v>200</v>
      </c>
      <c r="AH51" s="24"/>
      <c r="AI51" s="80">
        <v>0</v>
      </c>
      <c r="AJ51" s="24">
        <v>0</v>
      </c>
      <c r="AK51" s="24">
        <v>0</v>
      </c>
      <c r="AL51" s="24">
        <v>0</v>
      </c>
      <c r="AM51" s="25">
        <f t="shared" si="51"/>
        <v>0</v>
      </c>
      <c r="AN51" s="26">
        <f t="shared" si="52"/>
        <v>27350</v>
      </c>
      <c r="AO51" s="56"/>
      <c r="AP51" s="56"/>
      <c r="AQ51" s="4" t="s">
        <v>304</v>
      </c>
      <c r="AR51" s="56"/>
      <c r="AS51" s="56"/>
      <c r="AT51" s="57"/>
      <c r="AU51" s="58"/>
      <c r="AV51" s="53"/>
      <c r="AW51" s="54"/>
      <c r="AX51" s="51"/>
      <c r="AY51" s="51"/>
      <c r="AZ51" s="51"/>
      <c r="BA51" s="51"/>
      <c r="BC51" s="153">
        <f t="shared" si="42"/>
        <v>27550</v>
      </c>
    </row>
    <row r="52" spans="2:55" s="50" customFormat="1" ht="15.75" x14ac:dyDescent="0.25">
      <c r="B52" s="197"/>
      <c r="C52" s="103"/>
      <c r="D52" s="15">
        <v>192000</v>
      </c>
      <c r="E52" s="48" t="s">
        <v>212</v>
      </c>
      <c r="F52" s="113" t="s">
        <v>210</v>
      </c>
      <c r="G52" s="112">
        <v>44896</v>
      </c>
      <c r="H52" s="51"/>
      <c r="I52" s="51"/>
      <c r="J52" s="41">
        <f t="shared" si="40"/>
        <v>34</v>
      </c>
      <c r="K52" s="86" t="s">
        <v>122</v>
      </c>
      <c r="L52" s="88" t="s">
        <v>127</v>
      </c>
      <c r="M52" s="33">
        <v>175200</v>
      </c>
      <c r="N52" s="20">
        <f t="shared" si="44"/>
        <v>87600</v>
      </c>
      <c r="O52" s="20">
        <f t="shared" si="45"/>
        <v>43800</v>
      </c>
      <c r="P52" s="20">
        <f t="shared" si="46"/>
        <v>21900</v>
      </c>
      <c r="Q52" s="20">
        <f t="shared" si="47"/>
        <v>21900</v>
      </c>
      <c r="R52" s="20">
        <v>0</v>
      </c>
      <c r="S52" s="20">
        <f t="shared" si="41"/>
        <v>175200</v>
      </c>
      <c r="T52" s="20">
        <v>0</v>
      </c>
      <c r="U52" s="22">
        <v>26</v>
      </c>
      <c r="V52" s="22">
        <v>4</v>
      </c>
      <c r="W52" s="22">
        <v>0</v>
      </c>
      <c r="X52" s="22">
        <f t="shared" si="48"/>
        <v>30</v>
      </c>
      <c r="Y52" s="20">
        <f t="shared" si="38"/>
        <v>175200</v>
      </c>
      <c r="Z52" s="20">
        <v>0</v>
      </c>
      <c r="AA52" s="20">
        <f t="shared" si="49"/>
        <v>175200</v>
      </c>
      <c r="AB52" s="20">
        <f t="shared" si="39"/>
        <v>75920</v>
      </c>
      <c r="AC52" s="20">
        <v>0</v>
      </c>
      <c r="AD52" s="20">
        <v>0</v>
      </c>
      <c r="AE52" s="20">
        <v>0</v>
      </c>
      <c r="AF52" s="20">
        <v>0</v>
      </c>
      <c r="AG52" s="20">
        <f t="shared" si="50"/>
        <v>200</v>
      </c>
      <c r="AH52" s="24">
        <v>17000</v>
      </c>
      <c r="AI52" s="80">
        <v>0</v>
      </c>
      <c r="AJ52" s="24">
        <v>0</v>
      </c>
      <c r="AK52" s="24">
        <v>0</v>
      </c>
      <c r="AL52" s="24">
        <v>0</v>
      </c>
      <c r="AM52" s="25">
        <f t="shared" si="51"/>
        <v>0</v>
      </c>
      <c r="AN52" s="26">
        <f t="shared" si="52"/>
        <v>158000</v>
      </c>
      <c r="AO52" s="51"/>
      <c r="AP52" s="51"/>
      <c r="AQ52" s="172" t="s">
        <v>394</v>
      </c>
      <c r="AR52" s="51"/>
      <c r="AS52" s="51"/>
      <c r="AT52" s="51"/>
      <c r="AU52" s="58"/>
      <c r="AV52" s="53"/>
      <c r="AW52" s="54"/>
      <c r="AX52" s="51"/>
      <c r="AY52" s="51"/>
      <c r="AZ52" s="51"/>
      <c r="BA52" s="51"/>
      <c r="BC52" s="152">
        <f>AC52+AE52+AG52+AN52+AH52</f>
        <v>175200</v>
      </c>
    </row>
    <row r="53" spans="2:55" s="50" customFormat="1" ht="15.75" x14ac:dyDescent="0.25">
      <c r="B53" s="196"/>
      <c r="C53" s="103">
        <v>48000</v>
      </c>
      <c r="D53" s="15">
        <v>35200</v>
      </c>
      <c r="E53" s="16" t="s">
        <v>135</v>
      </c>
      <c r="F53" s="104" t="s">
        <v>150</v>
      </c>
      <c r="G53" s="112">
        <v>44927</v>
      </c>
      <c r="H53" s="51"/>
      <c r="I53" s="51"/>
      <c r="J53" s="41">
        <f t="shared" si="40"/>
        <v>35</v>
      </c>
      <c r="K53" s="86" t="s">
        <v>131</v>
      </c>
      <c r="L53" s="88" t="s">
        <v>152</v>
      </c>
      <c r="M53" s="33">
        <v>50200</v>
      </c>
      <c r="N53" s="20">
        <f t="shared" si="44"/>
        <v>25100</v>
      </c>
      <c r="O53" s="20">
        <f t="shared" si="45"/>
        <v>12550</v>
      </c>
      <c r="P53" s="20">
        <f t="shared" si="46"/>
        <v>6275</v>
      </c>
      <c r="Q53" s="20">
        <f t="shared" si="47"/>
        <v>6275</v>
      </c>
      <c r="R53" s="20">
        <v>0</v>
      </c>
      <c r="S53" s="20">
        <f t="shared" si="41"/>
        <v>50200</v>
      </c>
      <c r="T53" s="20">
        <v>0</v>
      </c>
      <c r="U53" s="22">
        <v>26</v>
      </c>
      <c r="V53" s="22">
        <v>4</v>
      </c>
      <c r="W53" s="22">
        <v>0</v>
      </c>
      <c r="X53" s="22">
        <f t="shared" si="48"/>
        <v>30</v>
      </c>
      <c r="Y53" s="20">
        <f t="shared" si="38"/>
        <v>50200</v>
      </c>
      <c r="Z53" s="20">
        <v>0</v>
      </c>
      <c r="AA53" s="20">
        <f t="shared" si="49"/>
        <v>50200</v>
      </c>
      <c r="AB53" s="20">
        <f t="shared" si="39"/>
        <v>21753.333333333332</v>
      </c>
      <c r="AC53" s="20">
        <v>0</v>
      </c>
      <c r="AD53" s="20">
        <v>0</v>
      </c>
      <c r="AE53" s="20">
        <v>0</v>
      </c>
      <c r="AF53" s="20">
        <v>0</v>
      </c>
      <c r="AG53" s="20">
        <f t="shared" si="50"/>
        <v>200</v>
      </c>
      <c r="AH53" s="24"/>
      <c r="AI53" s="80">
        <v>0</v>
      </c>
      <c r="AJ53" s="24">
        <v>0</v>
      </c>
      <c r="AK53" s="24">
        <v>0</v>
      </c>
      <c r="AL53" s="24">
        <v>0</v>
      </c>
      <c r="AM53" s="25">
        <f t="shared" si="51"/>
        <v>0</v>
      </c>
      <c r="AN53" s="26">
        <f t="shared" si="52"/>
        <v>50000</v>
      </c>
      <c r="AO53" s="51"/>
      <c r="AP53" s="51"/>
      <c r="AQ53" s="172" t="s">
        <v>401</v>
      </c>
      <c r="AR53" s="51"/>
      <c r="AS53" s="51"/>
      <c r="AT53" s="51"/>
      <c r="AU53" s="58"/>
      <c r="AV53" s="53"/>
      <c r="AW53" s="54"/>
      <c r="AX53" s="51"/>
      <c r="AY53" s="51"/>
      <c r="AZ53" s="51"/>
      <c r="BA53" s="51"/>
      <c r="BC53" s="152">
        <f t="shared" ref="BC53:BC67" si="53">AC53+AE53+AG53+AN53</f>
        <v>50200</v>
      </c>
    </row>
    <row r="54" spans="2:55" s="50" customFormat="1" ht="15.75" x14ac:dyDescent="0.25">
      <c r="B54" s="196"/>
      <c r="C54" s="103"/>
      <c r="D54" s="15">
        <v>35200</v>
      </c>
      <c r="E54" s="16" t="s">
        <v>135</v>
      </c>
      <c r="F54" s="104" t="s">
        <v>150</v>
      </c>
      <c r="G54" s="112">
        <v>44927</v>
      </c>
      <c r="H54" s="51"/>
      <c r="I54" s="51"/>
      <c r="J54" s="41">
        <f t="shared" si="40"/>
        <v>36</v>
      </c>
      <c r="K54" s="86" t="s">
        <v>131</v>
      </c>
      <c r="L54" s="88" t="s">
        <v>129</v>
      </c>
      <c r="M54" s="33">
        <v>50200</v>
      </c>
      <c r="N54" s="20">
        <f t="shared" si="44"/>
        <v>25100</v>
      </c>
      <c r="O54" s="20">
        <f t="shared" si="45"/>
        <v>12550</v>
      </c>
      <c r="P54" s="20">
        <f t="shared" si="46"/>
        <v>6275</v>
      </c>
      <c r="Q54" s="20">
        <f t="shared" si="47"/>
        <v>6275</v>
      </c>
      <c r="R54" s="20">
        <v>0</v>
      </c>
      <c r="S54" s="20">
        <f t="shared" si="41"/>
        <v>50200</v>
      </c>
      <c r="T54" s="20">
        <v>0</v>
      </c>
      <c r="U54" s="22">
        <v>26</v>
      </c>
      <c r="V54" s="22">
        <v>4</v>
      </c>
      <c r="W54" s="22">
        <v>0</v>
      </c>
      <c r="X54" s="22">
        <f t="shared" si="48"/>
        <v>30</v>
      </c>
      <c r="Y54" s="20">
        <f t="shared" si="38"/>
        <v>50200</v>
      </c>
      <c r="Z54" s="20">
        <v>0</v>
      </c>
      <c r="AA54" s="20">
        <f t="shared" si="49"/>
        <v>50200</v>
      </c>
      <c r="AB54" s="20">
        <f t="shared" si="39"/>
        <v>21753.333333333332</v>
      </c>
      <c r="AC54" s="20">
        <v>0</v>
      </c>
      <c r="AD54" s="20">
        <v>0</v>
      </c>
      <c r="AE54" s="20">
        <v>0</v>
      </c>
      <c r="AF54" s="20">
        <v>0</v>
      </c>
      <c r="AG54" s="20">
        <f t="shared" si="50"/>
        <v>200</v>
      </c>
      <c r="AH54" s="24"/>
      <c r="AI54" s="80">
        <v>0</v>
      </c>
      <c r="AJ54" s="24">
        <v>0</v>
      </c>
      <c r="AK54" s="24">
        <v>0</v>
      </c>
      <c r="AL54" s="24">
        <v>0</v>
      </c>
      <c r="AM54" s="25">
        <f t="shared" si="51"/>
        <v>0</v>
      </c>
      <c r="AN54" s="26">
        <f t="shared" si="52"/>
        <v>50000</v>
      </c>
      <c r="AO54" s="51"/>
      <c r="AP54" s="51"/>
      <c r="AQ54" s="165" t="s">
        <v>346</v>
      </c>
      <c r="AR54" s="51"/>
      <c r="AS54" s="51"/>
      <c r="AT54" s="51"/>
      <c r="AU54" s="58"/>
      <c r="AV54" s="53"/>
      <c r="AW54" s="54"/>
      <c r="AX54" s="51"/>
      <c r="AY54" s="51"/>
      <c r="AZ54" s="51"/>
      <c r="BA54" s="51"/>
      <c r="BC54" s="152">
        <f t="shared" si="53"/>
        <v>50200</v>
      </c>
    </row>
    <row r="55" spans="2:55" s="50" customFormat="1" ht="15.75" x14ac:dyDescent="0.25">
      <c r="B55" s="196"/>
      <c r="C55" s="103">
        <v>50000</v>
      </c>
      <c r="D55" s="15">
        <v>48000</v>
      </c>
      <c r="E55" s="16" t="s">
        <v>135</v>
      </c>
      <c r="F55" s="104" t="s">
        <v>150</v>
      </c>
      <c r="G55" s="112">
        <v>44927</v>
      </c>
      <c r="H55" s="51"/>
      <c r="I55" s="51"/>
      <c r="J55" s="41">
        <f t="shared" si="40"/>
        <v>37</v>
      </c>
      <c r="K55" s="86" t="s">
        <v>131</v>
      </c>
      <c r="L55" s="88" t="s">
        <v>130</v>
      </c>
      <c r="M55" s="33">
        <v>50000</v>
      </c>
      <c r="N55" s="20">
        <f t="shared" si="44"/>
        <v>25000</v>
      </c>
      <c r="O55" s="20">
        <f t="shared" si="45"/>
        <v>12500</v>
      </c>
      <c r="P55" s="20">
        <f t="shared" si="46"/>
        <v>6250</v>
      </c>
      <c r="Q55" s="20">
        <f t="shared" si="47"/>
        <v>6250</v>
      </c>
      <c r="R55" s="20">
        <v>0</v>
      </c>
      <c r="S55" s="20">
        <f t="shared" si="41"/>
        <v>50000</v>
      </c>
      <c r="T55" s="20">
        <v>0</v>
      </c>
      <c r="U55" s="22">
        <v>26</v>
      </c>
      <c r="V55" s="22">
        <v>4</v>
      </c>
      <c r="W55" s="22">
        <v>0</v>
      </c>
      <c r="X55" s="22">
        <f t="shared" si="48"/>
        <v>30</v>
      </c>
      <c r="Y55" s="20">
        <f t="shared" si="38"/>
        <v>50000</v>
      </c>
      <c r="Z55" s="20">
        <v>0</v>
      </c>
      <c r="AA55" s="20">
        <f t="shared" si="49"/>
        <v>50000</v>
      </c>
      <c r="AB55" s="20">
        <f t="shared" si="39"/>
        <v>21666.666666666668</v>
      </c>
      <c r="AC55" s="20">
        <v>0</v>
      </c>
      <c r="AD55" s="20">
        <v>0</v>
      </c>
      <c r="AE55" s="20">
        <v>0</v>
      </c>
      <c r="AF55" s="20">
        <v>0</v>
      </c>
      <c r="AG55" s="20">
        <f t="shared" si="50"/>
        <v>200</v>
      </c>
      <c r="AH55" s="24"/>
      <c r="AI55" s="80">
        <v>0</v>
      </c>
      <c r="AJ55" s="24">
        <v>0</v>
      </c>
      <c r="AK55" s="24">
        <v>0</v>
      </c>
      <c r="AL55" s="24">
        <v>0</v>
      </c>
      <c r="AM55" s="25">
        <f t="shared" si="51"/>
        <v>0</v>
      </c>
      <c r="AN55" s="26">
        <f t="shared" si="52"/>
        <v>49800</v>
      </c>
      <c r="AO55" s="51"/>
      <c r="AP55" s="51"/>
      <c r="AQ55" s="165" t="s">
        <v>316</v>
      </c>
      <c r="AR55" s="51"/>
      <c r="AS55" s="51"/>
      <c r="AT55" s="51"/>
      <c r="AU55" s="58"/>
      <c r="AV55" s="53"/>
      <c r="AW55" s="54"/>
      <c r="AX55" s="51"/>
      <c r="AY55" s="51"/>
      <c r="AZ55" s="51"/>
      <c r="BA55" s="51"/>
      <c r="BC55" s="152">
        <f t="shared" si="53"/>
        <v>50000</v>
      </c>
    </row>
    <row r="56" spans="2:55" s="50" customFormat="1" ht="15.75" x14ac:dyDescent="0.25">
      <c r="B56" s="196"/>
      <c r="C56" s="103"/>
      <c r="D56" s="77">
        <v>50200</v>
      </c>
      <c r="E56" s="16" t="s">
        <v>135</v>
      </c>
      <c r="F56" s="224" t="s">
        <v>181</v>
      </c>
      <c r="G56" s="112">
        <v>44927</v>
      </c>
      <c r="H56" s="51"/>
      <c r="I56" s="51"/>
      <c r="J56" s="41">
        <f t="shared" si="40"/>
        <v>38</v>
      </c>
      <c r="K56" s="86" t="s">
        <v>131</v>
      </c>
      <c r="L56" s="88" t="s">
        <v>132</v>
      </c>
      <c r="M56" s="33">
        <v>50200</v>
      </c>
      <c r="N56" s="20">
        <f t="shared" si="44"/>
        <v>25100</v>
      </c>
      <c r="O56" s="20">
        <f t="shared" si="45"/>
        <v>12550</v>
      </c>
      <c r="P56" s="20">
        <f t="shared" si="46"/>
        <v>6275</v>
      </c>
      <c r="Q56" s="20">
        <f t="shared" si="47"/>
        <v>6275</v>
      </c>
      <c r="R56" s="20">
        <v>0</v>
      </c>
      <c r="S56" s="20">
        <f t="shared" si="41"/>
        <v>50200</v>
      </c>
      <c r="T56" s="20">
        <v>0</v>
      </c>
      <c r="U56" s="22">
        <v>26</v>
      </c>
      <c r="V56" s="22">
        <v>4</v>
      </c>
      <c r="W56" s="22">
        <v>0</v>
      </c>
      <c r="X56" s="22">
        <f t="shared" si="48"/>
        <v>30</v>
      </c>
      <c r="Y56" s="20">
        <f t="shared" si="38"/>
        <v>50200</v>
      </c>
      <c r="Z56" s="20">
        <v>0</v>
      </c>
      <c r="AA56" s="20">
        <f t="shared" si="49"/>
        <v>50200</v>
      </c>
      <c r="AB56" s="20">
        <f t="shared" si="39"/>
        <v>21753.333333333332</v>
      </c>
      <c r="AC56" s="20">
        <v>0</v>
      </c>
      <c r="AD56" s="20">
        <v>0</v>
      </c>
      <c r="AE56" s="20">
        <v>0</v>
      </c>
      <c r="AF56" s="20">
        <v>0</v>
      </c>
      <c r="AG56" s="20">
        <f t="shared" si="50"/>
        <v>200</v>
      </c>
      <c r="AH56" s="24"/>
      <c r="AI56" s="80">
        <v>0</v>
      </c>
      <c r="AJ56" s="24">
        <v>0</v>
      </c>
      <c r="AK56" s="24">
        <v>0</v>
      </c>
      <c r="AL56" s="24">
        <v>0</v>
      </c>
      <c r="AM56" s="25">
        <f t="shared" si="51"/>
        <v>0</v>
      </c>
      <c r="AN56" s="26">
        <f t="shared" si="52"/>
        <v>50000</v>
      </c>
      <c r="AO56" s="51"/>
      <c r="AP56" s="51"/>
      <c r="AQ56" s="165" t="s">
        <v>322</v>
      </c>
      <c r="AR56" s="51"/>
      <c r="AS56" s="51"/>
      <c r="AT56" s="51"/>
      <c r="AU56" s="58"/>
      <c r="AV56" s="53"/>
      <c r="AW56" s="54"/>
      <c r="AX56" s="51"/>
      <c r="AY56" s="51"/>
      <c r="AZ56" s="51"/>
      <c r="BA56" s="51"/>
      <c r="BC56" s="152">
        <f t="shared" si="53"/>
        <v>50200</v>
      </c>
    </row>
    <row r="57" spans="2:55" s="50" customFormat="1" ht="15.75" x14ac:dyDescent="0.25">
      <c r="B57" s="196"/>
      <c r="C57" s="103"/>
      <c r="D57" s="15">
        <v>50200</v>
      </c>
      <c r="E57" s="16" t="s">
        <v>135</v>
      </c>
      <c r="F57" s="104" t="s">
        <v>150</v>
      </c>
      <c r="G57" s="112">
        <v>44927</v>
      </c>
      <c r="H57" s="51"/>
      <c r="I57" s="51"/>
      <c r="J57" s="41">
        <f t="shared" si="40"/>
        <v>39</v>
      </c>
      <c r="K57" s="86" t="s">
        <v>131</v>
      </c>
      <c r="L57" s="88" t="s">
        <v>133</v>
      </c>
      <c r="M57" s="33">
        <v>50200</v>
      </c>
      <c r="N57" s="20">
        <f t="shared" si="44"/>
        <v>25100</v>
      </c>
      <c r="O57" s="20">
        <f t="shared" si="45"/>
        <v>12550</v>
      </c>
      <c r="P57" s="20">
        <f t="shared" si="46"/>
        <v>6275</v>
      </c>
      <c r="Q57" s="20">
        <f t="shared" si="47"/>
        <v>6275</v>
      </c>
      <c r="R57" s="20">
        <v>0</v>
      </c>
      <c r="S57" s="20">
        <f t="shared" si="41"/>
        <v>50200</v>
      </c>
      <c r="T57" s="20">
        <v>0</v>
      </c>
      <c r="U57" s="22">
        <v>26</v>
      </c>
      <c r="V57" s="22">
        <v>4</v>
      </c>
      <c r="W57" s="22">
        <v>0</v>
      </c>
      <c r="X57" s="22">
        <f t="shared" si="48"/>
        <v>30</v>
      </c>
      <c r="Y57" s="20">
        <f t="shared" si="38"/>
        <v>50200</v>
      </c>
      <c r="Z57" s="20">
        <v>0</v>
      </c>
      <c r="AA57" s="20">
        <f t="shared" si="49"/>
        <v>50200</v>
      </c>
      <c r="AB57" s="20">
        <f t="shared" si="39"/>
        <v>21753.333333333332</v>
      </c>
      <c r="AC57" s="20">
        <v>0</v>
      </c>
      <c r="AD57" s="20">
        <v>0</v>
      </c>
      <c r="AE57" s="20">
        <v>0</v>
      </c>
      <c r="AF57" s="20">
        <v>0</v>
      </c>
      <c r="AG57" s="20">
        <f t="shared" si="50"/>
        <v>200</v>
      </c>
      <c r="AH57" s="24"/>
      <c r="AI57" s="80">
        <v>0</v>
      </c>
      <c r="AJ57" s="24">
        <v>0</v>
      </c>
      <c r="AK57" s="24">
        <v>0</v>
      </c>
      <c r="AL57" s="24">
        <v>0</v>
      </c>
      <c r="AM57" s="25">
        <f t="shared" si="51"/>
        <v>0</v>
      </c>
      <c r="AN57" s="26">
        <f t="shared" si="52"/>
        <v>50000</v>
      </c>
      <c r="AO57" s="51"/>
      <c r="AP57" s="51"/>
      <c r="AQ57" s="51" t="s">
        <v>340</v>
      </c>
      <c r="AR57" s="51"/>
      <c r="AS57" s="51"/>
      <c r="AT57" s="51"/>
      <c r="AU57" s="58"/>
      <c r="AV57" s="53"/>
      <c r="AW57" s="54"/>
      <c r="AX57" s="51"/>
      <c r="AY57" s="51"/>
      <c r="AZ57" s="51"/>
      <c r="BA57" s="51"/>
      <c r="BC57" s="152">
        <f t="shared" si="53"/>
        <v>50200</v>
      </c>
    </row>
    <row r="58" spans="2:55" s="50" customFormat="1" ht="15.75" x14ac:dyDescent="0.25">
      <c r="B58" s="198">
        <v>30800</v>
      </c>
      <c r="C58" s="155">
        <v>28000</v>
      </c>
      <c r="D58" s="78">
        <v>22000</v>
      </c>
      <c r="E58" s="30" t="s">
        <v>71</v>
      </c>
      <c r="F58" s="104" t="s">
        <v>150</v>
      </c>
      <c r="G58" s="112">
        <v>44927</v>
      </c>
      <c r="H58" s="51"/>
      <c r="I58" s="51"/>
      <c r="J58" s="41">
        <f t="shared" si="40"/>
        <v>40</v>
      </c>
      <c r="K58" s="86" t="s">
        <v>131</v>
      </c>
      <c r="L58" s="91" t="s">
        <v>134</v>
      </c>
      <c r="M58" s="33">
        <v>30800</v>
      </c>
      <c r="N58" s="20">
        <f t="shared" si="44"/>
        <v>15500</v>
      </c>
      <c r="O58" s="20">
        <f t="shared" si="45"/>
        <v>7650</v>
      </c>
      <c r="P58" s="20">
        <f t="shared" si="46"/>
        <v>3825</v>
      </c>
      <c r="Q58" s="20">
        <f t="shared" si="47"/>
        <v>3825</v>
      </c>
      <c r="R58" s="20">
        <v>0</v>
      </c>
      <c r="S58" s="20">
        <f t="shared" si="41"/>
        <v>30800</v>
      </c>
      <c r="T58" s="20">
        <v>0</v>
      </c>
      <c r="U58" s="22">
        <v>26</v>
      </c>
      <c r="V58" s="22">
        <v>4</v>
      </c>
      <c r="W58" s="22">
        <v>0</v>
      </c>
      <c r="X58" s="22">
        <f t="shared" si="48"/>
        <v>30</v>
      </c>
      <c r="Y58" s="20">
        <f t="shared" si="38"/>
        <v>30800.000000000004</v>
      </c>
      <c r="Z58" s="20">
        <v>0</v>
      </c>
      <c r="AA58" s="20">
        <f t="shared" si="49"/>
        <v>30800.000000000004</v>
      </c>
      <c r="AB58" s="20">
        <f t="shared" si="39"/>
        <v>13433.333333333332</v>
      </c>
      <c r="AC58" s="20">
        <v>0</v>
      </c>
      <c r="AD58" s="20">
        <v>0</v>
      </c>
      <c r="AE58" s="20">
        <v>0</v>
      </c>
      <c r="AF58" s="20">
        <v>0</v>
      </c>
      <c r="AG58" s="20">
        <f t="shared" si="50"/>
        <v>200</v>
      </c>
      <c r="AH58" s="24"/>
      <c r="AI58" s="80">
        <v>0</v>
      </c>
      <c r="AJ58" s="24">
        <v>0</v>
      </c>
      <c r="AK58" s="24">
        <v>0</v>
      </c>
      <c r="AL58" s="24">
        <v>0</v>
      </c>
      <c r="AM58" s="25">
        <f t="shared" si="51"/>
        <v>0</v>
      </c>
      <c r="AN58" s="26">
        <f t="shared" si="52"/>
        <v>30600.000000000004</v>
      </c>
      <c r="AO58" s="56"/>
      <c r="AP58" s="56"/>
      <c r="AQ58" s="51" t="s">
        <v>343</v>
      </c>
      <c r="AR58" s="56"/>
      <c r="AS58" s="56"/>
      <c r="AT58" s="57"/>
      <c r="AU58" s="58"/>
      <c r="AV58" s="53"/>
      <c r="AW58" s="54"/>
      <c r="AX58" s="51"/>
      <c r="AY58" s="51"/>
      <c r="AZ58" s="51"/>
      <c r="BA58" s="51"/>
      <c r="BC58" s="152">
        <f t="shared" si="53"/>
        <v>30800.000000000004</v>
      </c>
    </row>
    <row r="59" spans="2:55" s="50" customFormat="1" ht="15.75" x14ac:dyDescent="0.25">
      <c r="B59" s="198">
        <v>49000</v>
      </c>
      <c r="C59" s="155">
        <v>40000</v>
      </c>
      <c r="D59" s="78">
        <v>30000</v>
      </c>
      <c r="E59" s="16" t="s">
        <v>114</v>
      </c>
      <c r="F59" s="104" t="s">
        <v>148</v>
      </c>
      <c r="G59" s="112">
        <v>44958</v>
      </c>
      <c r="H59" s="51"/>
      <c r="I59" s="51"/>
      <c r="J59" s="41">
        <f t="shared" si="40"/>
        <v>41</v>
      </c>
      <c r="K59" s="86" t="s">
        <v>137</v>
      </c>
      <c r="L59" s="91" t="s">
        <v>136</v>
      </c>
      <c r="M59" s="33">
        <v>49000</v>
      </c>
      <c r="N59" s="20">
        <f t="shared" si="44"/>
        <v>24500</v>
      </c>
      <c r="O59" s="20">
        <f t="shared" si="45"/>
        <v>12250</v>
      </c>
      <c r="P59" s="20">
        <f t="shared" si="46"/>
        <v>6125</v>
      </c>
      <c r="Q59" s="20">
        <f t="shared" si="47"/>
        <v>6125</v>
      </c>
      <c r="R59" s="20">
        <v>0</v>
      </c>
      <c r="S59" s="20">
        <f t="shared" si="41"/>
        <v>49000</v>
      </c>
      <c r="T59" s="20">
        <v>0</v>
      </c>
      <c r="U59" s="22">
        <v>26</v>
      </c>
      <c r="V59" s="22">
        <v>4</v>
      </c>
      <c r="W59" s="22">
        <v>0</v>
      </c>
      <c r="X59" s="22">
        <f t="shared" si="48"/>
        <v>30</v>
      </c>
      <c r="Y59" s="20">
        <f t="shared" si="38"/>
        <v>49000</v>
      </c>
      <c r="Z59" s="20">
        <v>0</v>
      </c>
      <c r="AA59" s="20">
        <f t="shared" si="49"/>
        <v>49000</v>
      </c>
      <c r="AB59" s="20">
        <f t="shared" si="39"/>
        <v>21233.333333333332</v>
      </c>
      <c r="AC59" s="20">
        <v>0</v>
      </c>
      <c r="AD59" s="20">
        <v>0</v>
      </c>
      <c r="AE59" s="20">
        <v>0</v>
      </c>
      <c r="AF59" s="79">
        <v>0</v>
      </c>
      <c r="AG59" s="20">
        <f t="shared" si="50"/>
        <v>200</v>
      </c>
      <c r="AH59" s="24"/>
      <c r="AI59" s="80">
        <v>0</v>
      </c>
      <c r="AJ59" s="24">
        <v>0</v>
      </c>
      <c r="AK59" s="24">
        <v>0</v>
      </c>
      <c r="AL59" s="24">
        <v>0</v>
      </c>
      <c r="AM59" s="23">
        <f t="shared" si="51"/>
        <v>0</v>
      </c>
      <c r="AN59" s="60">
        <f t="shared" si="52"/>
        <v>48800</v>
      </c>
      <c r="AO59" s="56"/>
      <c r="AP59" s="56"/>
      <c r="AQ59" s="51" t="s">
        <v>352</v>
      </c>
      <c r="AR59" s="56"/>
      <c r="AS59" s="56"/>
      <c r="AT59" s="57"/>
      <c r="AU59" s="58"/>
      <c r="AV59" s="53"/>
      <c r="AW59" s="54"/>
      <c r="AX59" s="51"/>
      <c r="AY59" s="51"/>
      <c r="AZ59" s="51"/>
      <c r="BA59" s="51"/>
      <c r="BC59" s="152">
        <f t="shared" si="53"/>
        <v>49000</v>
      </c>
    </row>
    <row r="60" spans="2:55" s="50" customFormat="1" ht="15.75" x14ac:dyDescent="0.25">
      <c r="B60" s="196">
        <v>23000</v>
      </c>
      <c r="C60" s="155">
        <v>0</v>
      </c>
      <c r="D60" s="78">
        <v>21500</v>
      </c>
      <c r="E60" s="30" t="s">
        <v>90</v>
      </c>
      <c r="F60" s="104" t="s">
        <v>150</v>
      </c>
      <c r="G60" s="112">
        <v>44986</v>
      </c>
      <c r="H60" s="51"/>
      <c r="I60" s="51"/>
      <c r="J60" s="41">
        <f t="shared" si="40"/>
        <v>42</v>
      </c>
      <c r="K60" s="86" t="s">
        <v>138</v>
      </c>
      <c r="L60" s="91" t="s">
        <v>139</v>
      </c>
      <c r="M60" s="33">
        <v>23000</v>
      </c>
      <c r="N60" s="20">
        <f t="shared" si="44"/>
        <v>15500</v>
      </c>
      <c r="O60" s="20">
        <f t="shared" si="45"/>
        <v>3750</v>
      </c>
      <c r="P60" s="20">
        <f t="shared" si="46"/>
        <v>1875</v>
      </c>
      <c r="Q60" s="20">
        <f t="shared" si="47"/>
        <v>1875</v>
      </c>
      <c r="R60" s="20">
        <v>0</v>
      </c>
      <c r="S60" s="20">
        <f t="shared" si="41"/>
        <v>23000</v>
      </c>
      <c r="T60" s="20">
        <v>0</v>
      </c>
      <c r="U60" s="22">
        <v>26</v>
      </c>
      <c r="V60" s="22">
        <v>4</v>
      </c>
      <c r="W60" s="22">
        <v>0</v>
      </c>
      <c r="X60" s="22">
        <f t="shared" si="48"/>
        <v>30</v>
      </c>
      <c r="Y60" s="20">
        <f t="shared" si="38"/>
        <v>23000</v>
      </c>
      <c r="Z60" s="20">
        <v>0</v>
      </c>
      <c r="AA60" s="20">
        <f t="shared" si="49"/>
        <v>23000</v>
      </c>
      <c r="AB60" s="20">
        <f t="shared" si="39"/>
        <v>13433.333333333332</v>
      </c>
      <c r="AC60" s="20">
        <v>0</v>
      </c>
      <c r="AD60" s="20">
        <v>0</v>
      </c>
      <c r="AE60" s="20">
        <v>0</v>
      </c>
      <c r="AF60" s="20">
        <v>0</v>
      </c>
      <c r="AG60" s="20">
        <f t="shared" si="50"/>
        <v>200</v>
      </c>
      <c r="AH60" s="24"/>
      <c r="AI60" s="80">
        <v>0</v>
      </c>
      <c r="AJ60" s="24">
        <v>0</v>
      </c>
      <c r="AK60" s="24">
        <v>0</v>
      </c>
      <c r="AL60" s="24">
        <v>0</v>
      </c>
      <c r="AM60" s="25">
        <f t="shared" si="51"/>
        <v>0</v>
      </c>
      <c r="AN60" s="26">
        <f t="shared" si="52"/>
        <v>22800</v>
      </c>
      <c r="AO60" s="56"/>
      <c r="AP60" s="56"/>
      <c r="AQ60" s="51" t="s">
        <v>363</v>
      </c>
      <c r="AR60" s="56"/>
      <c r="AS60" s="56"/>
      <c r="AT60" s="57"/>
      <c r="AU60" s="58"/>
      <c r="AV60" s="53"/>
      <c r="AW60" s="54"/>
      <c r="AX60" s="51"/>
      <c r="AY60" s="51"/>
      <c r="AZ60" s="51"/>
      <c r="BA60" s="51"/>
      <c r="BC60" s="152">
        <f t="shared" si="53"/>
        <v>23000</v>
      </c>
    </row>
    <row r="61" spans="2:55" s="50" customFormat="1" ht="15.75" x14ac:dyDescent="0.25">
      <c r="B61" s="198">
        <v>42000</v>
      </c>
      <c r="C61" s="155">
        <v>35000</v>
      </c>
      <c r="D61" s="78">
        <v>30000</v>
      </c>
      <c r="E61" s="30" t="s">
        <v>421</v>
      </c>
      <c r="F61" s="104" t="s">
        <v>145</v>
      </c>
      <c r="G61" s="112">
        <v>45017</v>
      </c>
      <c r="H61" s="51"/>
      <c r="I61" s="51"/>
      <c r="J61" s="41">
        <f t="shared" si="40"/>
        <v>43</v>
      </c>
      <c r="K61" s="86" t="s">
        <v>143</v>
      </c>
      <c r="L61" s="91" t="s">
        <v>141</v>
      </c>
      <c r="M61" s="33">
        <v>42000</v>
      </c>
      <c r="N61" s="20">
        <f t="shared" si="44"/>
        <v>21000</v>
      </c>
      <c r="O61" s="20">
        <f t="shared" si="45"/>
        <v>10500</v>
      </c>
      <c r="P61" s="20">
        <f t="shared" si="46"/>
        <v>5250</v>
      </c>
      <c r="Q61" s="20">
        <f t="shared" si="47"/>
        <v>5250</v>
      </c>
      <c r="R61" s="20">
        <v>0</v>
      </c>
      <c r="S61" s="20">
        <f t="shared" si="41"/>
        <v>42000</v>
      </c>
      <c r="T61" s="20">
        <v>0</v>
      </c>
      <c r="U61" s="22">
        <v>26</v>
      </c>
      <c r="V61" s="22">
        <v>4</v>
      </c>
      <c r="W61" s="22">
        <v>0</v>
      </c>
      <c r="X61" s="22">
        <f t="shared" si="48"/>
        <v>30</v>
      </c>
      <c r="Y61" s="20">
        <f t="shared" si="38"/>
        <v>42000</v>
      </c>
      <c r="Z61" s="20">
        <v>0</v>
      </c>
      <c r="AA61" s="20">
        <f t="shared" si="49"/>
        <v>42000</v>
      </c>
      <c r="AB61" s="20">
        <f t="shared" si="39"/>
        <v>18200</v>
      </c>
      <c r="AC61" s="20">
        <v>0</v>
      </c>
      <c r="AD61" s="20">
        <v>0</v>
      </c>
      <c r="AE61" s="20">
        <v>0</v>
      </c>
      <c r="AF61" s="20">
        <v>0</v>
      </c>
      <c r="AG61" s="20">
        <f t="shared" si="50"/>
        <v>200</v>
      </c>
      <c r="AH61" s="24"/>
      <c r="AI61" s="80">
        <v>0</v>
      </c>
      <c r="AJ61" s="24">
        <v>0</v>
      </c>
      <c r="AK61" s="24">
        <v>0</v>
      </c>
      <c r="AL61" s="24">
        <v>0</v>
      </c>
      <c r="AM61" s="25">
        <f t="shared" si="51"/>
        <v>0</v>
      </c>
      <c r="AN61" s="26">
        <f t="shared" si="52"/>
        <v>41800</v>
      </c>
      <c r="AO61" s="56"/>
      <c r="AP61" s="56"/>
      <c r="AQ61" s="51" t="s">
        <v>366</v>
      </c>
      <c r="AR61" s="56"/>
      <c r="AS61" s="56"/>
      <c r="AT61" s="57"/>
      <c r="AU61" s="58"/>
      <c r="AV61" s="53"/>
      <c r="AW61" s="54"/>
      <c r="AX61" s="51"/>
      <c r="AY61" s="51"/>
      <c r="AZ61" s="51"/>
      <c r="BA61" s="51"/>
      <c r="BC61" s="152">
        <f t="shared" si="53"/>
        <v>42000</v>
      </c>
    </row>
    <row r="62" spans="2:55" s="50" customFormat="1" ht="15.75" x14ac:dyDescent="0.25">
      <c r="B62" s="196"/>
      <c r="C62" s="103"/>
      <c r="D62" s="15">
        <v>100000</v>
      </c>
      <c r="E62" s="16" t="s">
        <v>135</v>
      </c>
      <c r="F62" s="113" t="s">
        <v>238</v>
      </c>
      <c r="G62" s="112">
        <v>45017</v>
      </c>
      <c r="H62" s="51"/>
      <c r="I62" s="51"/>
      <c r="J62" s="41">
        <f t="shared" si="40"/>
        <v>44</v>
      </c>
      <c r="K62" s="86" t="s">
        <v>143</v>
      </c>
      <c r="L62" s="52" t="s">
        <v>142</v>
      </c>
      <c r="M62" s="33">
        <v>100200</v>
      </c>
      <c r="N62" s="20">
        <f t="shared" si="44"/>
        <v>50100</v>
      </c>
      <c r="O62" s="20">
        <f t="shared" si="45"/>
        <v>25050</v>
      </c>
      <c r="P62" s="20">
        <f t="shared" si="46"/>
        <v>12525</v>
      </c>
      <c r="Q62" s="20">
        <f t="shared" si="47"/>
        <v>12525</v>
      </c>
      <c r="R62" s="20">
        <v>0</v>
      </c>
      <c r="S62" s="20">
        <f t="shared" si="41"/>
        <v>100200</v>
      </c>
      <c r="T62" s="20">
        <v>0</v>
      </c>
      <c r="U62" s="22">
        <v>26</v>
      </c>
      <c r="V62" s="22">
        <v>4</v>
      </c>
      <c r="W62" s="22">
        <v>0</v>
      </c>
      <c r="X62" s="22">
        <f t="shared" si="48"/>
        <v>30</v>
      </c>
      <c r="Y62" s="20">
        <f t="shared" si="38"/>
        <v>100200</v>
      </c>
      <c r="Z62" s="20">
        <v>0</v>
      </c>
      <c r="AA62" s="20">
        <f t="shared" si="49"/>
        <v>100200</v>
      </c>
      <c r="AB62" s="20">
        <f t="shared" si="39"/>
        <v>43420</v>
      </c>
      <c r="AC62" s="20">
        <v>0</v>
      </c>
      <c r="AD62" s="20">
        <v>0</v>
      </c>
      <c r="AE62" s="20">
        <v>0</v>
      </c>
      <c r="AF62" s="20">
        <v>0</v>
      </c>
      <c r="AG62" s="20">
        <f t="shared" si="50"/>
        <v>200</v>
      </c>
      <c r="AH62" s="24">
        <v>0</v>
      </c>
      <c r="AI62" s="80">
        <v>0</v>
      </c>
      <c r="AJ62" s="24">
        <v>0</v>
      </c>
      <c r="AK62" s="24">
        <v>0</v>
      </c>
      <c r="AL62" s="24">
        <v>0</v>
      </c>
      <c r="AM62" s="25">
        <f t="shared" si="51"/>
        <v>0</v>
      </c>
      <c r="AN62" s="26">
        <f t="shared" si="52"/>
        <v>100000</v>
      </c>
      <c r="AO62" s="51"/>
      <c r="AP62" s="51"/>
      <c r="AQ62" s="51" t="s">
        <v>293</v>
      </c>
      <c r="AR62" s="51"/>
      <c r="AS62" s="51"/>
      <c r="AT62" s="51"/>
      <c r="AU62" s="58"/>
      <c r="AV62" s="53"/>
      <c r="AW62" s="54"/>
      <c r="AX62" s="51"/>
      <c r="AY62" s="51"/>
      <c r="AZ62" s="51"/>
      <c r="BA62" s="51"/>
      <c r="BC62" s="152">
        <f t="shared" si="53"/>
        <v>100200</v>
      </c>
    </row>
    <row r="63" spans="2:55" s="50" customFormat="1" ht="15.75" x14ac:dyDescent="0.25">
      <c r="B63" s="198">
        <v>38500</v>
      </c>
      <c r="C63" s="155">
        <v>0</v>
      </c>
      <c r="D63" s="78">
        <v>35000</v>
      </c>
      <c r="E63" s="16" t="s">
        <v>114</v>
      </c>
      <c r="F63" s="104" t="s">
        <v>146</v>
      </c>
      <c r="G63" s="112">
        <v>45047</v>
      </c>
      <c r="H63" s="51"/>
      <c r="I63" s="51"/>
      <c r="J63" s="41">
        <f t="shared" si="40"/>
        <v>45</v>
      </c>
      <c r="K63" s="86" t="s">
        <v>172</v>
      </c>
      <c r="L63" s="52" t="s">
        <v>166</v>
      </c>
      <c r="M63" s="33">
        <v>38500</v>
      </c>
      <c r="N63" s="20">
        <f t="shared" si="44"/>
        <v>19250</v>
      </c>
      <c r="O63" s="20">
        <f t="shared" si="45"/>
        <v>9625</v>
      </c>
      <c r="P63" s="20">
        <f t="shared" si="46"/>
        <v>4813</v>
      </c>
      <c r="Q63" s="20">
        <f t="shared" si="47"/>
        <v>4813</v>
      </c>
      <c r="R63" s="20">
        <v>0</v>
      </c>
      <c r="S63" s="20">
        <f t="shared" si="41"/>
        <v>38501</v>
      </c>
      <c r="T63" s="20">
        <v>0</v>
      </c>
      <c r="U63" s="22">
        <v>24</v>
      </c>
      <c r="V63" s="22">
        <v>3</v>
      </c>
      <c r="W63" s="22">
        <v>0</v>
      </c>
      <c r="X63" s="22">
        <f t="shared" si="48"/>
        <v>27</v>
      </c>
      <c r="Y63" s="20">
        <f t="shared" si="38"/>
        <v>34650</v>
      </c>
      <c r="Z63" s="20">
        <v>0</v>
      </c>
      <c r="AA63" s="20">
        <f t="shared" si="49"/>
        <v>34650</v>
      </c>
      <c r="AB63" s="20">
        <f t="shared" si="39"/>
        <v>15400</v>
      </c>
      <c r="AC63" s="20">
        <v>0</v>
      </c>
      <c r="AD63" s="20">
        <v>0</v>
      </c>
      <c r="AE63" s="20">
        <v>0</v>
      </c>
      <c r="AF63" s="79">
        <v>0</v>
      </c>
      <c r="AG63" s="20">
        <f t="shared" si="50"/>
        <v>200</v>
      </c>
      <c r="AH63" s="24"/>
      <c r="AI63" s="80">
        <v>0</v>
      </c>
      <c r="AJ63" s="24">
        <v>0</v>
      </c>
      <c r="AK63" s="24">
        <v>0</v>
      </c>
      <c r="AL63" s="24">
        <v>0</v>
      </c>
      <c r="AM63" s="23">
        <f t="shared" si="51"/>
        <v>0</v>
      </c>
      <c r="AN63" s="60">
        <f t="shared" si="52"/>
        <v>34450</v>
      </c>
      <c r="AO63" s="56"/>
      <c r="AP63" s="56"/>
      <c r="AQ63" s="51" t="s">
        <v>336</v>
      </c>
      <c r="AR63" s="56"/>
      <c r="AS63" s="56"/>
      <c r="AT63" s="57"/>
      <c r="AU63" s="58"/>
      <c r="AV63" s="53"/>
      <c r="AW63" s="54"/>
      <c r="AX63" s="51"/>
      <c r="AY63" s="51"/>
      <c r="AZ63" s="51"/>
      <c r="BA63" s="51"/>
      <c r="BC63" s="152">
        <f t="shared" si="53"/>
        <v>34650</v>
      </c>
    </row>
    <row r="64" spans="2:55" s="50" customFormat="1" ht="15.75" x14ac:dyDescent="0.25">
      <c r="B64" s="196">
        <v>33000</v>
      </c>
      <c r="C64" s="198">
        <v>30000</v>
      </c>
      <c r="D64" s="15">
        <v>24000</v>
      </c>
      <c r="E64" s="16" t="s">
        <v>438</v>
      </c>
      <c r="F64" s="104" t="s">
        <v>164</v>
      </c>
      <c r="G64" s="112">
        <v>45047</v>
      </c>
      <c r="H64" s="51"/>
      <c r="I64" s="51"/>
      <c r="J64" s="41">
        <f t="shared" si="40"/>
        <v>46</v>
      </c>
      <c r="K64" s="86" t="s">
        <v>172</v>
      </c>
      <c r="L64" s="52" t="s">
        <v>170</v>
      </c>
      <c r="M64" s="33">
        <v>33000</v>
      </c>
      <c r="N64" s="20">
        <f t="shared" si="44"/>
        <v>16500</v>
      </c>
      <c r="O64" s="20">
        <f t="shared" si="45"/>
        <v>8250</v>
      </c>
      <c r="P64" s="20">
        <f t="shared" si="46"/>
        <v>4125</v>
      </c>
      <c r="Q64" s="20">
        <f t="shared" si="47"/>
        <v>4125</v>
      </c>
      <c r="R64" s="20">
        <v>0</v>
      </c>
      <c r="S64" s="20">
        <f t="shared" si="41"/>
        <v>33000</v>
      </c>
      <c r="T64" s="20">
        <v>0</v>
      </c>
      <c r="U64" s="22">
        <v>26</v>
      </c>
      <c r="V64" s="22">
        <v>4</v>
      </c>
      <c r="W64" s="22">
        <v>0</v>
      </c>
      <c r="X64" s="22">
        <f t="shared" si="48"/>
        <v>30</v>
      </c>
      <c r="Y64" s="20">
        <f t="shared" si="38"/>
        <v>33000</v>
      </c>
      <c r="Z64" s="42">
        <v>2000</v>
      </c>
      <c r="AA64" s="20">
        <f t="shared" si="49"/>
        <v>35000</v>
      </c>
      <c r="AB64" s="20">
        <f t="shared" si="39"/>
        <v>14300</v>
      </c>
      <c r="AC64" s="20">
        <v>0</v>
      </c>
      <c r="AD64" s="20">
        <v>0</v>
      </c>
      <c r="AE64" s="20">
        <v>0</v>
      </c>
      <c r="AF64" s="20">
        <v>0</v>
      </c>
      <c r="AG64" s="20">
        <f t="shared" si="50"/>
        <v>200</v>
      </c>
      <c r="AH64" s="24"/>
      <c r="AI64" s="80">
        <v>0</v>
      </c>
      <c r="AJ64" s="24">
        <v>0</v>
      </c>
      <c r="AK64" s="24">
        <v>0</v>
      </c>
      <c r="AL64" s="24">
        <v>0</v>
      </c>
      <c r="AM64" s="25">
        <f t="shared" si="51"/>
        <v>0</v>
      </c>
      <c r="AN64" s="26">
        <f t="shared" si="52"/>
        <v>34800</v>
      </c>
      <c r="AO64" s="56"/>
      <c r="AP64" s="56"/>
      <c r="AQ64" s="170" t="s">
        <v>313</v>
      </c>
      <c r="AR64" s="56"/>
      <c r="AS64" s="56"/>
      <c r="AT64" s="57"/>
      <c r="AU64" s="58"/>
      <c r="AV64" s="53"/>
      <c r="AW64" s="54"/>
      <c r="AX64" s="51"/>
      <c r="AY64" s="51"/>
      <c r="AZ64" s="51"/>
      <c r="BA64" s="51"/>
      <c r="BC64" s="153">
        <f t="shared" si="53"/>
        <v>35000</v>
      </c>
    </row>
    <row r="65" spans="2:56" s="50" customFormat="1" ht="15.75" x14ac:dyDescent="0.25">
      <c r="B65" s="196">
        <v>33000</v>
      </c>
      <c r="C65" s="198">
        <v>30000</v>
      </c>
      <c r="D65" s="15">
        <v>24000</v>
      </c>
      <c r="E65" s="16" t="s">
        <v>438</v>
      </c>
      <c r="F65" s="104" t="s">
        <v>164</v>
      </c>
      <c r="G65" s="112">
        <v>45047</v>
      </c>
      <c r="H65" s="51"/>
      <c r="I65" s="51"/>
      <c r="J65" s="41">
        <f t="shared" si="40"/>
        <v>47</v>
      </c>
      <c r="K65" s="86" t="s">
        <v>172</v>
      </c>
      <c r="L65" s="52" t="s">
        <v>171</v>
      </c>
      <c r="M65" s="33">
        <v>33000</v>
      </c>
      <c r="N65" s="20">
        <f t="shared" si="44"/>
        <v>16500</v>
      </c>
      <c r="O65" s="20">
        <f t="shared" si="45"/>
        <v>8250</v>
      </c>
      <c r="P65" s="20">
        <f t="shared" si="46"/>
        <v>4125</v>
      </c>
      <c r="Q65" s="20">
        <f t="shared" si="47"/>
        <v>4125</v>
      </c>
      <c r="R65" s="20">
        <v>0</v>
      </c>
      <c r="S65" s="20">
        <f t="shared" si="41"/>
        <v>33000</v>
      </c>
      <c r="T65" s="20">
        <v>0</v>
      </c>
      <c r="U65" s="22">
        <v>26</v>
      </c>
      <c r="V65" s="22">
        <v>4</v>
      </c>
      <c r="W65" s="22">
        <v>0</v>
      </c>
      <c r="X65" s="22">
        <f t="shared" si="48"/>
        <v>30</v>
      </c>
      <c r="Y65" s="20">
        <f t="shared" si="38"/>
        <v>33000</v>
      </c>
      <c r="Z65" s="42">
        <v>2000</v>
      </c>
      <c r="AA65" s="20">
        <f t="shared" si="49"/>
        <v>35000</v>
      </c>
      <c r="AB65" s="20">
        <f t="shared" si="39"/>
        <v>14300</v>
      </c>
      <c r="AC65" s="20">
        <v>0</v>
      </c>
      <c r="AD65" s="20">
        <v>0</v>
      </c>
      <c r="AE65" s="20">
        <v>0</v>
      </c>
      <c r="AF65" s="20">
        <v>0</v>
      </c>
      <c r="AG65" s="20">
        <f t="shared" si="50"/>
        <v>200</v>
      </c>
      <c r="AH65" s="24"/>
      <c r="AI65" s="80">
        <v>0</v>
      </c>
      <c r="AJ65" s="24">
        <v>0</v>
      </c>
      <c r="AK65" s="24">
        <v>0</v>
      </c>
      <c r="AL65" s="24">
        <v>0</v>
      </c>
      <c r="AM65" s="25">
        <f t="shared" si="51"/>
        <v>0</v>
      </c>
      <c r="AN65" s="26">
        <f t="shared" si="52"/>
        <v>34800</v>
      </c>
      <c r="AO65" s="56"/>
      <c r="AP65" s="56"/>
      <c r="AQ65" s="170" t="s">
        <v>314</v>
      </c>
      <c r="AR65" s="56"/>
      <c r="AS65" s="56"/>
      <c r="AT65" s="57"/>
      <c r="AU65" s="58"/>
      <c r="AV65" s="53"/>
      <c r="AW65" s="54"/>
      <c r="AX65" s="51"/>
      <c r="AY65" s="51"/>
      <c r="AZ65" s="51"/>
      <c r="BA65" s="51"/>
      <c r="BC65" s="153">
        <f t="shared" si="53"/>
        <v>35000</v>
      </c>
    </row>
    <row r="66" spans="2:56" s="50" customFormat="1" ht="15.75" x14ac:dyDescent="0.25">
      <c r="B66" s="201">
        <v>25000</v>
      </c>
      <c r="C66" s="198">
        <v>21780</v>
      </c>
      <c r="D66" s="140">
        <v>19800</v>
      </c>
      <c r="E66" s="16" t="s">
        <v>438</v>
      </c>
      <c r="F66" s="104" t="s">
        <v>165</v>
      </c>
      <c r="G66" s="112">
        <v>45047</v>
      </c>
      <c r="H66" s="51"/>
      <c r="I66" s="51"/>
      <c r="J66" s="41">
        <f t="shared" si="40"/>
        <v>48</v>
      </c>
      <c r="K66" s="86" t="s">
        <v>172</v>
      </c>
      <c r="L66" s="52" t="s">
        <v>163</v>
      </c>
      <c r="M66" s="33">
        <v>25000</v>
      </c>
      <c r="N66" s="20">
        <f t="shared" si="44"/>
        <v>15500</v>
      </c>
      <c r="O66" s="20">
        <f t="shared" si="45"/>
        <v>4750</v>
      </c>
      <c r="P66" s="20">
        <f t="shared" si="46"/>
        <v>2375</v>
      </c>
      <c r="Q66" s="20">
        <f t="shared" si="47"/>
        <v>2375</v>
      </c>
      <c r="R66" s="20">
        <v>0</v>
      </c>
      <c r="S66" s="20">
        <f t="shared" si="41"/>
        <v>25000</v>
      </c>
      <c r="T66" s="20">
        <v>0</v>
      </c>
      <c r="U66" s="22">
        <v>24</v>
      </c>
      <c r="V66" s="22">
        <v>3</v>
      </c>
      <c r="W66" s="22">
        <v>0.5</v>
      </c>
      <c r="X66" s="22">
        <f t="shared" si="48"/>
        <v>27.5</v>
      </c>
      <c r="Y66" s="20">
        <f t="shared" si="38"/>
        <v>22916.666666666668</v>
      </c>
      <c r="Z66" s="42">
        <v>0</v>
      </c>
      <c r="AA66" s="20">
        <f t="shared" si="49"/>
        <v>22916.666666666668</v>
      </c>
      <c r="AB66" s="20">
        <f t="shared" si="39"/>
        <v>12400</v>
      </c>
      <c r="AC66" s="20">
        <v>0</v>
      </c>
      <c r="AD66" s="20">
        <v>0</v>
      </c>
      <c r="AE66" s="20">
        <v>0</v>
      </c>
      <c r="AF66" s="20">
        <v>0</v>
      </c>
      <c r="AG66" s="20">
        <f t="shared" si="50"/>
        <v>200</v>
      </c>
      <c r="AH66" s="24">
        <v>0</v>
      </c>
      <c r="AI66" s="80">
        <v>0</v>
      </c>
      <c r="AJ66" s="24">
        <v>0</v>
      </c>
      <c r="AK66" s="24">
        <v>0</v>
      </c>
      <c r="AL66" s="24">
        <v>0</v>
      </c>
      <c r="AM66" s="25">
        <f t="shared" si="51"/>
        <v>0</v>
      </c>
      <c r="AN66" s="26">
        <f t="shared" si="52"/>
        <v>22716.666666666668</v>
      </c>
      <c r="AO66" s="56"/>
      <c r="AP66" s="56"/>
      <c r="AQ66" s="4" t="s">
        <v>309</v>
      </c>
      <c r="AR66" s="56"/>
      <c r="AS66" s="56"/>
      <c r="AT66" s="57"/>
      <c r="AU66" s="58"/>
      <c r="AV66" s="53"/>
      <c r="AW66" s="54"/>
      <c r="AX66" s="51"/>
      <c r="AY66" s="51"/>
      <c r="AZ66" s="51"/>
      <c r="BA66" s="51"/>
      <c r="BC66" s="152">
        <f t="shared" si="53"/>
        <v>22916.666666666668</v>
      </c>
    </row>
    <row r="67" spans="2:56" s="50" customFormat="1" ht="15.75" x14ac:dyDescent="0.25">
      <c r="B67" s="196">
        <v>23000</v>
      </c>
      <c r="C67" s="198">
        <v>20000</v>
      </c>
      <c r="D67" s="140">
        <v>17500</v>
      </c>
      <c r="E67" s="16" t="s">
        <v>438</v>
      </c>
      <c r="F67" s="104" t="s">
        <v>159</v>
      </c>
      <c r="G67" s="112">
        <v>45047</v>
      </c>
      <c r="H67" s="51"/>
      <c r="I67" s="51"/>
      <c r="J67" s="41">
        <f t="shared" si="40"/>
        <v>49</v>
      </c>
      <c r="K67" s="86" t="s">
        <v>172</v>
      </c>
      <c r="L67" s="52" t="s">
        <v>167</v>
      </c>
      <c r="M67" s="33">
        <v>23000</v>
      </c>
      <c r="N67" s="20">
        <f t="shared" si="44"/>
        <v>15500</v>
      </c>
      <c r="O67" s="20">
        <f t="shared" si="45"/>
        <v>3750</v>
      </c>
      <c r="P67" s="20">
        <f t="shared" si="46"/>
        <v>1875</v>
      </c>
      <c r="Q67" s="20">
        <f t="shared" si="47"/>
        <v>1875</v>
      </c>
      <c r="R67" s="20">
        <v>0</v>
      </c>
      <c r="S67" s="20">
        <f t="shared" si="41"/>
        <v>23000</v>
      </c>
      <c r="T67" s="20">
        <v>0</v>
      </c>
      <c r="U67" s="22">
        <v>26</v>
      </c>
      <c r="V67" s="22">
        <v>4</v>
      </c>
      <c r="W67" s="22">
        <v>0</v>
      </c>
      <c r="X67" s="22">
        <f t="shared" si="48"/>
        <v>30</v>
      </c>
      <c r="Y67" s="20">
        <f t="shared" si="38"/>
        <v>23000</v>
      </c>
      <c r="Z67" s="42">
        <v>937</v>
      </c>
      <c r="AA67" s="20">
        <f t="shared" si="49"/>
        <v>23937</v>
      </c>
      <c r="AB67" s="20">
        <f t="shared" si="39"/>
        <v>13433.333333333332</v>
      </c>
      <c r="AC67" s="20">
        <v>0</v>
      </c>
      <c r="AD67" s="20">
        <v>0</v>
      </c>
      <c r="AE67" s="20">
        <v>0</v>
      </c>
      <c r="AF67" s="20">
        <v>0</v>
      </c>
      <c r="AG67" s="20">
        <f t="shared" si="50"/>
        <v>200</v>
      </c>
      <c r="AH67" s="24">
        <v>0</v>
      </c>
      <c r="AI67" s="80">
        <v>0</v>
      </c>
      <c r="AJ67" s="24">
        <v>0</v>
      </c>
      <c r="AK67" s="24">
        <v>0</v>
      </c>
      <c r="AL67" s="24">
        <v>0</v>
      </c>
      <c r="AM67" s="25">
        <f t="shared" si="51"/>
        <v>0</v>
      </c>
      <c r="AN67" s="26">
        <f t="shared" si="52"/>
        <v>23737</v>
      </c>
      <c r="AO67" s="56"/>
      <c r="AP67" s="56"/>
      <c r="AQ67" s="170" t="s">
        <v>302</v>
      </c>
      <c r="AR67" s="56"/>
      <c r="AS67" s="56"/>
      <c r="AT67" s="57"/>
      <c r="AU67" s="58"/>
      <c r="AV67" s="53"/>
      <c r="AW67" s="54"/>
      <c r="AX67" s="51"/>
      <c r="AY67" s="51"/>
      <c r="AZ67" s="51"/>
      <c r="BA67" s="51"/>
      <c r="BC67" s="152">
        <f t="shared" si="53"/>
        <v>23937</v>
      </c>
    </row>
    <row r="68" spans="2:56" ht="18" customHeight="1" x14ac:dyDescent="0.25">
      <c r="B68" s="196"/>
      <c r="C68" s="103">
        <v>0</v>
      </c>
      <c r="D68" s="15">
        <v>55200</v>
      </c>
      <c r="E68" s="16" t="s">
        <v>135</v>
      </c>
      <c r="F68" s="104" t="s">
        <v>150</v>
      </c>
      <c r="G68" s="112">
        <v>44896</v>
      </c>
      <c r="H68" s="51"/>
      <c r="I68" s="51"/>
      <c r="J68" s="41">
        <f t="shared" si="40"/>
        <v>50</v>
      </c>
      <c r="K68" s="86" t="s">
        <v>122</v>
      </c>
      <c r="L68" s="88" t="s">
        <v>125</v>
      </c>
      <c r="M68" s="33">
        <v>55200</v>
      </c>
      <c r="N68" s="20">
        <f>ROUND(IF((M68*50%)&lt;15500,15500,(M68*50/100)),)</f>
        <v>27600</v>
      </c>
      <c r="O68" s="20">
        <f>ROUND((M68-N68)/2,)</f>
        <v>13800</v>
      </c>
      <c r="P68" s="20">
        <f>ROUND(O68*50%,)</f>
        <v>6900</v>
      </c>
      <c r="Q68" s="20">
        <f>ROUND(O68*50/100,)</f>
        <v>6900</v>
      </c>
      <c r="R68" s="20">
        <v>0</v>
      </c>
      <c r="S68" s="20">
        <f>N68+O68+P68+Q68+R68</f>
        <v>55200</v>
      </c>
      <c r="T68" s="20">
        <v>0</v>
      </c>
      <c r="U68" s="22">
        <v>26</v>
      </c>
      <c r="V68" s="22">
        <v>4</v>
      </c>
      <c r="W68" s="22">
        <v>0</v>
      </c>
      <c r="X68" s="22">
        <f>+U68+V68+W68</f>
        <v>30</v>
      </c>
      <c r="Y68" s="20">
        <f t="shared" si="38"/>
        <v>55200</v>
      </c>
      <c r="Z68" s="42">
        <v>0</v>
      </c>
      <c r="AA68" s="20">
        <f>+Y68+Z68</f>
        <v>55200</v>
      </c>
      <c r="AB68" s="20">
        <f t="shared" si="39"/>
        <v>23920</v>
      </c>
      <c r="AC68" s="42">
        <v>0</v>
      </c>
      <c r="AD68" s="42">
        <v>0</v>
      </c>
      <c r="AE68" s="42">
        <v>0</v>
      </c>
      <c r="AF68" s="42">
        <v>0</v>
      </c>
      <c r="AG68" s="20">
        <f>IF(AA68&gt;=12000,200,IF(AA68&gt;=9000,150,IF(AA68&gt;=6000,80,IF(AA68&gt;=3000,0,0))))</f>
        <v>200</v>
      </c>
      <c r="AH68" s="24"/>
      <c r="AI68" s="80">
        <v>0</v>
      </c>
      <c r="AJ68" s="24">
        <v>0</v>
      </c>
      <c r="AK68" s="24">
        <v>0</v>
      </c>
      <c r="AL68" s="24">
        <v>0</v>
      </c>
      <c r="AM68" s="23">
        <f>SUM(AI68:AL68)</f>
        <v>0</v>
      </c>
      <c r="AN68" s="60">
        <f>+AA68-(AC68+AE68+AG68+AH68+AI68+AJ68+AK68+AL68)</f>
        <v>55000</v>
      </c>
      <c r="AO68" s="51"/>
      <c r="AP68" s="51"/>
      <c r="AQ68" s="173" t="s">
        <v>399</v>
      </c>
      <c r="AR68" s="51"/>
      <c r="AS68" s="51"/>
      <c r="AT68" s="51"/>
      <c r="AU68" s="58"/>
      <c r="AV68" s="53"/>
      <c r="AW68" s="54"/>
      <c r="AX68" s="51"/>
      <c r="AY68" s="51"/>
      <c r="AZ68" s="142"/>
      <c r="BA68" s="51"/>
      <c r="BB68" s="50"/>
      <c r="BC68" s="152">
        <f>AC68+AE68+AG68+AN68</f>
        <v>55200</v>
      </c>
      <c r="BD68" s="32"/>
    </row>
    <row r="69" spans="2:56" s="50" customFormat="1" ht="15.75" x14ac:dyDescent="0.25">
      <c r="B69" s="162"/>
      <c r="C69" s="198">
        <v>0</v>
      </c>
      <c r="D69" s="140">
        <v>5000</v>
      </c>
      <c r="E69" s="16" t="s">
        <v>438</v>
      </c>
      <c r="F69" s="104" t="s">
        <v>159</v>
      </c>
      <c r="G69" s="112">
        <v>45047</v>
      </c>
      <c r="H69" s="51"/>
      <c r="I69" s="51"/>
      <c r="J69" s="41">
        <f t="shared" si="40"/>
        <v>51</v>
      </c>
      <c r="K69" s="86" t="s">
        <v>172</v>
      </c>
      <c r="L69" s="84" t="s">
        <v>169</v>
      </c>
      <c r="M69" s="33">
        <v>30000</v>
      </c>
      <c r="N69" s="20">
        <f t="shared" ref="N69:N75" si="54">ROUND(IF((M69*50%)&lt;15500,15500,(M69*50/100)),)</f>
        <v>15500</v>
      </c>
      <c r="O69" s="20">
        <f t="shared" ref="O69:O75" si="55">ROUND((M69-N69)/2,)</f>
        <v>7250</v>
      </c>
      <c r="P69" s="20">
        <f t="shared" ref="P69:P75" si="56">ROUND(O69*50%,)</f>
        <v>3625</v>
      </c>
      <c r="Q69" s="20">
        <f t="shared" ref="Q69:Q75" si="57">ROUND(O69*50/100,)</f>
        <v>3625</v>
      </c>
      <c r="R69" s="20">
        <v>0</v>
      </c>
      <c r="S69" s="20">
        <f t="shared" ref="S69:S75" si="58">N69+O69+P69+Q69+R69</f>
        <v>30000</v>
      </c>
      <c r="T69" s="20">
        <v>0</v>
      </c>
      <c r="U69" s="22">
        <v>5</v>
      </c>
      <c r="V69" s="22">
        <v>0</v>
      </c>
      <c r="W69" s="22">
        <v>0</v>
      </c>
      <c r="X69" s="22">
        <f t="shared" ref="X69:X75" si="59">+U69+V69+W69</f>
        <v>5</v>
      </c>
      <c r="Y69" s="20">
        <f t="shared" si="38"/>
        <v>5000</v>
      </c>
      <c r="Z69" s="42">
        <v>0</v>
      </c>
      <c r="AA69" s="20">
        <f t="shared" ref="AA69:AA75" si="60">+Y69+Z69</f>
        <v>5000</v>
      </c>
      <c r="AB69" s="20">
        <f t="shared" si="39"/>
        <v>2583.333333333333</v>
      </c>
      <c r="AC69" s="20">
        <v>0</v>
      </c>
      <c r="AD69" s="20">
        <v>0</v>
      </c>
      <c r="AE69" s="20">
        <v>0</v>
      </c>
      <c r="AF69" s="20">
        <v>0</v>
      </c>
      <c r="AG69" s="20">
        <f t="shared" ref="AG69:AG75" si="61">IF(AA69&gt;=12000,200,IF(AA69&gt;=9000,150,IF(AA69&gt;=6000,80,IF(AA69&gt;=3000,0,0))))</f>
        <v>0</v>
      </c>
      <c r="AH69" s="24"/>
      <c r="AI69" s="80">
        <v>0</v>
      </c>
      <c r="AJ69" s="24">
        <v>0</v>
      </c>
      <c r="AK69" s="24">
        <v>0</v>
      </c>
      <c r="AL69" s="24">
        <v>0</v>
      </c>
      <c r="AM69" s="25">
        <f t="shared" ref="AM69:AM75" si="62">SUM(AI69:AL69)</f>
        <v>0</v>
      </c>
      <c r="AN69" s="26">
        <f t="shared" ref="AN69:AN75" si="63">+AA69-(AC69+AE69+AG69+AH69+AI69+AJ69+AK69+AL69)</f>
        <v>5000</v>
      </c>
      <c r="AO69" s="56"/>
      <c r="AP69" s="56"/>
      <c r="AQ69" s="4" t="s">
        <v>382</v>
      </c>
      <c r="AR69" s="56"/>
      <c r="AS69" s="56"/>
      <c r="AT69" s="57"/>
      <c r="AU69" s="58"/>
      <c r="AV69" s="53"/>
      <c r="AW69" s="54"/>
      <c r="AX69" s="51"/>
      <c r="AY69" s="51"/>
      <c r="AZ69" s="51"/>
      <c r="BA69" s="51"/>
      <c r="BC69" s="152">
        <f t="shared" ref="BC69:BC75" si="64">AC69+AE69+AG69+AN69</f>
        <v>5000</v>
      </c>
    </row>
    <row r="70" spans="2:56" s="50" customFormat="1" ht="15.75" x14ac:dyDescent="0.25">
      <c r="B70" s="196"/>
      <c r="C70" s="103">
        <v>60200</v>
      </c>
      <c r="D70" s="15">
        <v>45200</v>
      </c>
      <c r="E70" s="16" t="s">
        <v>135</v>
      </c>
      <c r="F70" s="104" t="s">
        <v>150</v>
      </c>
      <c r="G70" s="112">
        <v>45078</v>
      </c>
      <c r="H70" s="51"/>
      <c r="I70" s="51"/>
      <c r="J70" s="41">
        <f t="shared" si="40"/>
        <v>52</v>
      </c>
      <c r="K70" s="86" t="s">
        <v>173</v>
      </c>
      <c r="L70" s="52" t="s">
        <v>174</v>
      </c>
      <c r="M70" s="33">
        <v>60200</v>
      </c>
      <c r="N70" s="20">
        <f t="shared" si="54"/>
        <v>30100</v>
      </c>
      <c r="O70" s="20">
        <f t="shared" si="55"/>
        <v>15050</v>
      </c>
      <c r="P70" s="20">
        <f t="shared" si="56"/>
        <v>7525</v>
      </c>
      <c r="Q70" s="20">
        <f t="shared" si="57"/>
        <v>7525</v>
      </c>
      <c r="R70" s="20">
        <v>0</v>
      </c>
      <c r="S70" s="20">
        <f t="shared" si="58"/>
        <v>60200</v>
      </c>
      <c r="T70" s="20">
        <v>0</v>
      </c>
      <c r="U70" s="22">
        <v>26</v>
      </c>
      <c r="V70" s="22">
        <v>4</v>
      </c>
      <c r="W70" s="22">
        <v>0</v>
      </c>
      <c r="X70" s="22">
        <f t="shared" si="59"/>
        <v>30</v>
      </c>
      <c r="Y70" s="20">
        <f t="shared" si="38"/>
        <v>60200</v>
      </c>
      <c r="Z70" s="20">
        <v>0</v>
      </c>
      <c r="AA70" s="20">
        <f t="shared" si="60"/>
        <v>60200</v>
      </c>
      <c r="AB70" s="20">
        <f t="shared" si="39"/>
        <v>26086.666666666668</v>
      </c>
      <c r="AC70" s="20">
        <v>0</v>
      </c>
      <c r="AD70" s="20">
        <v>0</v>
      </c>
      <c r="AE70" s="20">
        <v>0</v>
      </c>
      <c r="AF70" s="20">
        <v>0</v>
      </c>
      <c r="AG70" s="20">
        <f t="shared" si="61"/>
        <v>200</v>
      </c>
      <c r="AH70" s="24"/>
      <c r="AI70" s="80">
        <v>0</v>
      </c>
      <c r="AJ70" s="24">
        <v>0</v>
      </c>
      <c r="AK70" s="24">
        <v>0</v>
      </c>
      <c r="AL70" s="24">
        <v>0</v>
      </c>
      <c r="AM70" s="25">
        <f t="shared" si="62"/>
        <v>0</v>
      </c>
      <c r="AN70" s="60">
        <f t="shared" si="63"/>
        <v>60000</v>
      </c>
      <c r="AO70" s="51"/>
      <c r="AP70" s="51"/>
      <c r="AQ70" s="51" t="s">
        <v>339</v>
      </c>
      <c r="AR70" s="51"/>
      <c r="AS70" s="51"/>
      <c r="AT70" s="51"/>
      <c r="AU70" s="58"/>
      <c r="AV70" s="53"/>
      <c r="AW70" s="54"/>
      <c r="AX70" s="51"/>
      <c r="AY70" s="51"/>
      <c r="AZ70" s="51"/>
      <c r="BA70" s="51"/>
      <c r="BC70" s="152">
        <f t="shared" si="64"/>
        <v>60200</v>
      </c>
    </row>
    <row r="71" spans="2:56" s="50" customFormat="1" ht="15.75" x14ac:dyDescent="0.25">
      <c r="B71" s="197"/>
      <c r="C71" s="103"/>
      <c r="D71" s="15">
        <v>150000</v>
      </c>
      <c r="E71" s="16" t="s">
        <v>135</v>
      </c>
      <c r="F71" s="113" t="s">
        <v>153</v>
      </c>
      <c r="G71" s="112">
        <v>45078</v>
      </c>
      <c r="H71" s="51"/>
      <c r="I71" s="51"/>
      <c r="J71" s="41">
        <f t="shared" si="40"/>
        <v>53</v>
      </c>
      <c r="K71" s="86" t="s">
        <v>173</v>
      </c>
      <c r="L71" s="52" t="s">
        <v>175</v>
      </c>
      <c r="M71" s="33">
        <v>150200</v>
      </c>
      <c r="N71" s="20">
        <f t="shared" si="54"/>
        <v>75100</v>
      </c>
      <c r="O71" s="20">
        <f t="shared" si="55"/>
        <v>37550</v>
      </c>
      <c r="P71" s="20">
        <f t="shared" si="56"/>
        <v>18775</v>
      </c>
      <c r="Q71" s="20">
        <f t="shared" si="57"/>
        <v>18775</v>
      </c>
      <c r="R71" s="20">
        <v>0</v>
      </c>
      <c r="S71" s="20">
        <f t="shared" si="58"/>
        <v>150200</v>
      </c>
      <c r="T71" s="20">
        <v>0</v>
      </c>
      <c r="U71" s="22">
        <v>26</v>
      </c>
      <c r="V71" s="22">
        <v>4</v>
      </c>
      <c r="W71" s="22">
        <v>0</v>
      </c>
      <c r="X71" s="22">
        <f t="shared" si="59"/>
        <v>30</v>
      </c>
      <c r="Y71" s="20">
        <f t="shared" si="38"/>
        <v>150200</v>
      </c>
      <c r="Z71" s="20">
        <v>0</v>
      </c>
      <c r="AA71" s="20">
        <f t="shared" si="60"/>
        <v>150200</v>
      </c>
      <c r="AB71" s="20">
        <f t="shared" si="39"/>
        <v>65086.666666666672</v>
      </c>
      <c r="AC71" s="20">
        <v>0</v>
      </c>
      <c r="AD71" s="20">
        <v>0</v>
      </c>
      <c r="AE71" s="20">
        <v>0</v>
      </c>
      <c r="AF71" s="20">
        <v>0</v>
      </c>
      <c r="AG71" s="20">
        <f t="shared" si="61"/>
        <v>200</v>
      </c>
      <c r="AH71" s="24">
        <v>14000</v>
      </c>
      <c r="AI71" s="80">
        <v>0</v>
      </c>
      <c r="AJ71" s="24">
        <v>0</v>
      </c>
      <c r="AK71" s="24">
        <v>0</v>
      </c>
      <c r="AL71" s="24">
        <v>0</v>
      </c>
      <c r="AM71" s="25">
        <f t="shared" si="62"/>
        <v>0</v>
      </c>
      <c r="AN71" s="60">
        <f t="shared" si="63"/>
        <v>136000</v>
      </c>
      <c r="AO71" s="51"/>
      <c r="AP71" s="51"/>
      <c r="AQ71" s="165" t="s">
        <v>294</v>
      </c>
      <c r="AR71" s="51"/>
      <c r="AS71" s="51"/>
      <c r="AT71" s="51"/>
      <c r="AU71" s="58"/>
      <c r="AV71" s="53"/>
      <c r="AW71" s="54"/>
      <c r="AX71" s="51"/>
      <c r="AY71" s="51"/>
      <c r="AZ71" s="51"/>
      <c r="BA71" s="51"/>
      <c r="BC71" s="152">
        <f t="shared" si="64"/>
        <v>136200</v>
      </c>
    </row>
    <row r="72" spans="2:56" s="50" customFormat="1" ht="15.75" x14ac:dyDescent="0.25">
      <c r="B72" s="196">
        <v>23000</v>
      </c>
      <c r="C72" s="198">
        <v>20570</v>
      </c>
      <c r="D72" s="28">
        <v>18700</v>
      </c>
      <c r="E72" s="16" t="s">
        <v>438</v>
      </c>
      <c r="F72" s="104" t="s">
        <v>159</v>
      </c>
      <c r="G72" s="112">
        <v>45078</v>
      </c>
      <c r="H72" s="51"/>
      <c r="I72" s="51"/>
      <c r="J72" s="41">
        <f t="shared" si="40"/>
        <v>54</v>
      </c>
      <c r="K72" s="86" t="s">
        <v>173</v>
      </c>
      <c r="L72" s="52" t="s">
        <v>176</v>
      </c>
      <c r="M72" s="33">
        <v>23000</v>
      </c>
      <c r="N72" s="20">
        <f t="shared" si="54"/>
        <v>15500</v>
      </c>
      <c r="O72" s="20">
        <f t="shared" si="55"/>
        <v>3750</v>
      </c>
      <c r="P72" s="20">
        <f t="shared" si="56"/>
        <v>1875</v>
      </c>
      <c r="Q72" s="20">
        <f t="shared" si="57"/>
        <v>1875</v>
      </c>
      <c r="R72" s="20">
        <v>0</v>
      </c>
      <c r="S72" s="20">
        <f t="shared" si="58"/>
        <v>23000</v>
      </c>
      <c r="T72" s="20">
        <v>0</v>
      </c>
      <c r="U72" s="22">
        <v>23</v>
      </c>
      <c r="V72" s="22">
        <v>3</v>
      </c>
      <c r="W72" s="22">
        <v>0</v>
      </c>
      <c r="X72" s="22">
        <f t="shared" si="59"/>
        <v>26</v>
      </c>
      <c r="Y72" s="20">
        <f t="shared" si="38"/>
        <v>19933.333333333332</v>
      </c>
      <c r="Z72" s="42">
        <v>170</v>
      </c>
      <c r="AA72" s="20">
        <f t="shared" si="60"/>
        <v>20103.333333333332</v>
      </c>
      <c r="AB72" s="20">
        <f t="shared" si="39"/>
        <v>11883.333333333332</v>
      </c>
      <c r="AC72" s="20">
        <v>0</v>
      </c>
      <c r="AD72" s="20">
        <v>0</v>
      </c>
      <c r="AE72" s="20">
        <v>0</v>
      </c>
      <c r="AF72" s="20">
        <v>0</v>
      </c>
      <c r="AG72" s="20">
        <f t="shared" si="61"/>
        <v>200</v>
      </c>
      <c r="AH72" s="24"/>
      <c r="AI72" s="80">
        <v>0</v>
      </c>
      <c r="AJ72" s="24">
        <v>0</v>
      </c>
      <c r="AK72" s="24">
        <v>0</v>
      </c>
      <c r="AL72" s="24">
        <v>0</v>
      </c>
      <c r="AM72" s="25">
        <f t="shared" si="62"/>
        <v>0</v>
      </c>
      <c r="AN72" s="60">
        <f t="shared" si="63"/>
        <v>19903.333333333332</v>
      </c>
      <c r="AO72" s="56"/>
      <c r="AP72" s="56"/>
      <c r="AQ72" s="170" t="s">
        <v>306</v>
      </c>
      <c r="AR72" s="56"/>
      <c r="AS72" s="56"/>
      <c r="AT72" s="57"/>
      <c r="AU72" s="58"/>
      <c r="AV72" s="53"/>
      <c r="AW72" s="54"/>
      <c r="AX72" s="51"/>
      <c r="AY72" s="51"/>
      <c r="AZ72" s="51"/>
      <c r="BA72" s="51"/>
      <c r="BC72" s="152">
        <f t="shared" si="64"/>
        <v>20103.333333333332</v>
      </c>
    </row>
    <row r="73" spans="2:56" s="50" customFormat="1" ht="15.75" x14ac:dyDescent="0.25">
      <c r="B73" s="198">
        <v>34240</v>
      </c>
      <c r="C73" s="155">
        <v>32000</v>
      </c>
      <c r="D73" s="140">
        <v>27000</v>
      </c>
      <c r="E73" s="30" t="s">
        <v>232</v>
      </c>
      <c r="F73" s="104" t="s">
        <v>150</v>
      </c>
      <c r="G73" s="112">
        <v>45078</v>
      </c>
      <c r="H73" s="51"/>
      <c r="I73" s="51"/>
      <c r="J73" s="41">
        <f t="shared" si="40"/>
        <v>55</v>
      </c>
      <c r="K73" s="86" t="s">
        <v>173</v>
      </c>
      <c r="L73" s="52" t="s">
        <v>177</v>
      </c>
      <c r="M73" s="33">
        <v>34240</v>
      </c>
      <c r="N73" s="20">
        <f t="shared" si="54"/>
        <v>17120</v>
      </c>
      <c r="O73" s="20">
        <f t="shared" si="55"/>
        <v>8560</v>
      </c>
      <c r="P73" s="20">
        <f t="shared" si="56"/>
        <v>4280</v>
      </c>
      <c r="Q73" s="20">
        <f t="shared" si="57"/>
        <v>4280</v>
      </c>
      <c r="R73" s="20">
        <v>0</v>
      </c>
      <c r="S73" s="20">
        <f t="shared" si="58"/>
        <v>34240</v>
      </c>
      <c r="T73" s="20">
        <v>0</v>
      </c>
      <c r="U73" s="22">
        <v>26</v>
      </c>
      <c r="V73" s="22">
        <v>4</v>
      </c>
      <c r="W73" s="22">
        <v>0</v>
      </c>
      <c r="X73" s="22">
        <f t="shared" si="59"/>
        <v>30</v>
      </c>
      <c r="Y73" s="20">
        <f t="shared" si="38"/>
        <v>34240</v>
      </c>
      <c r="Z73" s="20">
        <v>0</v>
      </c>
      <c r="AA73" s="20">
        <f t="shared" si="60"/>
        <v>34240</v>
      </c>
      <c r="AB73" s="20">
        <f t="shared" si="39"/>
        <v>14837.333333333332</v>
      </c>
      <c r="AC73" s="20">
        <v>0</v>
      </c>
      <c r="AD73" s="20"/>
      <c r="AE73" s="20">
        <v>0</v>
      </c>
      <c r="AF73" s="20"/>
      <c r="AG73" s="20">
        <f t="shared" si="61"/>
        <v>200</v>
      </c>
      <c r="AH73" s="24"/>
      <c r="AI73" s="80">
        <v>0</v>
      </c>
      <c r="AJ73" s="24">
        <v>0</v>
      </c>
      <c r="AK73" s="24">
        <v>0</v>
      </c>
      <c r="AL73" s="24">
        <v>0</v>
      </c>
      <c r="AM73" s="25">
        <f t="shared" si="62"/>
        <v>0</v>
      </c>
      <c r="AN73" s="60">
        <f t="shared" si="63"/>
        <v>34040</v>
      </c>
      <c r="AO73" s="56"/>
      <c r="AP73" s="56"/>
      <c r="AQ73" s="51" t="s">
        <v>377</v>
      </c>
      <c r="AR73" s="56"/>
      <c r="AS73" s="56"/>
      <c r="AT73" s="57"/>
      <c r="AU73" s="58"/>
      <c r="AV73" s="53"/>
      <c r="AW73" s="54"/>
      <c r="AX73" s="51"/>
      <c r="AY73" s="51"/>
      <c r="AZ73" s="51"/>
      <c r="BA73" s="51"/>
      <c r="BC73" s="152">
        <f t="shared" si="64"/>
        <v>34240</v>
      </c>
    </row>
    <row r="74" spans="2:56" s="50" customFormat="1" ht="15.75" x14ac:dyDescent="0.25">
      <c r="B74" s="198">
        <v>31500</v>
      </c>
      <c r="C74" s="155">
        <v>30000</v>
      </c>
      <c r="D74" s="78">
        <v>28000</v>
      </c>
      <c r="E74" s="30" t="s">
        <v>71</v>
      </c>
      <c r="F74" s="104" t="s">
        <v>150</v>
      </c>
      <c r="G74" s="112">
        <v>45108</v>
      </c>
      <c r="H74" s="51"/>
      <c r="I74" s="51"/>
      <c r="J74" s="41">
        <f t="shared" si="40"/>
        <v>56</v>
      </c>
      <c r="K74" s="86" t="s">
        <v>179</v>
      </c>
      <c r="L74" s="52" t="s">
        <v>180</v>
      </c>
      <c r="M74" s="33">
        <v>31500</v>
      </c>
      <c r="N74" s="20">
        <f t="shared" si="54"/>
        <v>15750</v>
      </c>
      <c r="O74" s="20">
        <f t="shared" si="55"/>
        <v>7875</v>
      </c>
      <c r="P74" s="20">
        <f t="shared" si="56"/>
        <v>3938</v>
      </c>
      <c r="Q74" s="20">
        <f t="shared" si="57"/>
        <v>3938</v>
      </c>
      <c r="R74" s="20">
        <v>0</v>
      </c>
      <c r="S74" s="20">
        <f t="shared" si="58"/>
        <v>31501</v>
      </c>
      <c r="T74" s="20">
        <v>0</v>
      </c>
      <c r="U74" s="22">
        <v>26</v>
      </c>
      <c r="V74" s="22">
        <v>4</v>
      </c>
      <c r="W74" s="22">
        <v>0</v>
      </c>
      <c r="X74" s="22">
        <f t="shared" si="59"/>
        <v>30</v>
      </c>
      <c r="Y74" s="20">
        <f t="shared" si="38"/>
        <v>31500</v>
      </c>
      <c r="Z74" s="20">
        <v>0</v>
      </c>
      <c r="AA74" s="20">
        <f t="shared" si="60"/>
        <v>31500</v>
      </c>
      <c r="AB74" s="20">
        <f t="shared" si="39"/>
        <v>13650</v>
      </c>
      <c r="AC74" s="20">
        <v>0</v>
      </c>
      <c r="AD74" s="20">
        <v>0</v>
      </c>
      <c r="AE74" s="20">
        <v>0</v>
      </c>
      <c r="AF74" s="20">
        <v>0</v>
      </c>
      <c r="AG74" s="20">
        <f t="shared" si="61"/>
        <v>200</v>
      </c>
      <c r="AH74" s="24"/>
      <c r="AI74" s="80">
        <v>0</v>
      </c>
      <c r="AJ74" s="24">
        <v>0</v>
      </c>
      <c r="AK74" s="24">
        <v>0</v>
      </c>
      <c r="AL74" s="24">
        <v>0</v>
      </c>
      <c r="AM74" s="25">
        <f t="shared" si="62"/>
        <v>0</v>
      </c>
      <c r="AN74" s="60">
        <f t="shared" si="63"/>
        <v>31300</v>
      </c>
      <c r="AO74" s="56"/>
      <c r="AP74" s="56"/>
      <c r="AQ74" s="172" t="s">
        <v>397</v>
      </c>
      <c r="AR74" s="56"/>
      <c r="AS74" s="56"/>
      <c r="AT74" s="57"/>
      <c r="AU74" s="58"/>
      <c r="AV74" s="53"/>
      <c r="AW74" s="54"/>
      <c r="AX74" s="51"/>
      <c r="AY74" s="51"/>
      <c r="AZ74" s="51"/>
      <c r="BA74" s="51"/>
      <c r="BC74" s="152">
        <f t="shared" si="64"/>
        <v>31500</v>
      </c>
    </row>
    <row r="75" spans="2:56" s="50" customFormat="1" ht="15.75" x14ac:dyDescent="0.25">
      <c r="B75" s="198">
        <v>41800</v>
      </c>
      <c r="C75" s="155">
        <v>38000</v>
      </c>
      <c r="D75" s="78">
        <v>36000</v>
      </c>
      <c r="E75" s="16" t="s">
        <v>187</v>
      </c>
      <c r="F75" s="104" t="s">
        <v>150</v>
      </c>
      <c r="G75" s="112">
        <v>45139</v>
      </c>
      <c r="H75" s="51"/>
      <c r="I75" s="51"/>
      <c r="J75" s="41">
        <f t="shared" si="40"/>
        <v>57</v>
      </c>
      <c r="K75" s="86" t="s">
        <v>184</v>
      </c>
      <c r="L75" s="52" t="s">
        <v>183</v>
      </c>
      <c r="M75" s="33">
        <v>41800</v>
      </c>
      <c r="N75" s="20">
        <f t="shared" si="54"/>
        <v>20900</v>
      </c>
      <c r="O75" s="20">
        <f t="shared" si="55"/>
        <v>10450</v>
      </c>
      <c r="P75" s="20">
        <f t="shared" si="56"/>
        <v>5225</v>
      </c>
      <c r="Q75" s="20">
        <f t="shared" si="57"/>
        <v>5225</v>
      </c>
      <c r="R75" s="20">
        <v>0</v>
      </c>
      <c r="S75" s="20">
        <f t="shared" si="58"/>
        <v>41800</v>
      </c>
      <c r="T75" s="20">
        <v>0</v>
      </c>
      <c r="U75" s="22">
        <v>26</v>
      </c>
      <c r="V75" s="22">
        <v>4</v>
      </c>
      <c r="W75" s="22">
        <v>0</v>
      </c>
      <c r="X75" s="22">
        <f t="shared" si="59"/>
        <v>30</v>
      </c>
      <c r="Y75" s="20">
        <f t="shared" si="38"/>
        <v>41800</v>
      </c>
      <c r="Z75" s="20">
        <v>0</v>
      </c>
      <c r="AA75" s="20">
        <f t="shared" si="60"/>
        <v>41800</v>
      </c>
      <c r="AB75" s="20">
        <f t="shared" si="39"/>
        <v>18113.333333333332</v>
      </c>
      <c r="AC75" s="20">
        <v>0</v>
      </c>
      <c r="AD75" s="20">
        <v>0</v>
      </c>
      <c r="AE75" s="20">
        <v>0</v>
      </c>
      <c r="AF75" s="20">
        <v>0</v>
      </c>
      <c r="AG75" s="20">
        <f t="shared" si="61"/>
        <v>200</v>
      </c>
      <c r="AH75" s="24"/>
      <c r="AI75" s="80">
        <v>0</v>
      </c>
      <c r="AJ75" s="24">
        <v>0</v>
      </c>
      <c r="AK75" s="24">
        <v>0</v>
      </c>
      <c r="AL75" s="24">
        <v>0</v>
      </c>
      <c r="AM75" s="25">
        <f t="shared" si="62"/>
        <v>0</v>
      </c>
      <c r="AN75" s="60">
        <f t="shared" si="63"/>
        <v>41600</v>
      </c>
      <c r="AO75" s="56"/>
      <c r="AP75" s="56"/>
      <c r="AQ75" s="165" t="s">
        <v>331</v>
      </c>
      <c r="AR75" s="56"/>
      <c r="AS75" s="56"/>
      <c r="AT75" s="57"/>
      <c r="AU75" s="58"/>
      <c r="AV75" s="53"/>
      <c r="AW75" s="54"/>
      <c r="AX75" s="51"/>
      <c r="AY75" s="51"/>
      <c r="AZ75" s="51"/>
      <c r="BA75" s="51"/>
      <c r="BC75" s="152">
        <f t="shared" si="64"/>
        <v>41800</v>
      </c>
    </row>
    <row r="76" spans="2:56" s="50" customFormat="1" ht="15.75" x14ac:dyDescent="0.25">
      <c r="B76" s="198">
        <v>70500</v>
      </c>
      <c r="C76" s="155">
        <v>65000</v>
      </c>
      <c r="D76" s="78">
        <v>60500</v>
      </c>
      <c r="E76" s="16" t="s">
        <v>187</v>
      </c>
      <c r="F76" s="104" t="s">
        <v>145</v>
      </c>
      <c r="G76" s="112">
        <v>45170</v>
      </c>
      <c r="H76" s="51"/>
      <c r="I76" s="51"/>
      <c r="J76" s="41">
        <f t="shared" si="40"/>
        <v>58</v>
      </c>
      <c r="K76" s="86" t="s">
        <v>185</v>
      </c>
      <c r="L76" s="52" t="s">
        <v>186</v>
      </c>
      <c r="M76" s="33">
        <v>70500</v>
      </c>
      <c r="N76" s="20">
        <f t="shared" ref="N76:N93" si="65">ROUND(IF((M76*50%)&lt;15500,15500,(M76*50/100)),)</f>
        <v>35250</v>
      </c>
      <c r="O76" s="20">
        <f t="shared" ref="O76:O93" si="66">ROUND((M76-N76)/2,)</f>
        <v>17625</v>
      </c>
      <c r="P76" s="20">
        <f t="shared" ref="P76:P93" si="67">ROUND(O76*50%,)</f>
        <v>8813</v>
      </c>
      <c r="Q76" s="20">
        <f t="shared" ref="Q76:Q93" si="68">ROUND(O76*50/100,)</f>
        <v>8813</v>
      </c>
      <c r="R76" s="20">
        <v>0</v>
      </c>
      <c r="S76" s="20">
        <f t="shared" ref="S76:S77" si="69">N76+O76+P76+Q76+R76</f>
        <v>70501</v>
      </c>
      <c r="T76" s="20">
        <v>0</v>
      </c>
      <c r="U76" s="22">
        <v>26</v>
      </c>
      <c r="V76" s="22">
        <v>4</v>
      </c>
      <c r="W76" s="22">
        <v>0</v>
      </c>
      <c r="X76" s="22">
        <f t="shared" ref="X76:X93" si="70">+U76+V76+W76</f>
        <v>30</v>
      </c>
      <c r="Y76" s="20">
        <f t="shared" si="38"/>
        <v>70500</v>
      </c>
      <c r="Z76" s="20">
        <v>0</v>
      </c>
      <c r="AA76" s="20">
        <f t="shared" ref="AA76:AA93" si="71">+Y76+Z76</f>
        <v>70500</v>
      </c>
      <c r="AB76" s="20">
        <f t="shared" si="39"/>
        <v>30550</v>
      </c>
      <c r="AC76" s="20">
        <v>0</v>
      </c>
      <c r="AD76" s="20">
        <v>0</v>
      </c>
      <c r="AE76" s="20">
        <v>0</v>
      </c>
      <c r="AF76" s="20"/>
      <c r="AG76" s="20">
        <f t="shared" ref="AG76:AG80" si="72">IF(AA76&gt;=12000,200,IF(AA76&gt;=9000,150,IF(AA76&gt;=6000,80,IF(AA76&gt;=3000,0,0))))</f>
        <v>200</v>
      </c>
      <c r="AH76" s="24"/>
      <c r="AI76" s="80">
        <v>0</v>
      </c>
      <c r="AJ76" s="24">
        <v>0</v>
      </c>
      <c r="AK76" s="24">
        <v>0</v>
      </c>
      <c r="AL76" s="24">
        <v>0</v>
      </c>
      <c r="AM76" s="25">
        <f t="shared" ref="AM76:AM77" si="73">SUM(AI76:AL76)</f>
        <v>0</v>
      </c>
      <c r="AN76" s="60">
        <f t="shared" ref="AN76:AN93" si="74">+AA76-(AC76+AE76+AG76+AH76+AI76+AJ76+AK76+AL76)</f>
        <v>70300</v>
      </c>
      <c r="AO76" s="56"/>
      <c r="AP76" s="56"/>
      <c r="AQ76" s="165" t="s">
        <v>328</v>
      </c>
      <c r="AR76" s="56"/>
      <c r="AS76" s="56"/>
      <c r="AT76" s="57"/>
      <c r="AU76" s="58"/>
      <c r="AV76" s="53"/>
      <c r="AW76" s="54"/>
      <c r="AX76" s="51"/>
      <c r="AY76" s="51"/>
      <c r="AZ76" s="51"/>
      <c r="BA76" s="51"/>
      <c r="BC76" s="152">
        <f t="shared" ref="BC76:BC93" si="75">AC76+AE76+AG76+AN76</f>
        <v>70500</v>
      </c>
    </row>
    <row r="77" spans="2:56" s="50" customFormat="1" ht="15.75" x14ac:dyDescent="0.25">
      <c r="B77" s="198">
        <v>42900</v>
      </c>
      <c r="C77" s="155">
        <v>39000</v>
      </c>
      <c r="D77" s="78">
        <v>38000</v>
      </c>
      <c r="E77" s="16" t="s">
        <v>187</v>
      </c>
      <c r="F77" s="104" t="s">
        <v>150</v>
      </c>
      <c r="G77" s="112">
        <v>45200</v>
      </c>
      <c r="H77" s="30"/>
      <c r="I77" s="30"/>
      <c r="J77" s="41">
        <f t="shared" si="40"/>
        <v>59</v>
      </c>
      <c r="K77" s="86" t="s">
        <v>190</v>
      </c>
      <c r="L77" s="30" t="s">
        <v>189</v>
      </c>
      <c r="M77" s="33">
        <v>42900</v>
      </c>
      <c r="N77" s="20">
        <f t="shared" si="65"/>
        <v>21450</v>
      </c>
      <c r="O77" s="20">
        <f t="shared" si="66"/>
        <v>10725</v>
      </c>
      <c r="P77" s="20">
        <f t="shared" si="67"/>
        <v>5363</v>
      </c>
      <c r="Q77" s="20">
        <f t="shared" si="68"/>
        <v>5363</v>
      </c>
      <c r="R77" s="20">
        <v>0</v>
      </c>
      <c r="S77" s="20">
        <f t="shared" si="69"/>
        <v>42901</v>
      </c>
      <c r="T77" s="20">
        <v>0</v>
      </c>
      <c r="U77" s="22">
        <v>26</v>
      </c>
      <c r="V77" s="22">
        <v>4</v>
      </c>
      <c r="W77" s="22">
        <v>0</v>
      </c>
      <c r="X77" s="22">
        <f t="shared" si="70"/>
        <v>30</v>
      </c>
      <c r="Y77" s="20">
        <f t="shared" si="38"/>
        <v>42900</v>
      </c>
      <c r="Z77" s="20">
        <v>0</v>
      </c>
      <c r="AA77" s="20">
        <f t="shared" si="71"/>
        <v>42900</v>
      </c>
      <c r="AB77" s="20">
        <f t="shared" si="39"/>
        <v>18590</v>
      </c>
      <c r="AC77" s="20">
        <v>0</v>
      </c>
      <c r="AD77" s="20">
        <v>0</v>
      </c>
      <c r="AE77" s="20">
        <v>0</v>
      </c>
      <c r="AF77" s="20"/>
      <c r="AG77" s="20">
        <f t="shared" si="72"/>
        <v>200</v>
      </c>
      <c r="AH77" s="24"/>
      <c r="AI77" s="80">
        <v>0</v>
      </c>
      <c r="AJ77" s="24">
        <v>0</v>
      </c>
      <c r="AK77" s="24">
        <v>0</v>
      </c>
      <c r="AL77" s="24">
        <v>0</v>
      </c>
      <c r="AM77" s="25">
        <f t="shared" si="73"/>
        <v>0</v>
      </c>
      <c r="AN77" s="60">
        <f t="shared" si="74"/>
        <v>42700</v>
      </c>
      <c r="AO77" s="56"/>
      <c r="AP77" s="56"/>
      <c r="AQ77" s="51" t="s">
        <v>329</v>
      </c>
      <c r="AR77" s="56"/>
      <c r="AS77" s="56"/>
      <c r="AT77" s="57"/>
      <c r="AU77" s="58"/>
      <c r="AV77" s="53"/>
      <c r="AW77" s="54"/>
      <c r="AX77" s="51"/>
      <c r="AY77" s="51"/>
      <c r="AZ77" s="51"/>
      <c r="BA77" s="51"/>
      <c r="BC77" s="152">
        <f t="shared" si="75"/>
        <v>42900</v>
      </c>
    </row>
    <row r="78" spans="2:56" s="50" customFormat="1" ht="15.75" x14ac:dyDescent="0.25">
      <c r="B78" s="198">
        <v>53000</v>
      </c>
      <c r="C78" s="155">
        <v>53000</v>
      </c>
      <c r="D78" s="78">
        <v>50000</v>
      </c>
      <c r="E78" s="16" t="s">
        <v>54</v>
      </c>
      <c r="F78" s="104" t="s">
        <v>146</v>
      </c>
      <c r="G78" s="134">
        <v>45261</v>
      </c>
      <c r="H78" s="30"/>
      <c r="I78" s="30"/>
      <c r="J78" s="41">
        <f t="shared" si="40"/>
        <v>60</v>
      </c>
      <c r="K78" s="86" t="s">
        <v>197</v>
      </c>
      <c r="L78" s="110" t="s">
        <v>194</v>
      </c>
      <c r="M78" s="33">
        <v>53000</v>
      </c>
      <c r="N78" s="20">
        <f t="shared" si="65"/>
        <v>26500</v>
      </c>
      <c r="O78" s="20">
        <f t="shared" si="66"/>
        <v>13250</v>
      </c>
      <c r="P78" s="20">
        <f t="shared" si="67"/>
        <v>6625</v>
      </c>
      <c r="Q78" s="20">
        <f t="shared" si="68"/>
        <v>6625</v>
      </c>
      <c r="R78" s="20">
        <v>0</v>
      </c>
      <c r="S78" s="20">
        <v>50000</v>
      </c>
      <c r="T78" s="20">
        <v>0</v>
      </c>
      <c r="U78" s="22">
        <v>26</v>
      </c>
      <c r="V78" s="22">
        <v>4</v>
      </c>
      <c r="W78" s="22">
        <v>0</v>
      </c>
      <c r="X78" s="22">
        <f t="shared" si="70"/>
        <v>30</v>
      </c>
      <c r="Y78" s="20">
        <f t="shared" si="38"/>
        <v>53000</v>
      </c>
      <c r="Z78" s="20">
        <v>0</v>
      </c>
      <c r="AA78" s="20">
        <f t="shared" si="71"/>
        <v>53000</v>
      </c>
      <c r="AB78" s="20">
        <f t="shared" si="39"/>
        <v>22966.666666666668</v>
      </c>
      <c r="AC78" s="20">
        <v>0</v>
      </c>
      <c r="AD78" s="20">
        <v>0</v>
      </c>
      <c r="AE78" s="20">
        <v>0</v>
      </c>
      <c r="AF78" s="20"/>
      <c r="AG78" s="20">
        <f t="shared" si="72"/>
        <v>200</v>
      </c>
      <c r="AH78" s="24"/>
      <c r="AI78" s="80">
        <v>0</v>
      </c>
      <c r="AJ78" s="24">
        <v>0</v>
      </c>
      <c r="AK78" s="24">
        <v>0</v>
      </c>
      <c r="AL78" s="24">
        <v>0</v>
      </c>
      <c r="AM78" s="25">
        <f t="shared" ref="AM78:AM82" si="76">SUM(AI78:AL78)</f>
        <v>0</v>
      </c>
      <c r="AN78" s="60">
        <f t="shared" si="74"/>
        <v>52800</v>
      </c>
      <c r="AO78" s="56"/>
      <c r="AP78" s="56"/>
      <c r="AQ78" s="51" t="s">
        <v>327</v>
      </c>
      <c r="AR78" s="56"/>
      <c r="AS78" s="56"/>
      <c r="AT78" s="57"/>
      <c r="AU78" s="58"/>
      <c r="AV78" s="53"/>
      <c r="AW78" s="54"/>
      <c r="AX78" s="51"/>
      <c r="AY78" s="51"/>
      <c r="AZ78" s="51"/>
      <c r="BA78" s="51"/>
      <c r="BC78" s="152">
        <f t="shared" si="75"/>
        <v>53000</v>
      </c>
    </row>
    <row r="79" spans="2:56" s="50" customFormat="1" ht="15.75" x14ac:dyDescent="0.25">
      <c r="B79" s="198">
        <v>35000</v>
      </c>
      <c r="C79" s="155">
        <v>30000</v>
      </c>
      <c r="D79" s="78">
        <v>25000</v>
      </c>
      <c r="E79" s="30" t="s">
        <v>422</v>
      </c>
      <c r="F79" s="115" t="s">
        <v>193</v>
      </c>
      <c r="G79" s="134">
        <v>45261</v>
      </c>
      <c r="H79" s="51"/>
      <c r="I79" s="51"/>
      <c r="J79" s="41">
        <f t="shared" si="40"/>
        <v>61</v>
      </c>
      <c r="K79" s="86" t="s">
        <v>197</v>
      </c>
      <c r="L79" s="52" t="s">
        <v>192</v>
      </c>
      <c r="M79" s="33">
        <v>35000</v>
      </c>
      <c r="N79" s="20">
        <f t="shared" si="65"/>
        <v>17500</v>
      </c>
      <c r="O79" s="20">
        <f t="shared" si="66"/>
        <v>8750</v>
      </c>
      <c r="P79" s="20">
        <f t="shared" si="67"/>
        <v>4375</v>
      </c>
      <c r="Q79" s="20">
        <f t="shared" si="68"/>
        <v>4375</v>
      </c>
      <c r="R79" s="20">
        <v>0</v>
      </c>
      <c r="S79" s="20">
        <f t="shared" ref="S79:S85" si="77">N79+O79+P79+Q79+R79</f>
        <v>35000</v>
      </c>
      <c r="T79" s="20">
        <v>0</v>
      </c>
      <c r="U79" s="22">
        <v>26</v>
      </c>
      <c r="V79" s="22">
        <v>4</v>
      </c>
      <c r="W79" s="22">
        <v>0</v>
      </c>
      <c r="X79" s="22">
        <f t="shared" si="70"/>
        <v>30</v>
      </c>
      <c r="Y79" s="20">
        <f t="shared" si="38"/>
        <v>35000</v>
      </c>
      <c r="Z79" s="20">
        <v>0</v>
      </c>
      <c r="AA79" s="20">
        <f t="shared" si="71"/>
        <v>35000</v>
      </c>
      <c r="AB79" s="20">
        <f t="shared" si="39"/>
        <v>15166.666666666668</v>
      </c>
      <c r="AC79" s="20">
        <v>0</v>
      </c>
      <c r="AD79" s="20">
        <v>0</v>
      </c>
      <c r="AE79" s="20">
        <v>0</v>
      </c>
      <c r="AF79" s="20">
        <v>0</v>
      </c>
      <c r="AG79" s="20">
        <f t="shared" si="72"/>
        <v>200</v>
      </c>
      <c r="AH79" s="24"/>
      <c r="AI79" s="80">
        <v>0</v>
      </c>
      <c r="AJ79" s="24">
        <v>0</v>
      </c>
      <c r="AK79" s="24">
        <v>0</v>
      </c>
      <c r="AL79" s="24">
        <v>0</v>
      </c>
      <c r="AM79" s="25">
        <f t="shared" ref="AM79" si="78">SUM(AI79:AL79)</f>
        <v>0</v>
      </c>
      <c r="AN79" s="60">
        <f t="shared" si="74"/>
        <v>34800</v>
      </c>
      <c r="AO79" s="56"/>
      <c r="AP79" s="56"/>
      <c r="AQ79" s="172" t="s">
        <v>392</v>
      </c>
      <c r="AR79" s="56"/>
      <c r="AS79" s="56"/>
      <c r="AT79" s="57"/>
      <c r="AU79" s="58"/>
      <c r="AV79" s="53"/>
      <c r="AW79" s="54"/>
      <c r="AX79" s="51"/>
      <c r="AY79" s="51"/>
      <c r="AZ79" s="51"/>
      <c r="BA79" s="51"/>
      <c r="BC79" s="152">
        <f t="shared" si="75"/>
        <v>35000</v>
      </c>
    </row>
    <row r="80" spans="2:56" s="50" customFormat="1" ht="15.75" x14ac:dyDescent="0.25">
      <c r="B80" s="197"/>
      <c r="C80" s="103"/>
      <c r="D80" s="15">
        <v>100200</v>
      </c>
      <c r="E80" s="48" t="s">
        <v>212</v>
      </c>
      <c r="F80" s="113" t="s">
        <v>210</v>
      </c>
      <c r="G80" s="134">
        <v>45261</v>
      </c>
      <c r="H80" s="51"/>
      <c r="I80" s="51"/>
      <c r="J80" s="41">
        <f t="shared" si="40"/>
        <v>62</v>
      </c>
      <c r="K80" s="86" t="s">
        <v>197</v>
      </c>
      <c r="L80" s="52" t="s">
        <v>195</v>
      </c>
      <c r="M80" s="33">
        <v>150200</v>
      </c>
      <c r="N80" s="20">
        <f t="shared" si="65"/>
        <v>75100</v>
      </c>
      <c r="O80" s="20">
        <f t="shared" si="66"/>
        <v>37550</v>
      </c>
      <c r="P80" s="20">
        <f t="shared" si="67"/>
        <v>18775</v>
      </c>
      <c r="Q80" s="20">
        <f t="shared" si="68"/>
        <v>18775</v>
      </c>
      <c r="R80" s="20">
        <v>0</v>
      </c>
      <c r="S80" s="20">
        <f t="shared" si="77"/>
        <v>150200</v>
      </c>
      <c r="T80" s="20">
        <v>0</v>
      </c>
      <c r="U80" s="22">
        <v>26</v>
      </c>
      <c r="V80" s="22">
        <v>4</v>
      </c>
      <c r="W80" s="22">
        <v>0</v>
      </c>
      <c r="X80" s="22">
        <f t="shared" si="70"/>
        <v>30</v>
      </c>
      <c r="Y80" s="20">
        <f t="shared" si="38"/>
        <v>150200</v>
      </c>
      <c r="Z80" s="20">
        <v>0</v>
      </c>
      <c r="AA80" s="20">
        <f t="shared" si="71"/>
        <v>150200</v>
      </c>
      <c r="AB80" s="20">
        <f t="shared" si="39"/>
        <v>65086.666666666672</v>
      </c>
      <c r="AC80" s="20">
        <v>0</v>
      </c>
      <c r="AD80" s="20">
        <v>0</v>
      </c>
      <c r="AE80" s="20">
        <v>0</v>
      </c>
      <c r="AF80" s="20">
        <v>0</v>
      </c>
      <c r="AG80" s="20">
        <f t="shared" si="72"/>
        <v>200</v>
      </c>
      <c r="AH80" s="24">
        <v>13000</v>
      </c>
      <c r="AI80" s="80">
        <v>0</v>
      </c>
      <c r="AJ80" s="24">
        <v>0</v>
      </c>
      <c r="AK80" s="24">
        <v>0</v>
      </c>
      <c r="AL80" s="24">
        <v>0</v>
      </c>
      <c r="AM80" s="25">
        <v>0</v>
      </c>
      <c r="AN80" s="60">
        <f t="shared" si="74"/>
        <v>137000</v>
      </c>
      <c r="AO80" s="51"/>
      <c r="AP80" s="51"/>
      <c r="AQ80" s="51" t="s">
        <v>321</v>
      </c>
      <c r="AR80" s="51"/>
      <c r="AS80" s="51"/>
      <c r="AT80" s="51"/>
      <c r="AU80" s="58"/>
      <c r="AV80" s="53"/>
      <c r="AW80" s="54"/>
      <c r="AX80" s="51"/>
      <c r="AY80" s="51"/>
      <c r="AZ80" s="51"/>
      <c r="BA80" s="51"/>
      <c r="BC80" s="152">
        <f t="shared" si="75"/>
        <v>137200</v>
      </c>
    </row>
    <row r="81" spans="2:56" s="50" customFormat="1" ht="15.75" x14ac:dyDescent="0.25">
      <c r="B81" s="197"/>
      <c r="C81" s="103"/>
      <c r="D81" s="78">
        <v>125200</v>
      </c>
      <c r="E81" s="48" t="s">
        <v>212</v>
      </c>
      <c r="F81" s="113" t="s">
        <v>210</v>
      </c>
      <c r="G81" s="134">
        <v>45261</v>
      </c>
      <c r="H81" s="51"/>
      <c r="I81" s="51"/>
      <c r="J81" s="41">
        <f t="shared" si="40"/>
        <v>63</v>
      </c>
      <c r="K81" s="86" t="s">
        <v>197</v>
      </c>
      <c r="L81" s="52" t="s">
        <v>196</v>
      </c>
      <c r="M81" s="33">
        <v>125200</v>
      </c>
      <c r="N81" s="20">
        <f t="shared" si="65"/>
        <v>62600</v>
      </c>
      <c r="O81" s="20">
        <f t="shared" si="66"/>
        <v>31300</v>
      </c>
      <c r="P81" s="20">
        <f t="shared" si="67"/>
        <v>15650</v>
      </c>
      <c r="Q81" s="20">
        <f t="shared" si="68"/>
        <v>15650</v>
      </c>
      <c r="R81" s="20">
        <v>0</v>
      </c>
      <c r="S81" s="20">
        <f t="shared" si="77"/>
        <v>125200</v>
      </c>
      <c r="T81" s="20">
        <v>0</v>
      </c>
      <c r="U81" s="22">
        <v>26</v>
      </c>
      <c r="V81" s="22">
        <v>4</v>
      </c>
      <c r="W81" s="22">
        <v>0</v>
      </c>
      <c r="X81" s="22">
        <f t="shared" si="70"/>
        <v>30</v>
      </c>
      <c r="Y81" s="20">
        <f t="shared" si="38"/>
        <v>125199.99999999999</v>
      </c>
      <c r="Z81" s="20">
        <v>0</v>
      </c>
      <c r="AA81" s="20">
        <f t="shared" si="71"/>
        <v>125199.99999999999</v>
      </c>
      <c r="AB81" s="20">
        <f t="shared" si="39"/>
        <v>54253.333333333328</v>
      </c>
      <c r="AC81" s="20">
        <v>0</v>
      </c>
      <c r="AD81" s="20">
        <v>0</v>
      </c>
      <c r="AE81" s="20">
        <v>0</v>
      </c>
      <c r="AF81" s="20">
        <v>0</v>
      </c>
      <c r="AG81" s="20">
        <f t="shared" ref="AG81:AG86" si="79">IF(AA81&gt;=12000,200,IF(AA81&gt;=9000,150,IF(AA81&gt;=6000,80,IF(AA81&gt;=3000,0,0))))</f>
        <v>200</v>
      </c>
      <c r="AH81" s="24">
        <v>10000</v>
      </c>
      <c r="AI81" s="80">
        <v>0</v>
      </c>
      <c r="AJ81" s="24">
        <v>0</v>
      </c>
      <c r="AK81" s="24">
        <v>0</v>
      </c>
      <c r="AL81" s="24">
        <v>0</v>
      </c>
      <c r="AM81" s="25">
        <f t="shared" si="76"/>
        <v>0</v>
      </c>
      <c r="AN81" s="60">
        <f t="shared" si="74"/>
        <v>114999.99999999999</v>
      </c>
      <c r="AO81" s="51"/>
      <c r="AP81" s="51"/>
      <c r="AQ81" s="165" t="s">
        <v>288</v>
      </c>
      <c r="AR81" s="51"/>
      <c r="AS81" s="51"/>
      <c r="AT81" s="51"/>
      <c r="AU81" s="58"/>
      <c r="AV81" s="53"/>
      <c r="AW81" s="54"/>
      <c r="AX81" s="51"/>
      <c r="AY81" s="51"/>
      <c r="AZ81" s="51"/>
      <c r="BA81" s="51"/>
      <c r="BC81" s="152">
        <f t="shared" si="75"/>
        <v>115199.99999999999</v>
      </c>
    </row>
    <row r="82" spans="2:56" s="50" customFormat="1" ht="15.75" x14ac:dyDescent="0.25">
      <c r="B82" s="198">
        <v>26000</v>
      </c>
      <c r="C82" s="155">
        <v>23500</v>
      </c>
      <c r="D82" s="78">
        <v>20000</v>
      </c>
      <c r="E82" s="48" t="s">
        <v>247</v>
      </c>
      <c r="F82" s="104" t="s">
        <v>150</v>
      </c>
      <c r="G82" s="112">
        <v>45292</v>
      </c>
      <c r="H82" s="51"/>
      <c r="I82" s="51"/>
      <c r="J82" s="41">
        <f t="shared" si="40"/>
        <v>64</v>
      </c>
      <c r="K82" s="86" t="s">
        <v>198</v>
      </c>
      <c r="L82" s="86" t="s">
        <v>199</v>
      </c>
      <c r="M82" s="33">
        <v>26000</v>
      </c>
      <c r="N82" s="20">
        <f t="shared" si="65"/>
        <v>15500</v>
      </c>
      <c r="O82" s="20">
        <f t="shared" si="66"/>
        <v>5250</v>
      </c>
      <c r="P82" s="20">
        <f t="shared" si="67"/>
        <v>2625</v>
      </c>
      <c r="Q82" s="20">
        <f t="shared" si="68"/>
        <v>2625</v>
      </c>
      <c r="R82" s="20">
        <v>0</v>
      </c>
      <c r="S82" s="20">
        <f t="shared" si="77"/>
        <v>26000</v>
      </c>
      <c r="T82" s="20">
        <v>0</v>
      </c>
      <c r="U82" s="22">
        <v>26</v>
      </c>
      <c r="V82" s="22">
        <v>4</v>
      </c>
      <c r="W82" s="22">
        <v>0</v>
      </c>
      <c r="X82" s="22">
        <f t="shared" si="70"/>
        <v>30</v>
      </c>
      <c r="Y82" s="20">
        <f t="shared" si="38"/>
        <v>26000</v>
      </c>
      <c r="Z82" s="20">
        <v>0</v>
      </c>
      <c r="AA82" s="20">
        <f t="shared" si="71"/>
        <v>26000</v>
      </c>
      <c r="AB82" s="20">
        <f t="shared" si="39"/>
        <v>13433.333333333332</v>
      </c>
      <c r="AC82" s="20">
        <v>0</v>
      </c>
      <c r="AD82" s="20">
        <v>0</v>
      </c>
      <c r="AE82" s="20">
        <v>0</v>
      </c>
      <c r="AF82" s="20"/>
      <c r="AG82" s="20">
        <f t="shared" si="79"/>
        <v>200</v>
      </c>
      <c r="AH82" s="24"/>
      <c r="AI82" s="80">
        <v>0</v>
      </c>
      <c r="AJ82" s="24">
        <v>0</v>
      </c>
      <c r="AK82" s="24">
        <v>0</v>
      </c>
      <c r="AL82" s="24">
        <v>0</v>
      </c>
      <c r="AM82" s="25">
        <f t="shared" si="76"/>
        <v>0</v>
      </c>
      <c r="AN82" s="60">
        <f t="shared" si="74"/>
        <v>25800</v>
      </c>
      <c r="AO82" s="56"/>
      <c r="AP82" s="56"/>
      <c r="AQ82" s="51" t="s">
        <v>341</v>
      </c>
      <c r="AR82" s="56"/>
      <c r="AS82" s="56"/>
      <c r="AT82" s="57"/>
      <c r="AU82" s="58"/>
      <c r="AV82" s="53"/>
      <c r="AW82" s="54"/>
      <c r="AX82" s="51"/>
      <c r="AY82" s="51"/>
      <c r="AZ82" s="51"/>
      <c r="BA82" s="51"/>
      <c r="BC82" s="19">
        <f t="shared" si="75"/>
        <v>26000</v>
      </c>
    </row>
    <row r="83" spans="2:56" s="50" customFormat="1" ht="15.75" x14ac:dyDescent="0.25">
      <c r="B83" s="196"/>
      <c r="C83" s="103"/>
      <c r="D83" s="78">
        <v>20200</v>
      </c>
      <c r="E83" s="16" t="s">
        <v>135</v>
      </c>
      <c r="F83" s="113" t="s">
        <v>150</v>
      </c>
      <c r="G83" s="134">
        <v>45352</v>
      </c>
      <c r="H83" s="109"/>
      <c r="I83" s="109"/>
      <c r="J83" s="41">
        <f t="shared" si="40"/>
        <v>65</v>
      </c>
      <c r="K83" s="86" t="s">
        <v>203</v>
      </c>
      <c r="L83" s="133" t="s">
        <v>200</v>
      </c>
      <c r="M83" s="33">
        <v>40400</v>
      </c>
      <c r="N83" s="20">
        <f t="shared" si="65"/>
        <v>20200</v>
      </c>
      <c r="O83" s="20">
        <f t="shared" si="66"/>
        <v>10100</v>
      </c>
      <c r="P83" s="20">
        <f t="shared" si="67"/>
        <v>5050</v>
      </c>
      <c r="Q83" s="20">
        <f t="shared" si="68"/>
        <v>5050</v>
      </c>
      <c r="R83" s="20">
        <v>0</v>
      </c>
      <c r="S83" s="20">
        <f t="shared" si="77"/>
        <v>40400</v>
      </c>
      <c r="T83" s="20">
        <v>0</v>
      </c>
      <c r="U83" s="22">
        <v>26</v>
      </c>
      <c r="V83" s="22">
        <v>4</v>
      </c>
      <c r="W83" s="22">
        <v>0</v>
      </c>
      <c r="X83" s="22">
        <f t="shared" si="70"/>
        <v>30</v>
      </c>
      <c r="Y83" s="20">
        <f t="shared" si="38"/>
        <v>40400</v>
      </c>
      <c r="Z83" s="20">
        <v>0</v>
      </c>
      <c r="AA83" s="20">
        <f t="shared" si="71"/>
        <v>40400</v>
      </c>
      <c r="AB83" s="20">
        <f t="shared" si="39"/>
        <v>17506.666666666668</v>
      </c>
      <c r="AC83" s="20">
        <v>0</v>
      </c>
      <c r="AD83" s="42">
        <v>0</v>
      </c>
      <c r="AE83" s="20">
        <v>0</v>
      </c>
      <c r="AF83" s="20">
        <v>0</v>
      </c>
      <c r="AG83" s="20">
        <f t="shared" si="79"/>
        <v>200</v>
      </c>
      <c r="AH83" s="24">
        <v>0</v>
      </c>
      <c r="AI83" s="80">
        <v>200</v>
      </c>
      <c r="AJ83" s="122">
        <v>0</v>
      </c>
      <c r="AK83" s="122">
        <v>0</v>
      </c>
      <c r="AL83" s="122">
        <v>0</v>
      </c>
      <c r="AM83" s="25">
        <v>0</v>
      </c>
      <c r="AN83" s="60">
        <f t="shared" si="74"/>
        <v>40000</v>
      </c>
      <c r="AO83" s="51"/>
      <c r="AP83" s="51"/>
      <c r="AQ83" s="173" t="s">
        <v>385</v>
      </c>
      <c r="AR83" s="51"/>
      <c r="AS83" s="51"/>
      <c r="AT83" s="51"/>
      <c r="AU83" s="58"/>
      <c r="AV83" s="53"/>
      <c r="AW83" s="54"/>
      <c r="AX83" s="51"/>
      <c r="AY83" s="51"/>
      <c r="AZ83" s="51"/>
      <c r="BA83" s="51"/>
      <c r="BC83" s="159">
        <f t="shared" si="75"/>
        <v>40200</v>
      </c>
    </row>
    <row r="84" spans="2:56" s="50" customFormat="1" ht="15.75" x14ac:dyDescent="0.25">
      <c r="B84" s="198">
        <v>28000</v>
      </c>
      <c r="C84" s="155">
        <v>25000</v>
      </c>
      <c r="D84" s="78">
        <v>24000</v>
      </c>
      <c r="E84" s="30" t="s">
        <v>421</v>
      </c>
      <c r="F84" s="113" t="s">
        <v>150</v>
      </c>
      <c r="G84" s="134">
        <v>45352</v>
      </c>
      <c r="H84" s="109"/>
      <c r="I84" s="109"/>
      <c r="J84" s="41">
        <f t="shared" si="40"/>
        <v>66</v>
      </c>
      <c r="K84" s="86" t="s">
        <v>203</v>
      </c>
      <c r="L84" s="30" t="s">
        <v>201</v>
      </c>
      <c r="M84" s="33">
        <v>28000</v>
      </c>
      <c r="N84" s="20">
        <f t="shared" si="65"/>
        <v>15500</v>
      </c>
      <c r="O84" s="20">
        <f t="shared" si="66"/>
        <v>6250</v>
      </c>
      <c r="P84" s="20">
        <f t="shared" si="67"/>
        <v>3125</v>
      </c>
      <c r="Q84" s="20">
        <f t="shared" si="68"/>
        <v>3125</v>
      </c>
      <c r="R84" s="20">
        <v>0</v>
      </c>
      <c r="S84" s="20">
        <f t="shared" si="77"/>
        <v>28000</v>
      </c>
      <c r="T84" s="20">
        <v>0</v>
      </c>
      <c r="U84" s="22">
        <v>22</v>
      </c>
      <c r="V84" s="22">
        <v>3</v>
      </c>
      <c r="W84" s="22">
        <v>0</v>
      </c>
      <c r="X84" s="22">
        <f t="shared" si="70"/>
        <v>25</v>
      </c>
      <c r="Y84" s="20">
        <f t="shared" ref="Y84:Y143" si="80">+M84/30*X84</f>
        <v>23333.333333333336</v>
      </c>
      <c r="Z84" s="20">
        <v>0</v>
      </c>
      <c r="AA84" s="20">
        <f t="shared" si="71"/>
        <v>23333.333333333336</v>
      </c>
      <c r="AB84" s="20">
        <f t="shared" ref="AB84:AB143" si="81">+(N84/30)*U84</f>
        <v>11366.666666666666</v>
      </c>
      <c r="AC84" s="20">
        <v>0</v>
      </c>
      <c r="AD84" s="20">
        <v>0</v>
      </c>
      <c r="AE84" s="20">
        <v>0</v>
      </c>
      <c r="AF84" s="20">
        <v>0</v>
      </c>
      <c r="AG84" s="20">
        <f t="shared" si="79"/>
        <v>200</v>
      </c>
      <c r="AH84" s="24"/>
      <c r="AI84" s="80">
        <v>0</v>
      </c>
      <c r="AJ84" s="24">
        <v>0</v>
      </c>
      <c r="AK84" s="24">
        <v>0</v>
      </c>
      <c r="AL84" s="24">
        <v>0</v>
      </c>
      <c r="AM84" s="25">
        <f t="shared" ref="AM84:AM86" si="82">SUM(AI84:AL84)</f>
        <v>0</v>
      </c>
      <c r="AN84" s="60">
        <f t="shared" si="74"/>
        <v>23133.333333333336</v>
      </c>
      <c r="AO84" s="56"/>
      <c r="AP84" s="56"/>
      <c r="AQ84" s="172" t="s">
        <v>391</v>
      </c>
      <c r="AR84" s="56"/>
      <c r="AS84" s="56"/>
      <c r="AT84" s="57"/>
      <c r="AU84" s="58"/>
      <c r="AV84" s="53"/>
      <c r="AW84" s="54"/>
      <c r="AX84" s="51"/>
      <c r="AY84" s="51"/>
      <c r="AZ84" s="51"/>
      <c r="BA84" s="51"/>
      <c r="BC84" s="152">
        <f t="shared" si="75"/>
        <v>23333.333333333336</v>
      </c>
    </row>
    <row r="85" spans="2:56" s="50" customFormat="1" ht="15.75" x14ac:dyDescent="0.25">
      <c r="B85" s="198">
        <v>19425</v>
      </c>
      <c r="C85" s="155">
        <v>18500</v>
      </c>
      <c r="D85" s="78">
        <v>17000</v>
      </c>
      <c r="E85" s="30" t="s">
        <v>71</v>
      </c>
      <c r="F85" s="113" t="s">
        <v>150</v>
      </c>
      <c r="G85" s="134">
        <v>45352</v>
      </c>
      <c r="H85" s="109"/>
      <c r="I85" s="109"/>
      <c r="J85" s="41">
        <f t="shared" ref="J85:J148" si="83">J84+1</f>
        <v>67</v>
      </c>
      <c r="K85" s="86" t="s">
        <v>203</v>
      </c>
      <c r="L85" s="121" t="s">
        <v>204</v>
      </c>
      <c r="M85" s="33">
        <v>30000</v>
      </c>
      <c r="N85" s="20">
        <f t="shared" si="65"/>
        <v>15500</v>
      </c>
      <c r="O85" s="20">
        <f t="shared" si="66"/>
        <v>7250</v>
      </c>
      <c r="P85" s="20">
        <f t="shared" si="67"/>
        <v>3625</v>
      </c>
      <c r="Q85" s="20">
        <f t="shared" si="68"/>
        <v>3625</v>
      </c>
      <c r="R85" s="20">
        <v>0</v>
      </c>
      <c r="S85" s="20">
        <f t="shared" si="77"/>
        <v>30000</v>
      </c>
      <c r="T85" s="20">
        <v>0</v>
      </c>
      <c r="U85" s="22">
        <v>16</v>
      </c>
      <c r="V85" s="22">
        <v>2</v>
      </c>
      <c r="W85" s="22">
        <v>0.77</v>
      </c>
      <c r="X85" s="22">
        <f t="shared" si="70"/>
        <v>18.77</v>
      </c>
      <c r="Y85" s="20">
        <f t="shared" si="80"/>
        <v>18770</v>
      </c>
      <c r="Z85" s="20">
        <v>0</v>
      </c>
      <c r="AA85" s="20">
        <f t="shared" si="71"/>
        <v>18770</v>
      </c>
      <c r="AB85" s="20">
        <f t="shared" si="81"/>
        <v>8266.6666666666661</v>
      </c>
      <c r="AC85" s="20">
        <v>0</v>
      </c>
      <c r="AD85" s="20">
        <v>0</v>
      </c>
      <c r="AE85" s="20">
        <v>0</v>
      </c>
      <c r="AF85" s="20">
        <v>0</v>
      </c>
      <c r="AG85" s="20">
        <f t="shared" si="79"/>
        <v>200</v>
      </c>
      <c r="AH85" s="24"/>
      <c r="AI85" s="80">
        <v>0</v>
      </c>
      <c r="AJ85" s="24">
        <v>0</v>
      </c>
      <c r="AK85" s="24">
        <v>0</v>
      </c>
      <c r="AL85" s="24">
        <v>0</v>
      </c>
      <c r="AM85" s="25">
        <f t="shared" si="82"/>
        <v>0</v>
      </c>
      <c r="AN85" s="60">
        <f t="shared" si="74"/>
        <v>18570</v>
      </c>
      <c r="AO85" s="56"/>
      <c r="AP85" s="56"/>
      <c r="AQ85" s="172" t="s">
        <v>396</v>
      </c>
      <c r="AR85" s="56"/>
      <c r="AS85" s="56"/>
      <c r="AT85" s="57"/>
      <c r="AU85" s="58"/>
      <c r="AV85" s="53"/>
      <c r="AW85" s="54"/>
      <c r="AX85" s="51"/>
      <c r="AY85" s="51"/>
      <c r="AZ85" s="51"/>
      <c r="BA85" s="51"/>
      <c r="BC85" s="160">
        <f t="shared" si="75"/>
        <v>18770</v>
      </c>
    </row>
    <row r="86" spans="2:56" s="50" customFormat="1" ht="15.75" x14ac:dyDescent="0.25">
      <c r="B86" s="198">
        <v>16500</v>
      </c>
      <c r="C86" s="155">
        <v>0</v>
      </c>
      <c r="D86" s="78">
        <v>15000</v>
      </c>
      <c r="E86" s="30" t="s">
        <v>54</v>
      </c>
      <c r="F86" s="113" t="s">
        <v>150</v>
      </c>
      <c r="G86" s="134">
        <v>45352</v>
      </c>
      <c r="H86" s="109"/>
      <c r="I86" s="109"/>
      <c r="J86" s="41">
        <f t="shared" si="83"/>
        <v>68</v>
      </c>
      <c r="K86" s="86" t="s">
        <v>203</v>
      </c>
      <c r="L86" s="84" t="s">
        <v>202</v>
      </c>
      <c r="M86" s="33">
        <v>30400</v>
      </c>
      <c r="N86" s="20">
        <f t="shared" si="65"/>
        <v>15500</v>
      </c>
      <c r="O86" s="20">
        <f t="shared" si="66"/>
        <v>7450</v>
      </c>
      <c r="P86" s="20">
        <f t="shared" si="67"/>
        <v>3725</v>
      </c>
      <c r="Q86" s="20">
        <f t="shared" si="68"/>
        <v>3725</v>
      </c>
      <c r="R86" s="20">
        <v>0</v>
      </c>
      <c r="S86" s="20">
        <f>N86+O86+P86+Q86+R86</f>
        <v>30400</v>
      </c>
      <c r="T86" s="20">
        <v>0</v>
      </c>
      <c r="U86" s="22">
        <v>13</v>
      </c>
      <c r="V86" s="22">
        <v>2</v>
      </c>
      <c r="W86" s="22">
        <v>0.94</v>
      </c>
      <c r="X86" s="22">
        <f t="shared" si="70"/>
        <v>15.94</v>
      </c>
      <c r="Y86" s="20">
        <f t="shared" si="80"/>
        <v>16152.533333333333</v>
      </c>
      <c r="Z86" s="20">
        <v>0</v>
      </c>
      <c r="AA86" s="20">
        <f t="shared" si="71"/>
        <v>16152.533333333333</v>
      </c>
      <c r="AB86" s="20">
        <f t="shared" si="81"/>
        <v>6716.6666666666661</v>
      </c>
      <c r="AC86" s="20">
        <v>0</v>
      </c>
      <c r="AD86" s="20">
        <v>0</v>
      </c>
      <c r="AE86" s="20">
        <v>0</v>
      </c>
      <c r="AF86" s="20">
        <v>0</v>
      </c>
      <c r="AG86" s="20">
        <f t="shared" si="79"/>
        <v>200</v>
      </c>
      <c r="AH86" s="24"/>
      <c r="AI86" s="80">
        <v>0</v>
      </c>
      <c r="AJ86" s="24">
        <v>0</v>
      </c>
      <c r="AK86" s="24">
        <v>0</v>
      </c>
      <c r="AL86" s="24">
        <v>0</v>
      </c>
      <c r="AM86" s="25">
        <f t="shared" si="82"/>
        <v>0</v>
      </c>
      <c r="AN86" s="60">
        <f t="shared" si="74"/>
        <v>15952.533333333333</v>
      </c>
      <c r="AO86" s="56"/>
      <c r="AP86" s="56"/>
      <c r="AQ86" s="172" t="s">
        <v>395</v>
      </c>
      <c r="AR86" s="56"/>
      <c r="AS86" s="56"/>
      <c r="AT86" s="57"/>
      <c r="AU86" s="58"/>
      <c r="AV86" s="53"/>
      <c r="AW86" s="54"/>
      <c r="AX86" s="51"/>
      <c r="AY86" s="51"/>
      <c r="AZ86" s="51"/>
      <c r="BA86" s="51"/>
      <c r="BC86" s="160">
        <f t="shared" si="75"/>
        <v>16152.533333333333</v>
      </c>
    </row>
    <row r="87" spans="2:56" s="50" customFormat="1" ht="15.75" x14ac:dyDescent="0.25">
      <c r="B87" s="196"/>
      <c r="C87" s="103"/>
      <c r="D87" s="78">
        <v>100200</v>
      </c>
      <c r="E87" s="48" t="s">
        <v>212</v>
      </c>
      <c r="F87" s="113" t="s">
        <v>210</v>
      </c>
      <c r="G87" s="112">
        <v>45383</v>
      </c>
      <c r="H87" s="30"/>
      <c r="I87" s="30"/>
      <c r="J87" s="41">
        <f t="shared" si="83"/>
        <v>69</v>
      </c>
      <c r="K87" s="86" t="s">
        <v>211</v>
      </c>
      <c r="L87" s="222" t="s">
        <v>205</v>
      </c>
      <c r="M87" s="33">
        <v>150200</v>
      </c>
      <c r="N87" s="20">
        <f t="shared" si="65"/>
        <v>75100</v>
      </c>
      <c r="O87" s="20">
        <f t="shared" si="66"/>
        <v>37550</v>
      </c>
      <c r="P87" s="20">
        <f t="shared" si="67"/>
        <v>18775</v>
      </c>
      <c r="Q87" s="20">
        <f t="shared" si="68"/>
        <v>18775</v>
      </c>
      <c r="R87" s="20">
        <v>0</v>
      </c>
      <c r="S87" s="20">
        <f t="shared" ref="S87:S93" si="84">N87+O87+P87+Q87+R87</f>
        <v>150200</v>
      </c>
      <c r="T87" s="20">
        <v>0</v>
      </c>
      <c r="U87" s="22">
        <v>26</v>
      </c>
      <c r="V87" s="22">
        <v>4</v>
      </c>
      <c r="W87" s="22">
        <v>0</v>
      </c>
      <c r="X87" s="22">
        <f t="shared" si="70"/>
        <v>30</v>
      </c>
      <c r="Y87" s="20">
        <f t="shared" si="80"/>
        <v>150200</v>
      </c>
      <c r="Z87" s="20">
        <v>0</v>
      </c>
      <c r="AA87" s="20">
        <f t="shared" si="71"/>
        <v>150200</v>
      </c>
      <c r="AB87" s="20">
        <f t="shared" si="81"/>
        <v>65086.666666666672</v>
      </c>
      <c r="AC87" s="20">
        <v>0</v>
      </c>
      <c r="AD87" s="20">
        <v>0</v>
      </c>
      <c r="AE87" s="20">
        <v>0</v>
      </c>
      <c r="AF87" s="20">
        <v>0</v>
      </c>
      <c r="AG87" s="20">
        <v>200</v>
      </c>
      <c r="AH87" s="24">
        <v>13000</v>
      </c>
      <c r="AI87" s="80">
        <v>0</v>
      </c>
      <c r="AJ87" s="24">
        <v>0</v>
      </c>
      <c r="AK87" s="24">
        <v>0</v>
      </c>
      <c r="AL87" s="24">
        <v>0</v>
      </c>
      <c r="AM87" s="25">
        <f t="shared" ref="AM87:AM91" si="85">SUM(AI87:AL87)</f>
        <v>0</v>
      </c>
      <c r="AN87" s="60">
        <f t="shared" si="74"/>
        <v>137000</v>
      </c>
      <c r="AO87" s="51"/>
      <c r="AP87" s="51"/>
      <c r="AQ87" s="165" t="s">
        <v>286</v>
      </c>
      <c r="AR87" s="51"/>
      <c r="AS87" s="51"/>
      <c r="AT87" s="51"/>
      <c r="AU87" s="58"/>
      <c r="AV87" s="53"/>
      <c r="AW87" s="54"/>
      <c r="AX87" s="51"/>
      <c r="AY87" s="51"/>
      <c r="AZ87" s="51"/>
      <c r="BA87" s="51"/>
      <c r="BC87" s="152">
        <f t="shared" si="75"/>
        <v>137200</v>
      </c>
    </row>
    <row r="88" spans="2:56" s="50" customFormat="1" ht="15.75" x14ac:dyDescent="0.25">
      <c r="B88" s="196"/>
      <c r="C88" s="103"/>
      <c r="D88" s="33">
        <v>150000</v>
      </c>
      <c r="E88" s="48" t="s">
        <v>212</v>
      </c>
      <c r="F88" s="113" t="s">
        <v>210</v>
      </c>
      <c r="G88" s="112">
        <v>45383</v>
      </c>
      <c r="H88" s="30"/>
      <c r="I88" s="30"/>
      <c r="J88" s="41">
        <f t="shared" si="83"/>
        <v>70</v>
      </c>
      <c r="K88" s="86" t="s">
        <v>211</v>
      </c>
      <c r="L88" s="222" t="s">
        <v>206</v>
      </c>
      <c r="M88" s="33">
        <v>200200</v>
      </c>
      <c r="N88" s="20">
        <f t="shared" si="65"/>
        <v>100100</v>
      </c>
      <c r="O88" s="20">
        <f t="shared" si="66"/>
        <v>50050</v>
      </c>
      <c r="P88" s="20">
        <f t="shared" si="67"/>
        <v>25025</v>
      </c>
      <c r="Q88" s="20">
        <f t="shared" si="68"/>
        <v>25025</v>
      </c>
      <c r="R88" s="20">
        <v>0</v>
      </c>
      <c r="S88" s="20">
        <f t="shared" si="84"/>
        <v>200200</v>
      </c>
      <c r="T88" s="20">
        <v>0</v>
      </c>
      <c r="U88" s="22">
        <v>26</v>
      </c>
      <c r="V88" s="22">
        <v>4</v>
      </c>
      <c r="W88" s="22">
        <v>0</v>
      </c>
      <c r="X88" s="22">
        <f t="shared" si="70"/>
        <v>30</v>
      </c>
      <c r="Y88" s="20">
        <f t="shared" si="80"/>
        <v>200200</v>
      </c>
      <c r="Z88" s="20">
        <v>0</v>
      </c>
      <c r="AA88" s="20">
        <f t="shared" si="71"/>
        <v>200200</v>
      </c>
      <c r="AB88" s="20">
        <f t="shared" si="81"/>
        <v>86753.333333333328</v>
      </c>
      <c r="AC88" s="20">
        <v>0</v>
      </c>
      <c r="AD88" s="20">
        <v>0</v>
      </c>
      <c r="AE88" s="20">
        <v>0</v>
      </c>
      <c r="AF88" s="20">
        <v>0</v>
      </c>
      <c r="AG88" s="20">
        <v>200</v>
      </c>
      <c r="AH88" s="24">
        <v>30000</v>
      </c>
      <c r="AI88" s="80">
        <v>0</v>
      </c>
      <c r="AJ88" s="24">
        <v>0</v>
      </c>
      <c r="AK88" s="24">
        <v>0</v>
      </c>
      <c r="AL88" s="24">
        <v>0</v>
      </c>
      <c r="AM88" s="25">
        <f t="shared" si="85"/>
        <v>0</v>
      </c>
      <c r="AN88" s="60">
        <f t="shared" si="74"/>
        <v>170000</v>
      </c>
      <c r="AO88" s="51"/>
      <c r="AP88" s="51"/>
      <c r="AQ88" s="172" t="s">
        <v>393</v>
      </c>
      <c r="AR88" s="51"/>
      <c r="AS88" s="51"/>
      <c r="AT88" s="51"/>
      <c r="AU88" s="58"/>
      <c r="AV88" s="53"/>
      <c r="AW88" s="54"/>
      <c r="AX88" s="51"/>
      <c r="AY88" s="51"/>
      <c r="AZ88" s="51"/>
      <c r="BA88" s="51"/>
      <c r="BC88" s="152">
        <f t="shared" si="75"/>
        <v>170200</v>
      </c>
    </row>
    <row r="89" spans="2:56" s="50" customFormat="1" ht="15.75" x14ac:dyDescent="0.25">
      <c r="B89" s="196"/>
      <c r="C89" s="103"/>
      <c r="D89" s="33">
        <v>150000</v>
      </c>
      <c r="E89" s="48" t="s">
        <v>212</v>
      </c>
      <c r="F89" s="113" t="s">
        <v>210</v>
      </c>
      <c r="G89" s="112">
        <v>45383</v>
      </c>
      <c r="H89" s="30"/>
      <c r="I89" s="30"/>
      <c r="J89" s="41">
        <f t="shared" si="83"/>
        <v>71</v>
      </c>
      <c r="K89" s="86" t="s">
        <v>211</v>
      </c>
      <c r="L89" s="222" t="s">
        <v>207</v>
      </c>
      <c r="M89" s="33">
        <v>200200</v>
      </c>
      <c r="N89" s="20">
        <f t="shared" si="65"/>
        <v>100100</v>
      </c>
      <c r="O89" s="20">
        <f t="shared" si="66"/>
        <v>50050</v>
      </c>
      <c r="P89" s="20">
        <f t="shared" si="67"/>
        <v>25025</v>
      </c>
      <c r="Q89" s="20">
        <f t="shared" si="68"/>
        <v>25025</v>
      </c>
      <c r="R89" s="20">
        <v>0</v>
      </c>
      <c r="S89" s="20">
        <f t="shared" si="84"/>
        <v>200200</v>
      </c>
      <c r="T89" s="20">
        <v>0</v>
      </c>
      <c r="U89" s="22">
        <v>26</v>
      </c>
      <c r="V89" s="22">
        <v>4</v>
      </c>
      <c r="W89" s="22">
        <v>0</v>
      </c>
      <c r="X89" s="22">
        <f t="shared" si="70"/>
        <v>30</v>
      </c>
      <c r="Y89" s="20">
        <f t="shared" si="80"/>
        <v>200200</v>
      </c>
      <c r="Z89" s="20">
        <v>0</v>
      </c>
      <c r="AA89" s="20">
        <f t="shared" si="71"/>
        <v>200200</v>
      </c>
      <c r="AB89" s="20">
        <f t="shared" si="81"/>
        <v>86753.333333333328</v>
      </c>
      <c r="AC89" s="20">
        <v>0</v>
      </c>
      <c r="AD89" s="20">
        <v>0</v>
      </c>
      <c r="AE89" s="20">
        <v>0</v>
      </c>
      <c r="AF89" s="20">
        <v>0</v>
      </c>
      <c r="AG89" s="20">
        <v>200</v>
      </c>
      <c r="AH89" s="24">
        <v>30000</v>
      </c>
      <c r="AI89" s="80">
        <v>0</v>
      </c>
      <c r="AJ89" s="24">
        <v>0</v>
      </c>
      <c r="AK89" s="24">
        <v>0</v>
      </c>
      <c r="AL89" s="24">
        <v>0</v>
      </c>
      <c r="AM89" s="25">
        <f t="shared" si="85"/>
        <v>0</v>
      </c>
      <c r="AN89" s="60">
        <f t="shared" si="74"/>
        <v>170000</v>
      </c>
      <c r="AO89" s="51"/>
      <c r="AP89" s="51"/>
      <c r="AQ89" s="165" t="s">
        <v>292</v>
      </c>
      <c r="AR89" s="51"/>
      <c r="AS89" s="51"/>
      <c r="AT89" s="51"/>
      <c r="AU89" s="58"/>
      <c r="AV89" s="53"/>
      <c r="AW89" s="54"/>
      <c r="AX89" s="51"/>
      <c r="AY89" s="51"/>
      <c r="AZ89" s="51"/>
      <c r="BA89" s="51"/>
      <c r="BC89" s="152">
        <f t="shared" si="75"/>
        <v>170200</v>
      </c>
    </row>
    <row r="90" spans="2:56" s="50" customFormat="1" ht="15.75" x14ac:dyDescent="0.25">
      <c r="B90" s="196"/>
      <c r="C90" s="103"/>
      <c r="D90" s="33">
        <v>200000</v>
      </c>
      <c r="E90" s="48" t="s">
        <v>212</v>
      </c>
      <c r="F90" s="113" t="s">
        <v>210</v>
      </c>
      <c r="G90" s="112">
        <v>45383</v>
      </c>
      <c r="H90" s="30"/>
      <c r="I90" s="30"/>
      <c r="J90" s="41">
        <f t="shared" si="83"/>
        <v>72</v>
      </c>
      <c r="K90" s="86" t="s">
        <v>211</v>
      </c>
      <c r="L90" s="222" t="s">
        <v>208</v>
      </c>
      <c r="M90" s="33">
        <v>200200</v>
      </c>
      <c r="N90" s="20">
        <f t="shared" si="65"/>
        <v>100100</v>
      </c>
      <c r="O90" s="20">
        <f t="shared" si="66"/>
        <v>50050</v>
      </c>
      <c r="P90" s="20">
        <f t="shared" si="67"/>
        <v>25025</v>
      </c>
      <c r="Q90" s="20">
        <f t="shared" si="68"/>
        <v>25025</v>
      </c>
      <c r="R90" s="20">
        <v>0</v>
      </c>
      <c r="S90" s="20">
        <f t="shared" si="84"/>
        <v>200200</v>
      </c>
      <c r="T90" s="20">
        <v>0</v>
      </c>
      <c r="U90" s="22">
        <v>26</v>
      </c>
      <c r="V90" s="22">
        <v>4</v>
      </c>
      <c r="W90" s="22">
        <v>0</v>
      </c>
      <c r="X90" s="22">
        <f t="shared" si="70"/>
        <v>30</v>
      </c>
      <c r="Y90" s="20">
        <f t="shared" si="80"/>
        <v>200200</v>
      </c>
      <c r="Z90" s="20">
        <v>0</v>
      </c>
      <c r="AA90" s="20">
        <f t="shared" si="71"/>
        <v>200200</v>
      </c>
      <c r="AB90" s="20">
        <f t="shared" si="81"/>
        <v>86753.333333333328</v>
      </c>
      <c r="AC90" s="20">
        <v>0</v>
      </c>
      <c r="AD90" s="20">
        <v>0</v>
      </c>
      <c r="AE90" s="20">
        <v>0</v>
      </c>
      <c r="AF90" s="20">
        <v>0</v>
      </c>
      <c r="AG90" s="20">
        <v>200</v>
      </c>
      <c r="AH90" s="24">
        <v>30000</v>
      </c>
      <c r="AI90" s="80">
        <v>0</v>
      </c>
      <c r="AJ90" s="24">
        <v>0</v>
      </c>
      <c r="AK90" s="24">
        <v>0</v>
      </c>
      <c r="AL90" s="24">
        <v>0</v>
      </c>
      <c r="AM90" s="25">
        <f t="shared" si="85"/>
        <v>0</v>
      </c>
      <c r="AN90" s="60">
        <f t="shared" si="74"/>
        <v>170000</v>
      </c>
      <c r="AO90" s="51"/>
      <c r="AP90" s="51"/>
      <c r="AQ90" s="165" t="s">
        <v>289</v>
      </c>
      <c r="AR90" s="51"/>
      <c r="AS90" s="51"/>
      <c r="AT90" s="51"/>
      <c r="AU90" s="58"/>
      <c r="AV90" s="53"/>
      <c r="AW90" s="54"/>
      <c r="AX90" s="51"/>
      <c r="AY90" s="51"/>
      <c r="AZ90" s="51"/>
      <c r="BA90" s="51"/>
      <c r="BC90" s="152">
        <f t="shared" si="75"/>
        <v>170200</v>
      </c>
    </row>
    <row r="91" spans="2:56" s="50" customFormat="1" ht="15.75" x14ac:dyDescent="0.25">
      <c r="B91" s="196"/>
      <c r="C91" s="103"/>
      <c r="D91" s="3">
        <v>90200</v>
      </c>
      <c r="E91" s="48" t="s">
        <v>212</v>
      </c>
      <c r="F91" s="113" t="s">
        <v>210</v>
      </c>
      <c r="G91" s="112">
        <v>45383</v>
      </c>
      <c r="H91" s="30"/>
      <c r="I91" s="30"/>
      <c r="J91" s="41">
        <f t="shared" si="83"/>
        <v>73</v>
      </c>
      <c r="K91" s="86" t="s">
        <v>211</v>
      </c>
      <c r="L91" s="222" t="s">
        <v>209</v>
      </c>
      <c r="M91" s="33">
        <v>90200</v>
      </c>
      <c r="N91" s="20">
        <f t="shared" si="65"/>
        <v>45100</v>
      </c>
      <c r="O91" s="20">
        <f t="shared" si="66"/>
        <v>22550</v>
      </c>
      <c r="P91" s="20">
        <f t="shared" si="67"/>
        <v>11275</v>
      </c>
      <c r="Q91" s="20">
        <f t="shared" si="68"/>
        <v>11275</v>
      </c>
      <c r="R91" s="20">
        <v>0</v>
      </c>
      <c r="S91" s="20">
        <f t="shared" si="84"/>
        <v>90200</v>
      </c>
      <c r="T91" s="20">
        <v>0</v>
      </c>
      <c r="U91" s="22">
        <v>26</v>
      </c>
      <c r="V91" s="22">
        <v>4</v>
      </c>
      <c r="W91" s="22">
        <v>0</v>
      </c>
      <c r="X91" s="22">
        <f t="shared" si="70"/>
        <v>30</v>
      </c>
      <c r="Y91" s="20">
        <f t="shared" si="80"/>
        <v>90200</v>
      </c>
      <c r="Z91" s="20">
        <v>0</v>
      </c>
      <c r="AA91" s="20">
        <f t="shared" si="71"/>
        <v>90200</v>
      </c>
      <c r="AB91" s="20">
        <f t="shared" si="81"/>
        <v>39086.666666666664</v>
      </c>
      <c r="AC91" s="20">
        <v>0</v>
      </c>
      <c r="AD91" s="20">
        <v>0</v>
      </c>
      <c r="AE91" s="20">
        <v>0</v>
      </c>
      <c r="AF91" s="20">
        <v>0</v>
      </c>
      <c r="AG91" s="20">
        <v>200</v>
      </c>
      <c r="AH91" s="24">
        <v>0</v>
      </c>
      <c r="AI91" s="80">
        <v>0</v>
      </c>
      <c r="AJ91" s="24">
        <v>0</v>
      </c>
      <c r="AK91" s="24">
        <v>0</v>
      </c>
      <c r="AL91" s="24">
        <v>0</v>
      </c>
      <c r="AM91" s="25">
        <f t="shared" si="85"/>
        <v>0</v>
      </c>
      <c r="AN91" s="60">
        <f t="shared" si="74"/>
        <v>90000</v>
      </c>
      <c r="AO91" s="51"/>
      <c r="AP91" s="51"/>
      <c r="AQ91" s="165" t="s">
        <v>295</v>
      </c>
      <c r="AR91" s="51"/>
      <c r="AS91" s="51"/>
      <c r="AT91" s="51"/>
      <c r="AU91" s="58"/>
      <c r="AV91" s="53"/>
      <c r="AW91" s="54"/>
      <c r="AX91" s="51"/>
      <c r="AY91" s="51"/>
      <c r="AZ91" s="51"/>
      <c r="BA91" s="51"/>
      <c r="BC91" s="152">
        <f t="shared" si="75"/>
        <v>90200</v>
      </c>
    </row>
    <row r="92" spans="2:56" s="50" customFormat="1" ht="15.75" x14ac:dyDescent="0.25">
      <c r="B92" s="198">
        <v>45000</v>
      </c>
      <c r="C92" s="155">
        <v>39000</v>
      </c>
      <c r="D92" s="78">
        <v>30000</v>
      </c>
      <c r="E92" s="48" t="s">
        <v>247</v>
      </c>
      <c r="F92" s="113" t="s">
        <v>193</v>
      </c>
      <c r="G92" s="112">
        <v>45383</v>
      </c>
      <c r="H92" s="109"/>
      <c r="I92" s="109"/>
      <c r="J92" s="41">
        <f t="shared" si="83"/>
        <v>74</v>
      </c>
      <c r="K92" s="86" t="s">
        <v>211</v>
      </c>
      <c r="L92" s="133" t="s">
        <v>215</v>
      </c>
      <c r="M92" s="33">
        <v>45000</v>
      </c>
      <c r="N92" s="20">
        <f t="shared" si="65"/>
        <v>22500</v>
      </c>
      <c r="O92" s="20">
        <f t="shared" si="66"/>
        <v>11250</v>
      </c>
      <c r="P92" s="20">
        <f t="shared" si="67"/>
        <v>5625</v>
      </c>
      <c r="Q92" s="20">
        <f t="shared" si="68"/>
        <v>5625</v>
      </c>
      <c r="R92" s="20">
        <v>0</v>
      </c>
      <c r="S92" s="20">
        <f t="shared" si="84"/>
        <v>45000</v>
      </c>
      <c r="T92" s="20">
        <v>0</v>
      </c>
      <c r="U92" s="22">
        <v>26</v>
      </c>
      <c r="V92" s="22">
        <v>4</v>
      </c>
      <c r="W92" s="22">
        <v>0</v>
      </c>
      <c r="X92" s="22">
        <f t="shared" si="70"/>
        <v>30</v>
      </c>
      <c r="Y92" s="20">
        <f t="shared" si="80"/>
        <v>45000</v>
      </c>
      <c r="Z92" s="20">
        <v>0</v>
      </c>
      <c r="AA92" s="20">
        <f t="shared" si="71"/>
        <v>45000</v>
      </c>
      <c r="AB92" s="20">
        <f t="shared" si="81"/>
        <v>19500</v>
      </c>
      <c r="AC92" s="20">
        <v>0</v>
      </c>
      <c r="AD92" s="20">
        <v>0</v>
      </c>
      <c r="AE92" s="20">
        <v>0</v>
      </c>
      <c r="AF92" s="20">
        <v>0</v>
      </c>
      <c r="AG92" s="20">
        <f t="shared" ref="AG92:AG93" si="86">IF(AA92&gt;=12000,200,IF(AA92&gt;=9000,150,IF(AA92&gt;=6000,80,IF(AA92&gt;=3000,0,0))))</f>
        <v>200</v>
      </c>
      <c r="AH92" s="24"/>
      <c r="AI92" s="80">
        <v>0</v>
      </c>
      <c r="AJ92" s="24">
        <v>0</v>
      </c>
      <c r="AK92" s="24">
        <v>0</v>
      </c>
      <c r="AL92" s="24">
        <v>0</v>
      </c>
      <c r="AM92" s="25">
        <f t="shared" ref="AM92:AM93" si="87">SUM(AI92:AL92)</f>
        <v>0</v>
      </c>
      <c r="AN92" s="60">
        <f t="shared" si="74"/>
        <v>44800</v>
      </c>
      <c r="AO92" s="56"/>
      <c r="AP92" s="56"/>
      <c r="AQ92" s="172" t="s">
        <v>405</v>
      </c>
      <c r="AR92" s="56"/>
      <c r="AS92" s="56"/>
      <c r="AT92" s="57"/>
      <c r="AU92" s="58"/>
      <c r="AV92" s="53"/>
      <c r="AW92" s="54"/>
      <c r="AX92" s="51"/>
      <c r="AY92" s="51"/>
      <c r="AZ92" s="51"/>
      <c r="BA92" s="51"/>
      <c r="BC92" s="152">
        <f t="shared" si="75"/>
        <v>45000</v>
      </c>
    </row>
    <row r="93" spans="2:56" s="50" customFormat="1" ht="15.75" x14ac:dyDescent="0.25">
      <c r="B93" s="198">
        <v>40000</v>
      </c>
      <c r="C93" s="155">
        <v>42000</v>
      </c>
      <c r="D93" s="78">
        <v>39000</v>
      </c>
      <c r="E93" s="48" t="s">
        <v>248</v>
      </c>
      <c r="F93" s="113" t="s">
        <v>193</v>
      </c>
      <c r="G93" s="112">
        <v>45383</v>
      </c>
      <c r="H93" s="109"/>
      <c r="I93" s="109"/>
      <c r="J93" s="41">
        <f t="shared" si="83"/>
        <v>75</v>
      </c>
      <c r="K93" s="86" t="s">
        <v>211</v>
      </c>
      <c r="L93" s="133" t="s">
        <v>214</v>
      </c>
      <c r="M93" s="33">
        <v>40000</v>
      </c>
      <c r="N93" s="20">
        <f t="shared" si="65"/>
        <v>20000</v>
      </c>
      <c r="O93" s="20">
        <f t="shared" si="66"/>
        <v>10000</v>
      </c>
      <c r="P93" s="20">
        <f t="shared" si="67"/>
        <v>5000</v>
      </c>
      <c r="Q93" s="20">
        <f t="shared" si="68"/>
        <v>5000</v>
      </c>
      <c r="R93" s="20">
        <v>0</v>
      </c>
      <c r="S93" s="20">
        <f t="shared" si="84"/>
        <v>40000</v>
      </c>
      <c r="T93" s="20">
        <v>0</v>
      </c>
      <c r="U93" s="22">
        <v>26</v>
      </c>
      <c r="V93" s="22">
        <v>4</v>
      </c>
      <c r="W93" s="22">
        <v>0</v>
      </c>
      <c r="X93" s="22">
        <f t="shared" si="70"/>
        <v>30</v>
      </c>
      <c r="Y93" s="20">
        <f t="shared" si="80"/>
        <v>40000</v>
      </c>
      <c r="Z93" s="20">
        <v>5000</v>
      </c>
      <c r="AA93" s="20">
        <f t="shared" si="71"/>
        <v>45000</v>
      </c>
      <c r="AB93" s="20">
        <f t="shared" si="81"/>
        <v>17333.333333333332</v>
      </c>
      <c r="AC93" s="20">
        <v>0</v>
      </c>
      <c r="AD93" s="20">
        <v>0</v>
      </c>
      <c r="AE93" s="20">
        <v>0</v>
      </c>
      <c r="AF93" s="20">
        <v>0</v>
      </c>
      <c r="AG93" s="20">
        <f t="shared" si="86"/>
        <v>200</v>
      </c>
      <c r="AH93" s="24"/>
      <c r="AI93" s="80">
        <v>0</v>
      </c>
      <c r="AJ93" s="24">
        <v>0</v>
      </c>
      <c r="AK93" s="24">
        <v>0</v>
      </c>
      <c r="AL93" s="24">
        <v>0</v>
      </c>
      <c r="AM93" s="25">
        <f t="shared" si="87"/>
        <v>0</v>
      </c>
      <c r="AN93" s="60">
        <f t="shared" si="74"/>
        <v>44800</v>
      </c>
      <c r="AO93" s="56"/>
      <c r="AP93" s="56"/>
      <c r="AQ93" s="172" t="s">
        <v>403</v>
      </c>
      <c r="AR93" s="56"/>
      <c r="AS93" s="56"/>
      <c r="AT93" s="57"/>
      <c r="AU93" s="58"/>
      <c r="AV93" s="53"/>
      <c r="AW93" s="54"/>
      <c r="AX93" s="51"/>
      <c r="AY93" s="51"/>
      <c r="AZ93" s="51"/>
      <c r="BA93" s="51"/>
      <c r="BC93" s="152">
        <f t="shared" si="75"/>
        <v>45000</v>
      </c>
    </row>
    <row r="94" spans="2:56" ht="19.5" customHeight="1" x14ac:dyDescent="0.25">
      <c r="B94" s="198">
        <v>27300</v>
      </c>
      <c r="C94" s="155">
        <v>26000</v>
      </c>
      <c r="D94" s="15">
        <v>24000</v>
      </c>
      <c r="E94" s="30" t="s">
        <v>233</v>
      </c>
      <c r="F94" s="104" t="s">
        <v>150</v>
      </c>
      <c r="G94" s="112">
        <v>45017</v>
      </c>
      <c r="H94" s="51"/>
      <c r="I94" s="97" t="s">
        <v>178</v>
      </c>
      <c r="J94" s="41">
        <f t="shared" si="83"/>
        <v>76</v>
      </c>
      <c r="K94" s="86" t="s">
        <v>143</v>
      </c>
      <c r="L94" s="91" t="s">
        <v>140</v>
      </c>
      <c r="M94" s="19">
        <v>27300</v>
      </c>
      <c r="N94" s="20">
        <f>ROUND(IF((M94*50%)&lt;10000,10000,(M94*50/100)),)</f>
        <v>13650</v>
      </c>
      <c r="O94" s="20">
        <f>ROUND((M94-N94)/2,)</f>
        <v>6825</v>
      </c>
      <c r="P94" s="20">
        <f>ROUND(O94*50%,)</f>
        <v>3413</v>
      </c>
      <c r="Q94" s="20">
        <f>ROUND(O94*50/100,)</f>
        <v>3413</v>
      </c>
      <c r="R94" s="20">
        <v>0</v>
      </c>
      <c r="S94" s="20">
        <f>N94+O94+P94+Q94+R94</f>
        <v>27301</v>
      </c>
      <c r="T94" s="20">
        <v>0</v>
      </c>
      <c r="U94" s="22">
        <v>26</v>
      </c>
      <c r="V94" s="22">
        <v>4</v>
      </c>
      <c r="W94" s="22">
        <v>0</v>
      </c>
      <c r="X94" s="22">
        <f>+U94+V94+W94</f>
        <v>30</v>
      </c>
      <c r="Y94" s="20">
        <f t="shared" si="80"/>
        <v>27300</v>
      </c>
      <c r="Z94" s="42">
        <v>0</v>
      </c>
      <c r="AA94" s="20">
        <f>+Y94+Z94</f>
        <v>27300</v>
      </c>
      <c r="AB94" s="20">
        <f t="shared" si="81"/>
        <v>11830</v>
      </c>
      <c r="AC94" s="20">
        <v>0</v>
      </c>
      <c r="AD94" s="20">
        <v>0</v>
      </c>
      <c r="AE94" s="20">
        <v>0</v>
      </c>
      <c r="AF94" s="20">
        <v>0</v>
      </c>
      <c r="AG94" s="20">
        <f>IF(AA94&gt;=12000,200,IF(AA94&gt;=9000,150,IF(AA94&gt;=6000,80,IF(AA94&gt;=3000,0,0))))</f>
        <v>200</v>
      </c>
      <c r="AH94" s="24"/>
      <c r="AI94" s="80">
        <v>0</v>
      </c>
      <c r="AJ94" s="24">
        <v>0</v>
      </c>
      <c r="AK94" s="24">
        <v>0</v>
      </c>
      <c r="AL94" s="24">
        <v>0</v>
      </c>
      <c r="AM94" s="25">
        <f t="shared" ref="AM94:AM95" si="88">SUM(AI94:AL94)</f>
        <v>0</v>
      </c>
      <c r="AN94" s="26">
        <f>+AA94-(AC94+AE94+AG94+AH94+AI94+AJ94+AK94+AL94)</f>
        <v>27100</v>
      </c>
      <c r="AO94" s="93"/>
      <c r="AP94" s="94"/>
      <c r="AQ94" s="174" t="s">
        <v>386</v>
      </c>
      <c r="AR94" s="95"/>
      <c r="AS94" s="95"/>
      <c r="AT94" s="96"/>
      <c r="AU94" s="29"/>
      <c r="AV94" s="20"/>
      <c r="AW94" s="30"/>
      <c r="AX94" s="30"/>
      <c r="AY94" s="30"/>
      <c r="AZ94" s="44"/>
      <c r="BA94" s="30"/>
      <c r="BC94" s="152">
        <f>AC94+AE94+AG94+AN94</f>
        <v>27300</v>
      </c>
      <c r="BD94" s="31"/>
    </row>
    <row r="95" spans="2:56" s="50" customFormat="1" ht="15.75" x14ac:dyDescent="0.25">
      <c r="B95" s="198">
        <v>45550</v>
      </c>
      <c r="C95" s="155">
        <v>40500</v>
      </c>
      <c r="D95" s="78">
        <v>38500</v>
      </c>
      <c r="E95" s="16" t="s">
        <v>114</v>
      </c>
      <c r="F95" s="104" t="s">
        <v>150</v>
      </c>
      <c r="G95" s="134">
        <v>45413</v>
      </c>
      <c r="H95" s="51"/>
      <c r="I95" s="51"/>
      <c r="J95" s="41">
        <f t="shared" si="83"/>
        <v>77</v>
      </c>
      <c r="K95" s="86" t="s">
        <v>218</v>
      </c>
      <c r="L95" s="52" t="s">
        <v>216</v>
      </c>
      <c r="M95" s="33">
        <v>45550</v>
      </c>
      <c r="N95" s="20">
        <f>ROUND(IF((M95*50%)&lt;10000,10000,(M95*50/100)),)</f>
        <v>22775</v>
      </c>
      <c r="O95" s="20">
        <f>ROUND((M95-N95)/2,)</f>
        <v>11388</v>
      </c>
      <c r="P95" s="20">
        <f>ROUND(O95*50%,)</f>
        <v>5694</v>
      </c>
      <c r="Q95" s="20">
        <f>ROUND(O95*50/100,)</f>
        <v>5694</v>
      </c>
      <c r="R95" s="20">
        <v>0</v>
      </c>
      <c r="S95" s="20">
        <f t="shared" ref="S95:S131" si="89">N95+O95+P95+Q95+R95</f>
        <v>45551</v>
      </c>
      <c r="T95" s="20">
        <v>0</v>
      </c>
      <c r="U95" s="22">
        <v>26</v>
      </c>
      <c r="V95" s="22">
        <v>4</v>
      </c>
      <c r="W95" s="22">
        <v>0</v>
      </c>
      <c r="X95" s="22">
        <f t="shared" ref="X95:X103" si="90">+U95+V95+W95</f>
        <v>30</v>
      </c>
      <c r="Y95" s="20">
        <f t="shared" si="80"/>
        <v>45550</v>
      </c>
      <c r="Z95" s="42">
        <v>0</v>
      </c>
      <c r="AA95" s="20">
        <f t="shared" ref="AA95:AA160" si="91">+Y95+Z95</f>
        <v>45550</v>
      </c>
      <c r="AB95" s="20">
        <f t="shared" si="81"/>
        <v>19738.333333333332</v>
      </c>
      <c r="AC95" s="20">
        <v>0</v>
      </c>
      <c r="AD95" s="20">
        <v>0</v>
      </c>
      <c r="AE95" s="20">
        <v>0</v>
      </c>
      <c r="AF95" s="20">
        <v>0</v>
      </c>
      <c r="AG95" s="20">
        <f t="shared" ref="AG95:AG162" si="92">IF(AA95&gt;=12000,200,IF(AA95&gt;=9000,150,IF(AA95&gt;=6000,80,IF(AA95&gt;=3000,0,0))))</f>
        <v>200</v>
      </c>
      <c r="AH95" s="24"/>
      <c r="AI95" s="80">
        <v>0</v>
      </c>
      <c r="AJ95" s="24">
        <v>0</v>
      </c>
      <c r="AK95" s="24">
        <v>0</v>
      </c>
      <c r="AL95" s="24">
        <v>0</v>
      </c>
      <c r="AM95" s="25">
        <f t="shared" si="88"/>
        <v>0</v>
      </c>
      <c r="AN95" s="26">
        <f t="shared" ref="AN95:AN138" si="93">+AA95-(AC95+AE95+AG95+AH95+AI95+AJ95+AK95+AL95)</f>
        <v>45350</v>
      </c>
      <c r="AO95" s="56"/>
      <c r="AP95" s="56"/>
      <c r="AQ95" s="51" t="s">
        <v>337</v>
      </c>
      <c r="AR95" s="56"/>
      <c r="AS95" s="56"/>
      <c r="AT95" s="57"/>
      <c r="AU95" s="58"/>
      <c r="AV95" s="53"/>
      <c r="AW95" s="54"/>
      <c r="AX95" s="51"/>
      <c r="AY95" s="51"/>
      <c r="AZ95" s="51"/>
      <c r="BA95" s="51"/>
      <c r="BC95" s="152">
        <f t="shared" ref="BC95:BC127" si="94">AC95+AE95+AG95+AN95</f>
        <v>45550</v>
      </c>
    </row>
    <row r="96" spans="2:56" s="50" customFormat="1" ht="15.75" x14ac:dyDescent="0.25">
      <c r="B96" s="198">
        <v>0</v>
      </c>
      <c r="C96" s="155">
        <v>36000</v>
      </c>
      <c r="D96" s="15">
        <v>32000</v>
      </c>
      <c r="E96" s="30" t="s">
        <v>228</v>
      </c>
      <c r="F96" s="104" t="s">
        <v>147</v>
      </c>
      <c r="G96" s="134">
        <v>45413</v>
      </c>
      <c r="H96" s="51"/>
      <c r="I96" s="51"/>
      <c r="J96" s="41">
        <f t="shared" si="83"/>
        <v>78</v>
      </c>
      <c r="K96" s="86" t="s">
        <v>218</v>
      </c>
      <c r="L96" s="91" t="s">
        <v>217</v>
      </c>
      <c r="M96" s="33">
        <v>36000</v>
      </c>
      <c r="N96" s="20">
        <f t="shared" ref="N96:N131" si="95">ROUND(IF((M96*50%)&lt;10000,10000,(M96*50/100)),)</f>
        <v>18000</v>
      </c>
      <c r="O96" s="20">
        <f t="shared" ref="O96:O131" si="96">ROUND((M96-N96)/2,)</f>
        <v>9000</v>
      </c>
      <c r="P96" s="20">
        <f t="shared" ref="P96:P131" si="97">ROUND(O96*50%,)</f>
        <v>4500</v>
      </c>
      <c r="Q96" s="20">
        <f t="shared" ref="Q96:Q132" si="98">ROUND(O96*50/100,)</f>
        <v>4500</v>
      </c>
      <c r="R96" s="20">
        <v>0</v>
      </c>
      <c r="S96" s="20">
        <f t="shared" si="89"/>
        <v>36000</v>
      </c>
      <c r="T96" s="20">
        <v>0</v>
      </c>
      <c r="U96" s="22">
        <v>25</v>
      </c>
      <c r="V96" s="22">
        <v>4</v>
      </c>
      <c r="W96" s="22">
        <v>0</v>
      </c>
      <c r="X96" s="22">
        <f t="shared" si="90"/>
        <v>29</v>
      </c>
      <c r="Y96" s="20">
        <f t="shared" si="80"/>
        <v>34800</v>
      </c>
      <c r="Z96" s="42">
        <v>0</v>
      </c>
      <c r="AA96" s="20">
        <f t="shared" si="91"/>
        <v>34800</v>
      </c>
      <c r="AB96" s="20">
        <f t="shared" si="81"/>
        <v>15000</v>
      </c>
      <c r="AC96" s="20">
        <v>0</v>
      </c>
      <c r="AD96" s="20">
        <v>0</v>
      </c>
      <c r="AE96" s="20">
        <v>0</v>
      </c>
      <c r="AF96" s="20">
        <v>0</v>
      </c>
      <c r="AG96" s="20">
        <f t="shared" si="92"/>
        <v>200</v>
      </c>
      <c r="AH96" s="24"/>
      <c r="AI96" s="80">
        <v>0</v>
      </c>
      <c r="AJ96" s="24">
        <v>0</v>
      </c>
      <c r="AK96" s="24">
        <v>0</v>
      </c>
      <c r="AL96" s="24">
        <v>0</v>
      </c>
      <c r="AM96" s="25">
        <f t="shared" ref="AM96" si="99">SUM(AI96:AL96)</f>
        <v>0</v>
      </c>
      <c r="AN96" s="26">
        <f t="shared" si="93"/>
        <v>34600</v>
      </c>
      <c r="AO96" s="56"/>
      <c r="AP96" s="56"/>
      <c r="AQ96" s="51" t="s">
        <v>360</v>
      </c>
      <c r="AR96" s="56"/>
      <c r="AS96" s="56"/>
      <c r="AT96" s="57"/>
      <c r="AU96" s="58"/>
      <c r="AV96" s="53"/>
      <c r="AW96" s="54"/>
      <c r="AX96" s="51"/>
      <c r="AY96" s="51"/>
      <c r="AZ96" s="51"/>
      <c r="BA96" s="51"/>
      <c r="BC96" s="152">
        <f t="shared" si="94"/>
        <v>34800</v>
      </c>
    </row>
    <row r="97" spans="1:55" s="50" customFormat="1" ht="15.75" x14ac:dyDescent="0.25">
      <c r="B97" s="196"/>
      <c r="C97" s="103"/>
      <c r="D97" s="15">
        <v>40000</v>
      </c>
      <c r="E97" s="48" t="s">
        <v>212</v>
      </c>
      <c r="F97" s="104" t="s">
        <v>150</v>
      </c>
      <c r="G97" s="134">
        <v>45444</v>
      </c>
      <c r="H97" s="51"/>
      <c r="I97" s="51"/>
      <c r="J97" s="41">
        <f t="shared" si="83"/>
        <v>79</v>
      </c>
      <c r="K97" s="86" t="s">
        <v>224</v>
      </c>
      <c r="L97" s="30" t="s">
        <v>219</v>
      </c>
      <c r="M97" s="33">
        <v>60200</v>
      </c>
      <c r="N97" s="20">
        <f t="shared" si="95"/>
        <v>30100</v>
      </c>
      <c r="O97" s="20">
        <f t="shared" si="96"/>
        <v>15050</v>
      </c>
      <c r="P97" s="20">
        <f t="shared" si="97"/>
        <v>7525</v>
      </c>
      <c r="Q97" s="20">
        <f t="shared" si="98"/>
        <v>7525</v>
      </c>
      <c r="R97" s="20">
        <v>0</v>
      </c>
      <c r="S97" s="20">
        <f t="shared" si="89"/>
        <v>60200</v>
      </c>
      <c r="T97" s="20">
        <v>0</v>
      </c>
      <c r="U97" s="22">
        <v>26</v>
      </c>
      <c r="V97" s="22">
        <v>4</v>
      </c>
      <c r="W97" s="22">
        <v>0</v>
      </c>
      <c r="X97" s="22">
        <f t="shared" si="90"/>
        <v>30</v>
      </c>
      <c r="Y97" s="20">
        <f t="shared" si="80"/>
        <v>60200</v>
      </c>
      <c r="Z97" s="42">
        <v>0</v>
      </c>
      <c r="AA97" s="20">
        <f t="shared" si="91"/>
        <v>60200</v>
      </c>
      <c r="AB97" s="20">
        <f t="shared" si="81"/>
        <v>26086.666666666668</v>
      </c>
      <c r="AC97" s="20">
        <v>0</v>
      </c>
      <c r="AD97" s="20">
        <v>0</v>
      </c>
      <c r="AE97" s="20">
        <v>0</v>
      </c>
      <c r="AF97" s="20">
        <v>0</v>
      </c>
      <c r="AG97" s="20">
        <f t="shared" si="92"/>
        <v>200</v>
      </c>
      <c r="AH97" s="24"/>
      <c r="AI97" s="80">
        <v>0</v>
      </c>
      <c r="AJ97" s="24">
        <v>0</v>
      </c>
      <c r="AK97" s="24">
        <v>0</v>
      </c>
      <c r="AL97" s="24">
        <v>0</v>
      </c>
      <c r="AM97" s="25">
        <f t="shared" ref="AM97:AM160" si="100">SUM(AI97:AL97)</f>
        <v>0</v>
      </c>
      <c r="AN97" s="26">
        <f t="shared" si="93"/>
        <v>60000</v>
      </c>
      <c r="AO97" s="51"/>
      <c r="AP97" s="51"/>
      <c r="AQ97" s="172" t="s">
        <v>407</v>
      </c>
      <c r="AR97" s="51"/>
      <c r="AS97" s="51"/>
      <c r="AT97" s="51"/>
      <c r="AU97" s="58"/>
      <c r="AV97" s="53"/>
      <c r="AW97" s="54"/>
      <c r="AX97" s="51"/>
      <c r="AY97" s="51"/>
      <c r="AZ97" s="51"/>
      <c r="BA97" s="51"/>
      <c r="BC97" s="152">
        <f t="shared" si="94"/>
        <v>60200</v>
      </c>
    </row>
    <row r="98" spans="1:55" s="50" customFormat="1" ht="15.75" x14ac:dyDescent="0.25">
      <c r="B98" s="196"/>
      <c r="C98" s="103"/>
      <c r="D98" s="15">
        <v>60000</v>
      </c>
      <c r="E98" s="48" t="s">
        <v>212</v>
      </c>
      <c r="F98" s="104" t="s">
        <v>150</v>
      </c>
      <c r="G98" s="134">
        <v>45444</v>
      </c>
      <c r="H98" s="51"/>
      <c r="I98" s="51"/>
      <c r="J98" s="41">
        <f t="shared" si="83"/>
        <v>80</v>
      </c>
      <c r="K98" s="86" t="s">
        <v>224</v>
      </c>
      <c r="L98" s="30" t="s">
        <v>220</v>
      </c>
      <c r="M98" s="33">
        <v>60200</v>
      </c>
      <c r="N98" s="20">
        <f t="shared" si="95"/>
        <v>30100</v>
      </c>
      <c r="O98" s="20">
        <f t="shared" si="96"/>
        <v>15050</v>
      </c>
      <c r="P98" s="20">
        <f t="shared" si="97"/>
        <v>7525</v>
      </c>
      <c r="Q98" s="20">
        <f t="shared" si="98"/>
        <v>7525</v>
      </c>
      <c r="R98" s="20">
        <v>0</v>
      </c>
      <c r="S98" s="20">
        <f t="shared" si="89"/>
        <v>60200</v>
      </c>
      <c r="T98" s="20">
        <v>0</v>
      </c>
      <c r="U98" s="22">
        <v>26</v>
      </c>
      <c r="V98" s="22">
        <v>4</v>
      </c>
      <c r="W98" s="22">
        <v>0</v>
      </c>
      <c r="X98" s="22">
        <f t="shared" si="90"/>
        <v>30</v>
      </c>
      <c r="Y98" s="20">
        <f t="shared" si="80"/>
        <v>60200</v>
      </c>
      <c r="Z98" s="42">
        <v>0</v>
      </c>
      <c r="AA98" s="20">
        <f t="shared" si="91"/>
        <v>60200</v>
      </c>
      <c r="AB98" s="20">
        <f t="shared" si="81"/>
        <v>26086.666666666668</v>
      </c>
      <c r="AC98" s="20">
        <v>0</v>
      </c>
      <c r="AD98" s="20">
        <v>0</v>
      </c>
      <c r="AE98" s="20">
        <v>0</v>
      </c>
      <c r="AF98" s="20">
        <v>0</v>
      </c>
      <c r="AG98" s="20">
        <f t="shared" si="92"/>
        <v>200</v>
      </c>
      <c r="AH98" s="24"/>
      <c r="AI98" s="80">
        <v>0</v>
      </c>
      <c r="AJ98" s="24">
        <v>0</v>
      </c>
      <c r="AK98" s="24">
        <v>0</v>
      </c>
      <c r="AL98" s="24">
        <v>0</v>
      </c>
      <c r="AM98" s="25">
        <f t="shared" si="100"/>
        <v>0</v>
      </c>
      <c r="AN98" s="26">
        <f t="shared" si="93"/>
        <v>60000</v>
      </c>
      <c r="AO98" s="51"/>
      <c r="AP98" s="51"/>
      <c r="AQ98" s="172" t="s">
        <v>409</v>
      </c>
      <c r="AR98" s="51"/>
      <c r="AS98" s="51"/>
      <c r="AT98" s="51"/>
      <c r="AU98" s="58"/>
      <c r="AV98" s="53"/>
      <c r="AW98" s="54"/>
      <c r="AX98" s="51"/>
      <c r="AY98" s="51"/>
      <c r="AZ98" s="51"/>
      <c r="BA98" s="51"/>
      <c r="BC98" s="152">
        <f t="shared" si="94"/>
        <v>60200</v>
      </c>
    </row>
    <row r="99" spans="1:55" s="50" customFormat="1" ht="15.75" x14ac:dyDescent="0.25">
      <c r="B99" s="196"/>
      <c r="C99" s="103"/>
      <c r="D99" s="15">
        <v>60000</v>
      </c>
      <c r="E99" s="48" t="s">
        <v>212</v>
      </c>
      <c r="F99" s="104" t="s">
        <v>150</v>
      </c>
      <c r="G99" s="134">
        <v>45444</v>
      </c>
      <c r="H99" s="51"/>
      <c r="I99" s="51"/>
      <c r="J99" s="41">
        <f t="shared" si="83"/>
        <v>81</v>
      </c>
      <c r="K99" s="86" t="s">
        <v>224</v>
      </c>
      <c r="L99" s="30" t="s">
        <v>221</v>
      </c>
      <c r="M99" s="33">
        <v>60200</v>
      </c>
      <c r="N99" s="20">
        <f t="shared" si="95"/>
        <v>30100</v>
      </c>
      <c r="O99" s="20">
        <f t="shared" si="96"/>
        <v>15050</v>
      </c>
      <c r="P99" s="20">
        <f t="shared" si="97"/>
        <v>7525</v>
      </c>
      <c r="Q99" s="20">
        <f t="shared" si="98"/>
        <v>7525</v>
      </c>
      <c r="R99" s="20">
        <v>0</v>
      </c>
      <c r="S99" s="20">
        <f t="shared" si="89"/>
        <v>60200</v>
      </c>
      <c r="T99" s="20">
        <v>0</v>
      </c>
      <c r="U99" s="22">
        <v>26</v>
      </c>
      <c r="V99" s="22">
        <v>4</v>
      </c>
      <c r="W99" s="22">
        <v>0</v>
      </c>
      <c r="X99" s="22">
        <f t="shared" si="90"/>
        <v>30</v>
      </c>
      <c r="Y99" s="20">
        <f t="shared" si="80"/>
        <v>60200</v>
      </c>
      <c r="Z99" s="42">
        <v>0</v>
      </c>
      <c r="AA99" s="20">
        <f t="shared" si="91"/>
        <v>60200</v>
      </c>
      <c r="AB99" s="20">
        <f t="shared" si="81"/>
        <v>26086.666666666668</v>
      </c>
      <c r="AC99" s="20">
        <v>0</v>
      </c>
      <c r="AD99" s="20">
        <v>0</v>
      </c>
      <c r="AE99" s="20">
        <v>0</v>
      </c>
      <c r="AF99" s="20">
        <v>0</v>
      </c>
      <c r="AG99" s="20">
        <f t="shared" si="92"/>
        <v>200</v>
      </c>
      <c r="AH99" s="24"/>
      <c r="AI99" s="80">
        <v>0</v>
      </c>
      <c r="AJ99" s="24">
        <v>0</v>
      </c>
      <c r="AK99" s="24">
        <v>0</v>
      </c>
      <c r="AL99" s="24">
        <v>0</v>
      </c>
      <c r="AM99" s="25">
        <f t="shared" si="100"/>
        <v>0</v>
      </c>
      <c r="AN99" s="26">
        <f t="shared" si="93"/>
        <v>60000</v>
      </c>
      <c r="AO99" s="51"/>
      <c r="AP99" s="51"/>
      <c r="AQ99" s="173" t="s">
        <v>408</v>
      </c>
      <c r="AR99" s="51"/>
      <c r="AS99" s="51"/>
      <c r="AT99" s="51"/>
      <c r="AU99" s="58"/>
      <c r="AV99" s="53"/>
      <c r="AW99" s="54"/>
      <c r="AX99" s="51"/>
      <c r="AY99" s="51"/>
      <c r="AZ99" s="51"/>
      <c r="BA99" s="51"/>
      <c r="BC99" s="152">
        <f t="shared" si="94"/>
        <v>60200</v>
      </c>
    </row>
    <row r="100" spans="1:55" s="50" customFormat="1" ht="15.75" x14ac:dyDescent="0.25">
      <c r="A100" s="14"/>
      <c r="B100" s="196"/>
      <c r="C100" s="103">
        <v>100000</v>
      </c>
      <c r="D100" s="15">
        <v>100000</v>
      </c>
      <c r="E100" s="48" t="s">
        <v>212</v>
      </c>
      <c r="F100" s="104" t="s">
        <v>153</v>
      </c>
      <c r="G100" s="134">
        <v>45444</v>
      </c>
      <c r="H100" s="51"/>
      <c r="I100" s="51"/>
      <c r="J100" s="41">
        <f t="shared" si="83"/>
        <v>82</v>
      </c>
      <c r="K100" s="86" t="s">
        <v>224</v>
      </c>
      <c r="L100" s="30" t="s">
        <v>222</v>
      </c>
      <c r="M100" s="33">
        <v>100200</v>
      </c>
      <c r="N100" s="20">
        <f t="shared" si="95"/>
        <v>50100</v>
      </c>
      <c r="O100" s="20">
        <f t="shared" si="96"/>
        <v>25050</v>
      </c>
      <c r="P100" s="20">
        <f t="shared" si="97"/>
        <v>12525</v>
      </c>
      <c r="Q100" s="20">
        <f t="shared" si="98"/>
        <v>12525</v>
      </c>
      <c r="R100" s="20">
        <v>0</v>
      </c>
      <c r="S100" s="20">
        <f t="shared" si="89"/>
        <v>100200</v>
      </c>
      <c r="T100" s="20">
        <v>0</v>
      </c>
      <c r="U100" s="22">
        <v>26</v>
      </c>
      <c r="V100" s="22">
        <v>4</v>
      </c>
      <c r="W100" s="22">
        <v>0</v>
      </c>
      <c r="X100" s="22">
        <f t="shared" si="90"/>
        <v>30</v>
      </c>
      <c r="Y100" s="20">
        <f t="shared" si="80"/>
        <v>100200</v>
      </c>
      <c r="Z100" s="42">
        <v>0</v>
      </c>
      <c r="AA100" s="20">
        <f t="shared" si="91"/>
        <v>100200</v>
      </c>
      <c r="AB100" s="20">
        <f t="shared" si="81"/>
        <v>43420</v>
      </c>
      <c r="AC100" s="20">
        <v>0</v>
      </c>
      <c r="AD100" s="20">
        <v>0</v>
      </c>
      <c r="AE100" s="20">
        <v>0</v>
      </c>
      <c r="AF100" s="20">
        <v>0</v>
      </c>
      <c r="AG100" s="20">
        <f t="shared" si="92"/>
        <v>200</v>
      </c>
      <c r="AH100" s="24"/>
      <c r="AI100" s="80">
        <v>0</v>
      </c>
      <c r="AJ100" s="24">
        <v>0</v>
      </c>
      <c r="AK100" s="24">
        <v>0</v>
      </c>
      <c r="AL100" s="24">
        <v>0</v>
      </c>
      <c r="AM100" s="25">
        <f t="shared" si="100"/>
        <v>0</v>
      </c>
      <c r="AN100" s="26">
        <f t="shared" si="93"/>
        <v>100000</v>
      </c>
      <c r="AO100" s="51"/>
      <c r="AP100" s="51"/>
      <c r="AQ100" s="51" t="s">
        <v>287</v>
      </c>
      <c r="AR100" s="51"/>
      <c r="AS100" s="51"/>
      <c r="AT100" s="51"/>
      <c r="AU100" s="58"/>
      <c r="AV100" s="53"/>
      <c r="AW100" s="54"/>
      <c r="AX100" s="51"/>
      <c r="AY100" s="51"/>
      <c r="AZ100" s="51"/>
      <c r="BA100" s="51"/>
      <c r="BC100" s="152">
        <f t="shared" si="94"/>
        <v>100200</v>
      </c>
    </row>
    <row r="101" spans="1:55" s="50" customFormat="1" ht="15.75" x14ac:dyDescent="0.25">
      <c r="A101" s="14"/>
      <c r="B101" s="196"/>
      <c r="C101" s="103"/>
      <c r="D101" s="15">
        <v>60000</v>
      </c>
      <c r="E101" s="48" t="s">
        <v>212</v>
      </c>
      <c r="F101" s="104" t="s">
        <v>150</v>
      </c>
      <c r="G101" s="134">
        <v>45444</v>
      </c>
      <c r="H101" s="51"/>
      <c r="I101" s="51"/>
      <c r="J101" s="41">
        <f t="shared" si="83"/>
        <v>83</v>
      </c>
      <c r="K101" s="86" t="s">
        <v>224</v>
      </c>
      <c r="L101" s="30" t="s">
        <v>223</v>
      </c>
      <c r="M101" s="33">
        <v>60200</v>
      </c>
      <c r="N101" s="20">
        <f t="shared" si="95"/>
        <v>30100</v>
      </c>
      <c r="O101" s="20">
        <f t="shared" si="96"/>
        <v>15050</v>
      </c>
      <c r="P101" s="20">
        <f t="shared" si="97"/>
        <v>7525</v>
      </c>
      <c r="Q101" s="20">
        <f t="shared" si="98"/>
        <v>7525</v>
      </c>
      <c r="R101" s="20">
        <v>0</v>
      </c>
      <c r="S101" s="20">
        <f t="shared" si="89"/>
        <v>60200</v>
      </c>
      <c r="T101" s="20">
        <v>0</v>
      </c>
      <c r="U101" s="22">
        <v>26</v>
      </c>
      <c r="V101" s="22">
        <v>4</v>
      </c>
      <c r="W101" s="22">
        <v>0</v>
      </c>
      <c r="X101" s="22">
        <f t="shared" si="90"/>
        <v>30</v>
      </c>
      <c r="Y101" s="20">
        <f t="shared" si="80"/>
        <v>60200</v>
      </c>
      <c r="Z101" s="42">
        <v>0</v>
      </c>
      <c r="AA101" s="20">
        <f t="shared" si="91"/>
        <v>60200</v>
      </c>
      <c r="AB101" s="20">
        <f t="shared" si="81"/>
        <v>26086.666666666668</v>
      </c>
      <c r="AC101" s="20">
        <v>0</v>
      </c>
      <c r="AD101" s="20">
        <v>0</v>
      </c>
      <c r="AE101" s="20">
        <v>0</v>
      </c>
      <c r="AF101" s="20">
        <v>0</v>
      </c>
      <c r="AG101" s="20">
        <f t="shared" si="92"/>
        <v>200</v>
      </c>
      <c r="AH101" s="24"/>
      <c r="AI101" s="80">
        <v>0</v>
      </c>
      <c r="AJ101" s="24">
        <v>0</v>
      </c>
      <c r="AK101" s="24">
        <v>0</v>
      </c>
      <c r="AL101" s="24">
        <v>0</v>
      </c>
      <c r="AM101" s="25">
        <f t="shared" si="100"/>
        <v>0</v>
      </c>
      <c r="AN101" s="26">
        <f t="shared" si="93"/>
        <v>60000</v>
      </c>
      <c r="AO101" s="51"/>
      <c r="AP101" s="51"/>
      <c r="AQ101" s="173" t="s">
        <v>406</v>
      </c>
      <c r="AR101" s="51"/>
      <c r="AS101" s="51"/>
      <c r="AT101" s="51"/>
      <c r="AU101" s="58"/>
      <c r="AV101" s="53"/>
      <c r="AW101" s="54"/>
      <c r="AX101" s="51"/>
      <c r="AY101" s="51"/>
      <c r="AZ101" s="51"/>
      <c r="BA101" s="51"/>
      <c r="BC101" s="152">
        <f t="shared" si="94"/>
        <v>60200</v>
      </c>
    </row>
    <row r="102" spans="1:55" s="50" customFormat="1" ht="15.75" x14ac:dyDescent="0.25">
      <c r="B102" s="198">
        <v>21000</v>
      </c>
      <c r="C102" s="155">
        <v>20000</v>
      </c>
      <c r="D102" s="140">
        <v>18000</v>
      </c>
      <c r="E102" s="30" t="s">
        <v>233</v>
      </c>
      <c r="F102" s="104" t="s">
        <v>150</v>
      </c>
      <c r="G102" s="134">
        <v>45444</v>
      </c>
      <c r="H102" s="51"/>
      <c r="I102" s="51"/>
      <c r="J102" s="41">
        <f t="shared" si="83"/>
        <v>84</v>
      </c>
      <c r="K102" s="86" t="s">
        <v>224</v>
      </c>
      <c r="L102" s="84" t="s">
        <v>379</v>
      </c>
      <c r="M102" s="33">
        <v>30000</v>
      </c>
      <c r="N102" s="20">
        <f t="shared" si="95"/>
        <v>15000</v>
      </c>
      <c r="O102" s="20">
        <f t="shared" si="96"/>
        <v>7500</v>
      </c>
      <c r="P102" s="20">
        <f t="shared" si="97"/>
        <v>3750</v>
      </c>
      <c r="Q102" s="20">
        <f t="shared" si="98"/>
        <v>3750</v>
      </c>
      <c r="R102" s="20">
        <v>0</v>
      </c>
      <c r="S102" s="20">
        <f t="shared" si="89"/>
        <v>30000</v>
      </c>
      <c r="T102" s="20">
        <v>0</v>
      </c>
      <c r="U102" s="22">
        <v>24</v>
      </c>
      <c r="V102" s="22">
        <v>3</v>
      </c>
      <c r="W102" s="22">
        <v>0</v>
      </c>
      <c r="X102" s="22">
        <f t="shared" si="90"/>
        <v>27</v>
      </c>
      <c r="Y102" s="20">
        <f t="shared" si="80"/>
        <v>27000</v>
      </c>
      <c r="Z102" s="42"/>
      <c r="AA102" s="20">
        <f t="shared" si="91"/>
        <v>27000</v>
      </c>
      <c r="AB102" s="20">
        <f t="shared" si="81"/>
        <v>12000</v>
      </c>
      <c r="AC102" s="20">
        <v>0</v>
      </c>
      <c r="AD102" s="20">
        <v>0</v>
      </c>
      <c r="AE102" s="20">
        <v>0</v>
      </c>
      <c r="AF102" s="20">
        <v>0</v>
      </c>
      <c r="AG102" s="20">
        <f t="shared" si="92"/>
        <v>200</v>
      </c>
      <c r="AH102" s="24"/>
      <c r="AI102" s="80">
        <v>0</v>
      </c>
      <c r="AJ102" s="24">
        <v>0</v>
      </c>
      <c r="AK102" s="24">
        <v>0</v>
      </c>
      <c r="AL102" s="24">
        <v>0</v>
      </c>
      <c r="AM102" s="25">
        <f t="shared" si="100"/>
        <v>0</v>
      </c>
      <c r="AN102" s="26">
        <f t="shared" si="93"/>
        <v>26800</v>
      </c>
      <c r="AO102" s="56"/>
      <c r="AP102" s="56"/>
      <c r="AQ102" s="51" t="s">
        <v>380</v>
      </c>
      <c r="AR102" s="56"/>
      <c r="AS102" s="56"/>
      <c r="AT102" s="57"/>
      <c r="AU102" s="58"/>
      <c r="AV102" s="53"/>
      <c r="AW102" s="54"/>
      <c r="AX102" s="51"/>
      <c r="AY102" s="51"/>
      <c r="AZ102" s="51"/>
      <c r="BA102" s="51"/>
      <c r="BC102" s="152">
        <f t="shared" si="94"/>
        <v>27000</v>
      </c>
    </row>
    <row r="103" spans="1:55" s="50" customFormat="1" ht="15.75" x14ac:dyDescent="0.25">
      <c r="B103" s="198">
        <v>90000</v>
      </c>
      <c r="C103" s="155">
        <v>0</v>
      </c>
      <c r="D103" s="78">
        <v>81400</v>
      </c>
      <c r="E103" s="16" t="s">
        <v>128</v>
      </c>
      <c r="F103" s="104" t="s">
        <v>145</v>
      </c>
      <c r="G103" s="112">
        <v>45536</v>
      </c>
      <c r="H103" s="51"/>
      <c r="I103" s="51"/>
      <c r="J103" s="41">
        <f t="shared" si="83"/>
        <v>85</v>
      </c>
      <c r="K103" s="86" t="s">
        <v>230</v>
      </c>
      <c r="L103" s="52" t="s">
        <v>231</v>
      </c>
      <c r="M103" s="33">
        <v>90000</v>
      </c>
      <c r="N103" s="20">
        <f t="shared" si="95"/>
        <v>45000</v>
      </c>
      <c r="O103" s="20">
        <f t="shared" si="96"/>
        <v>22500</v>
      </c>
      <c r="P103" s="20">
        <f t="shared" si="97"/>
        <v>11250</v>
      </c>
      <c r="Q103" s="20">
        <f t="shared" si="98"/>
        <v>11250</v>
      </c>
      <c r="R103" s="20">
        <v>0</v>
      </c>
      <c r="S103" s="20">
        <f t="shared" si="89"/>
        <v>90000</v>
      </c>
      <c r="T103" s="20">
        <v>0</v>
      </c>
      <c r="U103" s="22">
        <v>26</v>
      </c>
      <c r="V103" s="22">
        <v>4</v>
      </c>
      <c r="W103" s="22">
        <v>0</v>
      </c>
      <c r="X103" s="22">
        <f t="shared" si="90"/>
        <v>30</v>
      </c>
      <c r="Y103" s="20">
        <f t="shared" si="80"/>
        <v>90000</v>
      </c>
      <c r="Z103" s="42"/>
      <c r="AA103" s="20">
        <f t="shared" si="91"/>
        <v>90000</v>
      </c>
      <c r="AB103" s="20">
        <f t="shared" si="81"/>
        <v>39000</v>
      </c>
      <c r="AC103" s="20">
        <v>0</v>
      </c>
      <c r="AD103" s="20">
        <v>0</v>
      </c>
      <c r="AE103" s="20">
        <v>0</v>
      </c>
      <c r="AF103" s="20">
        <v>0</v>
      </c>
      <c r="AG103" s="20">
        <f t="shared" si="92"/>
        <v>200</v>
      </c>
      <c r="AH103" s="24">
        <v>0</v>
      </c>
      <c r="AI103" s="80">
        <v>0</v>
      </c>
      <c r="AJ103" s="24">
        <v>0</v>
      </c>
      <c r="AK103" s="24">
        <v>0</v>
      </c>
      <c r="AL103" s="24">
        <v>0</v>
      </c>
      <c r="AM103" s="25">
        <f t="shared" si="100"/>
        <v>0</v>
      </c>
      <c r="AN103" s="26">
        <f t="shared" si="93"/>
        <v>89800</v>
      </c>
      <c r="AO103" s="56"/>
      <c r="AP103" s="56"/>
      <c r="AQ103" s="51" t="s">
        <v>348</v>
      </c>
      <c r="AR103" s="56"/>
      <c r="AS103" s="56"/>
      <c r="AT103" s="57"/>
      <c r="AU103" s="58"/>
      <c r="AV103" s="53"/>
      <c r="AW103" s="54"/>
      <c r="AX103" s="51"/>
      <c r="AY103" s="51"/>
      <c r="AZ103" s="51"/>
      <c r="BA103" s="51"/>
      <c r="BC103" s="152">
        <f t="shared" si="94"/>
        <v>90000</v>
      </c>
    </row>
    <row r="104" spans="1:55" s="50" customFormat="1" ht="15.75" x14ac:dyDescent="0.25">
      <c r="B104" s="198">
        <v>19260</v>
      </c>
      <c r="C104" s="155">
        <v>18000</v>
      </c>
      <c r="D104" s="78">
        <v>15000</v>
      </c>
      <c r="E104" s="30" t="s">
        <v>421</v>
      </c>
      <c r="F104" s="104" t="s">
        <v>244</v>
      </c>
      <c r="G104" s="112">
        <v>45536</v>
      </c>
      <c r="H104" s="51"/>
      <c r="I104" s="51"/>
      <c r="J104" s="41">
        <f t="shared" si="83"/>
        <v>86</v>
      </c>
      <c r="K104" s="86" t="s">
        <v>230</v>
      </c>
      <c r="L104" s="92" t="s">
        <v>229</v>
      </c>
      <c r="M104" s="33">
        <v>30000</v>
      </c>
      <c r="N104" s="20">
        <f t="shared" si="95"/>
        <v>15000</v>
      </c>
      <c r="O104" s="20">
        <f t="shared" si="96"/>
        <v>7500</v>
      </c>
      <c r="P104" s="20">
        <f t="shared" si="97"/>
        <v>3750</v>
      </c>
      <c r="Q104" s="20">
        <f t="shared" si="98"/>
        <v>3750</v>
      </c>
      <c r="R104" s="20">
        <v>0</v>
      </c>
      <c r="S104" s="20">
        <f t="shared" si="89"/>
        <v>30000</v>
      </c>
      <c r="T104" s="20">
        <v>0</v>
      </c>
      <c r="U104" s="22">
        <v>14</v>
      </c>
      <c r="V104" s="22">
        <v>2</v>
      </c>
      <c r="W104" s="22">
        <v>0.05</v>
      </c>
      <c r="X104" s="22">
        <f t="shared" ref="X104:X164" si="101">+U104+V104+W104</f>
        <v>16.05</v>
      </c>
      <c r="Y104" s="20">
        <f t="shared" si="80"/>
        <v>16050</v>
      </c>
      <c r="Z104" s="42"/>
      <c r="AA104" s="20">
        <f t="shared" si="91"/>
        <v>16050</v>
      </c>
      <c r="AB104" s="20">
        <f t="shared" si="81"/>
        <v>7000</v>
      </c>
      <c r="AC104" s="20">
        <v>0</v>
      </c>
      <c r="AD104" s="20">
        <v>0</v>
      </c>
      <c r="AE104" s="20">
        <v>0</v>
      </c>
      <c r="AF104" s="20">
        <v>0</v>
      </c>
      <c r="AG104" s="20">
        <f t="shared" si="92"/>
        <v>200</v>
      </c>
      <c r="AH104" s="24"/>
      <c r="AI104" s="80">
        <v>0</v>
      </c>
      <c r="AJ104" s="24">
        <v>0</v>
      </c>
      <c r="AK104" s="24">
        <v>0</v>
      </c>
      <c r="AL104" s="24">
        <v>0</v>
      </c>
      <c r="AM104" s="25">
        <f t="shared" si="100"/>
        <v>0</v>
      </c>
      <c r="AN104" s="26">
        <f t="shared" si="93"/>
        <v>15850</v>
      </c>
      <c r="AO104" s="56"/>
      <c r="AP104" s="56"/>
      <c r="AQ104" s="51" t="s">
        <v>373</v>
      </c>
      <c r="AR104" s="56"/>
      <c r="AS104" s="56"/>
      <c r="AT104" s="57"/>
      <c r="AU104" s="58"/>
      <c r="AV104" s="53"/>
      <c r="AW104" s="54"/>
      <c r="AX104" s="51"/>
      <c r="AY104" s="51"/>
      <c r="AZ104" s="51"/>
      <c r="BA104" s="51"/>
      <c r="BC104" s="152">
        <f t="shared" si="94"/>
        <v>16050</v>
      </c>
    </row>
    <row r="105" spans="1:55" s="50" customFormat="1" ht="15.75" x14ac:dyDescent="0.25">
      <c r="B105" s="198">
        <v>28890</v>
      </c>
      <c r="C105" s="155">
        <v>0</v>
      </c>
      <c r="D105" s="78">
        <v>27000</v>
      </c>
      <c r="E105" s="16" t="s">
        <v>114</v>
      </c>
      <c r="F105" s="104" t="s">
        <v>150</v>
      </c>
      <c r="G105" s="112">
        <v>45566</v>
      </c>
      <c r="H105" s="30"/>
      <c r="I105" s="30"/>
      <c r="J105" s="41">
        <f t="shared" si="83"/>
        <v>87</v>
      </c>
      <c r="K105" s="86" t="s">
        <v>237</v>
      </c>
      <c r="L105" s="30" t="s">
        <v>234</v>
      </c>
      <c r="M105" s="33">
        <v>28890</v>
      </c>
      <c r="N105" s="20">
        <f t="shared" si="95"/>
        <v>14445</v>
      </c>
      <c r="O105" s="20">
        <f t="shared" si="96"/>
        <v>7223</v>
      </c>
      <c r="P105" s="20">
        <f t="shared" si="97"/>
        <v>3612</v>
      </c>
      <c r="Q105" s="20">
        <f t="shared" si="98"/>
        <v>3612</v>
      </c>
      <c r="R105" s="20">
        <v>0</v>
      </c>
      <c r="S105" s="20">
        <f t="shared" si="89"/>
        <v>28892</v>
      </c>
      <c r="T105" s="20">
        <v>0</v>
      </c>
      <c r="U105" s="22">
        <v>26</v>
      </c>
      <c r="V105" s="22">
        <v>4</v>
      </c>
      <c r="W105" s="22">
        <v>0</v>
      </c>
      <c r="X105" s="22">
        <f t="shared" si="101"/>
        <v>30</v>
      </c>
      <c r="Y105" s="20">
        <f t="shared" si="80"/>
        <v>28890</v>
      </c>
      <c r="Z105" s="42"/>
      <c r="AA105" s="20">
        <f t="shared" si="91"/>
        <v>28890</v>
      </c>
      <c r="AB105" s="20">
        <f t="shared" si="81"/>
        <v>12519</v>
      </c>
      <c r="AC105" s="20">
        <v>0</v>
      </c>
      <c r="AD105" s="20">
        <v>0</v>
      </c>
      <c r="AE105" s="20">
        <v>0</v>
      </c>
      <c r="AF105" s="20">
        <v>0</v>
      </c>
      <c r="AG105" s="20">
        <f t="shared" si="92"/>
        <v>200</v>
      </c>
      <c r="AH105" s="24"/>
      <c r="AI105" s="80">
        <v>0</v>
      </c>
      <c r="AJ105" s="24">
        <v>0</v>
      </c>
      <c r="AK105" s="24">
        <v>0</v>
      </c>
      <c r="AL105" s="24">
        <v>0</v>
      </c>
      <c r="AM105" s="25">
        <f t="shared" ref="AM105:AM142" si="102">SUM(AI105:AL105)</f>
        <v>0</v>
      </c>
      <c r="AN105" s="26">
        <f t="shared" si="93"/>
        <v>28690</v>
      </c>
      <c r="AO105" s="56"/>
      <c r="AP105" s="56"/>
      <c r="AQ105" s="51" t="s">
        <v>355</v>
      </c>
      <c r="AR105" s="56"/>
      <c r="AS105" s="56"/>
      <c r="AT105" s="57"/>
      <c r="AU105" s="58"/>
      <c r="AV105" s="53"/>
      <c r="AW105" s="54"/>
      <c r="AX105" s="51"/>
      <c r="AY105" s="51"/>
      <c r="AZ105" s="51"/>
      <c r="BA105" s="51"/>
      <c r="BC105" s="152">
        <f t="shared" si="94"/>
        <v>28890</v>
      </c>
    </row>
    <row r="106" spans="1:55" s="50" customFormat="1" ht="15.75" x14ac:dyDescent="0.25">
      <c r="B106" s="196"/>
      <c r="C106" s="103">
        <v>50000</v>
      </c>
      <c r="D106" s="15">
        <v>45000</v>
      </c>
      <c r="E106" s="30" t="s">
        <v>236</v>
      </c>
      <c r="F106" s="104" t="s">
        <v>145</v>
      </c>
      <c r="G106" s="112">
        <v>45566</v>
      </c>
      <c r="H106" s="51"/>
      <c r="I106" s="51"/>
      <c r="J106" s="41">
        <f t="shared" si="83"/>
        <v>88</v>
      </c>
      <c r="K106" s="86" t="s">
        <v>237</v>
      </c>
      <c r="L106" s="55" t="s">
        <v>235</v>
      </c>
      <c r="M106" s="33">
        <v>50000</v>
      </c>
      <c r="N106" s="20">
        <f t="shared" si="95"/>
        <v>25000</v>
      </c>
      <c r="O106" s="20">
        <f t="shared" si="96"/>
        <v>12500</v>
      </c>
      <c r="P106" s="20">
        <f t="shared" si="97"/>
        <v>6250</v>
      </c>
      <c r="Q106" s="20">
        <f t="shared" si="98"/>
        <v>6250</v>
      </c>
      <c r="R106" s="20">
        <v>0</v>
      </c>
      <c r="S106" s="20">
        <f t="shared" si="89"/>
        <v>50000</v>
      </c>
      <c r="T106" s="20">
        <v>0</v>
      </c>
      <c r="U106" s="22">
        <v>26</v>
      </c>
      <c r="V106" s="22">
        <v>4</v>
      </c>
      <c r="W106" s="22">
        <v>0</v>
      </c>
      <c r="X106" s="22">
        <f t="shared" si="101"/>
        <v>30</v>
      </c>
      <c r="Y106" s="20">
        <f t="shared" si="80"/>
        <v>50000</v>
      </c>
      <c r="Z106" s="42"/>
      <c r="AA106" s="20">
        <f t="shared" si="91"/>
        <v>50000</v>
      </c>
      <c r="AB106" s="20">
        <f t="shared" si="81"/>
        <v>21666.666666666668</v>
      </c>
      <c r="AC106" s="20">
        <v>0</v>
      </c>
      <c r="AD106" s="20">
        <v>0</v>
      </c>
      <c r="AE106" s="20">
        <v>0</v>
      </c>
      <c r="AF106" s="20">
        <v>0</v>
      </c>
      <c r="AG106" s="20">
        <f t="shared" si="92"/>
        <v>200</v>
      </c>
      <c r="AH106" s="24"/>
      <c r="AI106" s="80">
        <v>0</v>
      </c>
      <c r="AJ106" s="24">
        <v>0</v>
      </c>
      <c r="AK106" s="24">
        <v>0</v>
      </c>
      <c r="AL106" s="24">
        <v>0</v>
      </c>
      <c r="AM106" s="25">
        <f t="shared" si="102"/>
        <v>0</v>
      </c>
      <c r="AN106" s="26">
        <f t="shared" si="93"/>
        <v>49800</v>
      </c>
      <c r="AO106" s="56"/>
      <c r="AP106" s="56"/>
      <c r="AQ106" s="51" t="s">
        <v>367</v>
      </c>
      <c r="AR106" s="56"/>
      <c r="AS106" s="56"/>
      <c r="AT106" s="57"/>
      <c r="AU106" s="58"/>
      <c r="AV106" s="53"/>
      <c r="AW106" s="54"/>
      <c r="AX106" s="51"/>
      <c r="AY106" s="51"/>
      <c r="AZ106" s="51"/>
      <c r="BA106" s="51"/>
      <c r="BC106" s="152">
        <f t="shared" si="94"/>
        <v>50000</v>
      </c>
    </row>
    <row r="107" spans="1:55" s="50" customFormat="1" ht="15.75" x14ac:dyDescent="0.25">
      <c r="B107" s="200">
        <v>47300</v>
      </c>
      <c r="C107" s="104">
        <v>0</v>
      </c>
      <c r="D107" s="115">
        <v>43000</v>
      </c>
      <c r="E107" s="30" t="s">
        <v>226</v>
      </c>
      <c r="F107" s="104" t="s">
        <v>147</v>
      </c>
      <c r="G107" s="112">
        <v>45597</v>
      </c>
      <c r="H107" s="51"/>
      <c r="I107" s="51"/>
      <c r="J107" s="41">
        <f t="shared" si="83"/>
        <v>89</v>
      </c>
      <c r="K107" s="86" t="s">
        <v>239</v>
      </c>
      <c r="L107" s="30" t="s">
        <v>240</v>
      </c>
      <c r="M107" s="33">
        <v>47300</v>
      </c>
      <c r="N107" s="20">
        <f t="shared" si="95"/>
        <v>23650</v>
      </c>
      <c r="O107" s="20">
        <f t="shared" si="96"/>
        <v>11825</v>
      </c>
      <c r="P107" s="20">
        <f t="shared" si="97"/>
        <v>5913</v>
      </c>
      <c r="Q107" s="20">
        <f t="shared" si="98"/>
        <v>5913</v>
      </c>
      <c r="R107" s="20">
        <v>0</v>
      </c>
      <c r="S107" s="20">
        <f t="shared" si="89"/>
        <v>47301</v>
      </c>
      <c r="T107" s="20">
        <v>0</v>
      </c>
      <c r="U107" s="22">
        <v>25</v>
      </c>
      <c r="V107" s="22">
        <v>4</v>
      </c>
      <c r="W107" s="22">
        <v>0</v>
      </c>
      <c r="X107" s="22">
        <f t="shared" si="101"/>
        <v>29</v>
      </c>
      <c r="Y107" s="20">
        <f t="shared" si="80"/>
        <v>45723.333333333336</v>
      </c>
      <c r="Z107" s="42">
        <v>0</v>
      </c>
      <c r="AA107" s="20">
        <f t="shared" si="91"/>
        <v>45723.333333333336</v>
      </c>
      <c r="AB107" s="20">
        <f t="shared" si="81"/>
        <v>19708.333333333336</v>
      </c>
      <c r="AC107" s="20">
        <v>0</v>
      </c>
      <c r="AD107" s="20">
        <v>0</v>
      </c>
      <c r="AE107" s="20">
        <v>0</v>
      </c>
      <c r="AF107" s="20">
        <v>0</v>
      </c>
      <c r="AG107" s="20">
        <f t="shared" si="92"/>
        <v>200</v>
      </c>
      <c r="AH107" s="24"/>
      <c r="AI107" s="80">
        <v>0</v>
      </c>
      <c r="AJ107" s="24">
        <v>0</v>
      </c>
      <c r="AK107" s="24">
        <v>0</v>
      </c>
      <c r="AL107" s="24">
        <v>0</v>
      </c>
      <c r="AM107" s="25">
        <f t="shared" si="102"/>
        <v>0</v>
      </c>
      <c r="AN107" s="26">
        <f t="shared" si="93"/>
        <v>45523.333333333336</v>
      </c>
      <c r="AO107" s="56"/>
      <c r="AP107" s="56"/>
      <c r="AQ107" s="165" t="s">
        <v>361</v>
      </c>
      <c r="AR107" s="56"/>
      <c r="AS107" s="56"/>
      <c r="AT107" s="57"/>
      <c r="AU107" s="58"/>
      <c r="AV107" s="53"/>
      <c r="AW107" s="54"/>
      <c r="AX107" s="51"/>
      <c r="AY107" s="51"/>
      <c r="AZ107" s="51"/>
      <c r="BA107" s="51"/>
      <c r="BC107" s="152">
        <f t="shared" si="94"/>
        <v>45723.333333333336</v>
      </c>
    </row>
    <row r="108" spans="1:55" s="50" customFormat="1" ht="15.75" x14ac:dyDescent="0.25">
      <c r="B108" s="196">
        <v>30000</v>
      </c>
      <c r="C108" s="198">
        <v>27500</v>
      </c>
      <c r="D108" s="15">
        <v>25000</v>
      </c>
      <c r="E108" s="16" t="s">
        <v>438</v>
      </c>
      <c r="F108" s="104" t="s">
        <v>350</v>
      </c>
      <c r="G108" s="112">
        <v>45597</v>
      </c>
      <c r="H108" s="51"/>
      <c r="I108" s="51"/>
      <c r="J108" s="41">
        <f t="shared" si="83"/>
        <v>90</v>
      </c>
      <c r="K108" s="86" t="s">
        <v>239</v>
      </c>
      <c r="L108" s="52" t="s">
        <v>241</v>
      </c>
      <c r="M108" s="33">
        <v>30000</v>
      </c>
      <c r="N108" s="20">
        <f t="shared" si="95"/>
        <v>15000</v>
      </c>
      <c r="O108" s="20">
        <f t="shared" si="96"/>
        <v>7500</v>
      </c>
      <c r="P108" s="20">
        <f t="shared" si="97"/>
        <v>3750</v>
      </c>
      <c r="Q108" s="20">
        <f t="shared" si="98"/>
        <v>3750</v>
      </c>
      <c r="R108" s="20">
        <v>0</v>
      </c>
      <c r="S108" s="20">
        <f t="shared" si="89"/>
        <v>30000</v>
      </c>
      <c r="T108" s="20">
        <v>0</v>
      </c>
      <c r="U108" s="22">
        <v>26</v>
      </c>
      <c r="V108" s="22">
        <v>4</v>
      </c>
      <c r="W108" s="22">
        <v>0</v>
      </c>
      <c r="X108" s="22">
        <f t="shared" si="101"/>
        <v>30</v>
      </c>
      <c r="Y108" s="20">
        <f t="shared" si="80"/>
        <v>30000</v>
      </c>
      <c r="Z108" s="42">
        <v>0</v>
      </c>
      <c r="AA108" s="20">
        <f t="shared" si="91"/>
        <v>30000</v>
      </c>
      <c r="AB108" s="20">
        <f t="shared" si="81"/>
        <v>13000</v>
      </c>
      <c r="AC108" s="20">
        <v>0</v>
      </c>
      <c r="AD108" s="20">
        <v>0</v>
      </c>
      <c r="AE108" s="20">
        <v>0</v>
      </c>
      <c r="AF108" s="20">
        <v>0</v>
      </c>
      <c r="AG108" s="20">
        <f t="shared" si="92"/>
        <v>200</v>
      </c>
      <c r="AH108" s="24"/>
      <c r="AI108" s="80">
        <v>0</v>
      </c>
      <c r="AJ108" s="24">
        <v>0</v>
      </c>
      <c r="AK108" s="24">
        <v>0</v>
      </c>
      <c r="AL108" s="24">
        <v>0</v>
      </c>
      <c r="AM108" s="25">
        <f t="shared" si="102"/>
        <v>0</v>
      </c>
      <c r="AN108" s="26">
        <f t="shared" si="93"/>
        <v>29800</v>
      </c>
      <c r="AO108" s="56"/>
      <c r="AP108" s="56"/>
      <c r="AQ108" s="170" t="s">
        <v>312</v>
      </c>
      <c r="AR108" s="56"/>
      <c r="AS108" s="56"/>
      <c r="AT108" s="57"/>
      <c r="AU108" s="58"/>
      <c r="AV108" s="53"/>
      <c r="AW108" s="54"/>
      <c r="AX108" s="51"/>
      <c r="AY108" s="51"/>
      <c r="AZ108" s="51"/>
      <c r="BA108" s="51"/>
      <c r="BC108" s="152">
        <f t="shared" si="94"/>
        <v>30000</v>
      </c>
    </row>
    <row r="109" spans="1:55" s="50" customFormat="1" ht="15.75" x14ac:dyDescent="0.25">
      <c r="B109" s="198">
        <v>21400</v>
      </c>
      <c r="C109" s="155">
        <v>20000</v>
      </c>
      <c r="D109" s="78">
        <v>20000</v>
      </c>
      <c r="E109" s="30" t="s">
        <v>421</v>
      </c>
      <c r="F109" s="104" t="s">
        <v>150</v>
      </c>
      <c r="G109" s="112">
        <v>45597</v>
      </c>
      <c r="H109" s="51"/>
      <c r="I109" s="51"/>
      <c r="J109" s="41">
        <f t="shared" si="83"/>
        <v>91</v>
      </c>
      <c r="K109" s="86" t="s">
        <v>239</v>
      </c>
      <c r="L109" s="52" t="s">
        <v>243</v>
      </c>
      <c r="M109" s="33">
        <v>21400</v>
      </c>
      <c r="N109" s="20">
        <f t="shared" si="95"/>
        <v>10700</v>
      </c>
      <c r="O109" s="20">
        <f t="shared" si="96"/>
        <v>5350</v>
      </c>
      <c r="P109" s="20">
        <f t="shared" si="97"/>
        <v>2675</v>
      </c>
      <c r="Q109" s="20">
        <f t="shared" si="98"/>
        <v>2675</v>
      </c>
      <c r="R109" s="20">
        <v>0</v>
      </c>
      <c r="S109" s="20">
        <f t="shared" si="89"/>
        <v>21400</v>
      </c>
      <c r="T109" s="20">
        <v>0</v>
      </c>
      <c r="U109" s="22">
        <v>24</v>
      </c>
      <c r="V109" s="22">
        <v>3</v>
      </c>
      <c r="W109" s="22">
        <v>0</v>
      </c>
      <c r="X109" s="22">
        <f t="shared" si="101"/>
        <v>27</v>
      </c>
      <c r="Y109" s="20">
        <f t="shared" si="80"/>
        <v>19260</v>
      </c>
      <c r="Z109" s="42"/>
      <c r="AA109" s="20">
        <f t="shared" si="91"/>
        <v>19260</v>
      </c>
      <c r="AB109" s="20">
        <f t="shared" si="81"/>
        <v>8560</v>
      </c>
      <c r="AC109" s="20">
        <v>0</v>
      </c>
      <c r="AD109" s="20">
        <v>0</v>
      </c>
      <c r="AE109" s="20">
        <v>0</v>
      </c>
      <c r="AF109" s="20">
        <v>0</v>
      </c>
      <c r="AG109" s="20">
        <f t="shared" si="92"/>
        <v>200</v>
      </c>
      <c r="AH109" s="24"/>
      <c r="AI109" s="80">
        <v>0</v>
      </c>
      <c r="AJ109" s="24">
        <v>0</v>
      </c>
      <c r="AK109" s="24">
        <v>0</v>
      </c>
      <c r="AL109" s="24">
        <v>0</v>
      </c>
      <c r="AM109" s="25">
        <f t="shared" si="102"/>
        <v>0</v>
      </c>
      <c r="AN109" s="26">
        <f t="shared" si="93"/>
        <v>19060</v>
      </c>
      <c r="AO109" s="56"/>
      <c r="AP109" s="56"/>
      <c r="AQ109" s="51" t="s">
        <v>378</v>
      </c>
      <c r="AR109" s="56"/>
      <c r="AS109" s="56"/>
      <c r="AT109" s="57"/>
      <c r="AU109" s="58"/>
      <c r="AV109" s="53"/>
      <c r="AW109" s="54"/>
      <c r="AX109" s="51"/>
      <c r="AY109" s="51"/>
      <c r="AZ109" s="51"/>
      <c r="BA109" s="51"/>
      <c r="BC109" s="152">
        <f t="shared" si="94"/>
        <v>19260</v>
      </c>
    </row>
    <row r="110" spans="1:55" s="50" customFormat="1" ht="15.75" x14ac:dyDescent="0.25">
      <c r="B110" s="196"/>
      <c r="C110" s="198">
        <v>0</v>
      </c>
      <c r="D110" s="78">
        <v>11000</v>
      </c>
      <c r="E110" s="16" t="s">
        <v>438</v>
      </c>
      <c r="F110" s="104" t="s">
        <v>249</v>
      </c>
      <c r="G110" s="112">
        <v>45627</v>
      </c>
      <c r="H110" s="51"/>
      <c r="I110" s="51"/>
      <c r="J110" s="41">
        <f t="shared" si="83"/>
        <v>92</v>
      </c>
      <c r="K110" s="86" t="s">
        <v>246</v>
      </c>
      <c r="L110" s="92" t="s">
        <v>245</v>
      </c>
      <c r="M110" s="33">
        <v>22300</v>
      </c>
      <c r="N110" s="20">
        <f t="shared" si="95"/>
        <v>11150</v>
      </c>
      <c r="O110" s="20">
        <f t="shared" si="96"/>
        <v>5575</v>
      </c>
      <c r="P110" s="20">
        <f t="shared" si="97"/>
        <v>2788</v>
      </c>
      <c r="Q110" s="20">
        <f t="shared" si="98"/>
        <v>2788</v>
      </c>
      <c r="R110" s="20">
        <v>0</v>
      </c>
      <c r="S110" s="20">
        <f t="shared" si="89"/>
        <v>22301</v>
      </c>
      <c r="T110" s="20">
        <v>0</v>
      </c>
      <c r="U110" s="22">
        <v>13</v>
      </c>
      <c r="V110" s="22">
        <v>2</v>
      </c>
      <c r="W110" s="22">
        <v>0</v>
      </c>
      <c r="X110" s="22">
        <f t="shared" si="101"/>
        <v>15</v>
      </c>
      <c r="Y110" s="20">
        <f t="shared" si="80"/>
        <v>11150</v>
      </c>
      <c r="Z110" s="42">
        <v>0</v>
      </c>
      <c r="AA110" s="20">
        <f t="shared" si="91"/>
        <v>11150</v>
      </c>
      <c r="AB110" s="20">
        <f t="shared" si="81"/>
        <v>4831.666666666667</v>
      </c>
      <c r="AC110" s="20">
        <v>0</v>
      </c>
      <c r="AD110" s="20">
        <v>0</v>
      </c>
      <c r="AE110" s="20">
        <v>0</v>
      </c>
      <c r="AF110" s="20">
        <v>0</v>
      </c>
      <c r="AG110" s="20">
        <f t="shared" si="92"/>
        <v>150</v>
      </c>
      <c r="AH110" s="24"/>
      <c r="AI110" s="80">
        <v>0</v>
      </c>
      <c r="AJ110" s="24">
        <v>0</v>
      </c>
      <c r="AK110" s="24">
        <v>0</v>
      </c>
      <c r="AL110" s="24">
        <v>0</v>
      </c>
      <c r="AM110" s="25">
        <f t="shared" si="102"/>
        <v>0</v>
      </c>
      <c r="AN110" s="26">
        <f t="shared" si="93"/>
        <v>11000</v>
      </c>
      <c r="AO110" s="56"/>
      <c r="AP110" s="56"/>
      <c r="AQ110" s="171"/>
      <c r="AR110" s="56"/>
      <c r="AS110" s="56"/>
      <c r="AT110" s="57"/>
      <c r="AU110" s="58"/>
      <c r="AV110" s="53"/>
      <c r="AW110" s="54"/>
      <c r="AX110" s="51"/>
      <c r="AY110" s="51"/>
      <c r="AZ110" s="51"/>
      <c r="BA110" s="51"/>
      <c r="BC110" s="152">
        <f t="shared" si="94"/>
        <v>11150</v>
      </c>
    </row>
    <row r="111" spans="1:55" s="50" customFormat="1" ht="15.75" x14ac:dyDescent="0.25">
      <c r="B111" s="200">
        <v>58850</v>
      </c>
      <c r="C111" s="156">
        <v>0</v>
      </c>
      <c r="D111" s="78">
        <v>55000</v>
      </c>
      <c r="E111" s="16" t="s">
        <v>114</v>
      </c>
      <c r="F111" s="104" t="s">
        <v>250</v>
      </c>
      <c r="G111" s="112">
        <v>45717</v>
      </c>
      <c r="H111" s="51"/>
      <c r="I111" s="51"/>
      <c r="J111" s="41">
        <f t="shared" si="83"/>
        <v>93</v>
      </c>
      <c r="K111" s="86" t="s">
        <v>252</v>
      </c>
      <c r="L111" s="30" t="s">
        <v>251</v>
      </c>
      <c r="M111" s="33">
        <v>58850</v>
      </c>
      <c r="N111" s="20">
        <f t="shared" si="95"/>
        <v>29425</v>
      </c>
      <c r="O111" s="20">
        <f t="shared" si="96"/>
        <v>14713</v>
      </c>
      <c r="P111" s="20">
        <f t="shared" si="97"/>
        <v>7357</v>
      </c>
      <c r="Q111" s="20">
        <f t="shared" si="98"/>
        <v>7357</v>
      </c>
      <c r="R111" s="20">
        <v>0</v>
      </c>
      <c r="S111" s="20">
        <f t="shared" si="89"/>
        <v>58852</v>
      </c>
      <c r="T111" s="20">
        <v>0</v>
      </c>
      <c r="U111" s="22">
        <v>26</v>
      </c>
      <c r="V111" s="22">
        <v>4</v>
      </c>
      <c r="W111" s="22">
        <v>0</v>
      </c>
      <c r="X111" s="22">
        <f t="shared" si="101"/>
        <v>30</v>
      </c>
      <c r="Y111" s="20">
        <f t="shared" si="80"/>
        <v>58850</v>
      </c>
      <c r="Z111" s="42"/>
      <c r="AA111" s="20">
        <f t="shared" si="91"/>
        <v>58850</v>
      </c>
      <c r="AB111" s="20">
        <f t="shared" si="81"/>
        <v>25501.666666666668</v>
      </c>
      <c r="AC111" s="20">
        <v>0</v>
      </c>
      <c r="AD111" s="20">
        <v>0</v>
      </c>
      <c r="AE111" s="20">
        <v>0</v>
      </c>
      <c r="AF111" s="20">
        <v>0</v>
      </c>
      <c r="AG111" s="20">
        <f t="shared" si="92"/>
        <v>200</v>
      </c>
      <c r="AH111" s="24"/>
      <c r="AI111" s="80">
        <v>0</v>
      </c>
      <c r="AJ111" s="24">
        <v>0</v>
      </c>
      <c r="AK111" s="24">
        <v>0</v>
      </c>
      <c r="AL111" s="24">
        <v>0</v>
      </c>
      <c r="AM111" s="25">
        <f t="shared" si="102"/>
        <v>0</v>
      </c>
      <c r="AN111" s="26">
        <f t="shared" si="93"/>
        <v>58650</v>
      </c>
      <c r="AO111" s="56"/>
      <c r="AP111" s="56"/>
      <c r="AQ111" s="51" t="s">
        <v>354</v>
      </c>
      <c r="AR111" s="56"/>
      <c r="AS111" s="56"/>
      <c r="AT111" s="57"/>
      <c r="AU111" s="58"/>
      <c r="AV111" s="53"/>
      <c r="AW111" s="54"/>
      <c r="AX111" s="51"/>
      <c r="AY111" s="51"/>
      <c r="AZ111" s="51"/>
      <c r="BA111" s="51"/>
      <c r="BC111" s="152">
        <f t="shared" si="94"/>
        <v>58850</v>
      </c>
    </row>
    <row r="112" spans="1:55" s="50" customFormat="1" ht="15.75" x14ac:dyDescent="0.25">
      <c r="B112" s="162"/>
      <c r="C112" s="104"/>
      <c r="D112" s="8">
        <v>10000</v>
      </c>
      <c r="E112" s="48" t="s">
        <v>212</v>
      </c>
      <c r="F112" s="104" t="s">
        <v>257</v>
      </c>
      <c r="G112" s="112">
        <v>45748</v>
      </c>
      <c r="H112" s="30"/>
      <c r="I112" s="30"/>
      <c r="J112" s="41">
        <f t="shared" si="83"/>
        <v>94</v>
      </c>
      <c r="K112" s="86" t="s">
        <v>258</v>
      </c>
      <c r="L112" s="88" t="s">
        <v>255</v>
      </c>
      <c r="M112" s="33">
        <v>75200</v>
      </c>
      <c r="N112" s="20">
        <f t="shared" si="95"/>
        <v>37600</v>
      </c>
      <c r="O112" s="20">
        <f t="shared" si="96"/>
        <v>18800</v>
      </c>
      <c r="P112" s="20">
        <f t="shared" si="97"/>
        <v>9400</v>
      </c>
      <c r="Q112" s="20">
        <f t="shared" si="98"/>
        <v>9400</v>
      </c>
      <c r="R112" s="20"/>
      <c r="S112" s="20">
        <f t="shared" si="89"/>
        <v>75200</v>
      </c>
      <c r="T112" s="20"/>
      <c r="U112" s="22">
        <v>26</v>
      </c>
      <c r="V112" s="22">
        <v>4</v>
      </c>
      <c r="W112" s="22">
        <v>0</v>
      </c>
      <c r="X112" s="22">
        <f t="shared" si="101"/>
        <v>30</v>
      </c>
      <c r="Y112" s="20">
        <f t="shared" si="80"/>
        <v>75200</v>
      </c>
      <c r="Z112" s="42"/>
      <c r="AA112" s="20">
        <f t="shared" si="91"/>
        <v>75200</v>
      </c>
      <c r="AB112" s="20">
        <f t="shared" si="81"/>
        <v>32586.666666666664</v>
      </c>
      <c r="AC112" s="20">
        <v>0</v>
      </c>
      <c r="AD112" s="20">
        <v>0</v>
      </c>
      <c r="AE112" s="20">
        <v>0</v>
      </c>
      <c r="AF112" s="20">
        <v>0</v>
      </c>
      <c r="AG112" s="20">
        <f t="shared" si="92"/>
        <v>200</v>
      </c>
      <c r="AH112" s="24"/>
      <c r="AI112" s="80">
        <v>0</v>
      </c>
      <c r="AJ112" s="24">
        <v>0</v>
      </c>
      <c r="AK112" s="24">
        <v>0</v>
      </c>
      <c r="AL112" s="24">
        <v>0</v>
      </c>
      <c r="AM112" s="25">
        <f t="shared" si="102"/>
        <v>0</v>
      </c>
      <c r="AN112" s="26">
        <f t="shared" si="93"/>
        <v>75000</v>
      </c>
      <c r="AO112" s="51"/>
      <c r="AP112" s="51"/>
      <c r="AQ112" s="165" t="s">
        <v>299</v>
      </c>
      <c r="AR112" s="51"/>
      <c r="AS112" s="51"/>
      <c r="AT112" s="51"/>
      <c r="AU112" s="58"/>
      <c r="AV112" s="53"/>
      <c r="AW112" s="54"/>
      <c r="AX112" s="51"/>
      <c r="AY112" s="51"/>
      <c r="AZ112" s="51"/>
      <c r="BA112" s="51"/>
      <c r="BC112" s="152">
        <f t="shared" si="94"/>
        <v>75200</v>
      </c>
    </row>
    <row r="113" spans="2:55" s="50" customFormat="1" ht="15.75" x14ac:dyDescent="0.25">
      <c r="B113" s="198">
        <v>28500</v>
      </c>
      <c r="C113" s="156">
        <v>0</v>
      </c>
      <c r="D113" s="154">
        <v>25000</v>
      </c>
      <c r="E113" s="30" t="s">
        <v>71</v>
      </c>
      <c r="F113" s="104" t="s">
        <v>150</v>
      </c>
      <c r="G113" s="112">
        <v>45748</v>
      </c>
      <c r="H113" s="30"/>
      <c r="I113" s="30"/>
      <c r="J113" s="41">
        <f t="shared" si="83"/>
        <v>95</v>
      </c>
      <c r="K113" s="86" t="s">
        <v>258</v>
      </c>
      <c r="L113" s="30" t="s">
        <v>256</v>
      </c>
      <c r="M113" s="33">
        <v>28500</v>
      </c>
      <c r="N113" s="20">
        <f t="shared" si="95"/>
        <v>14250</v>
      </c>
      <c r="O113" s="20">
        <f t="shared" si="96"/>
        <v>7125</v>
      </c>
      <c r="P113" s="20">
        <f t="shared" si="97"/>
        <v>3563</v>
      </c>
      <c r="Q113" s="20">
        <f t="shared" si="98"/>
        <v>3563</v>
      </c>
      <c r="R113" s="20"/>
      <c r="S113" s="20">
        <f t="shared" si="89"/>
        <v>28501</v>
      </c>
      <c r="T113" s="20"/>
      <c r="U113" s="22">
        <v>26</v>
      </c>
      <c r="V113" s="22">
        <v>4</v>
      </c>
      <c r="W113" s="22">
        <v>0</v>
      </c>
      <c r="X113" s="22">
        <f t="shared" si="101"/>
        <v>30</v>
      </c>
      <c r="Y113" s="20">
        <f t="shared" si="80"/>
        <v>28500</v>
      </c>
      <c r="Z113" s="42"/>
      <c r="AA113" s="20">
        <f t="shared" si="91"/>
        <v>28500</v>
      </c>
      <c r="AB113" s="20">
        <f t="shared" si="81"/>
        <v>12350</v>
      </c>
      <c r="AC113" s="20">
        <v>0</v>
      </c>
      <c r="AD113" s="20">
        <v>0</v>
      </c>
      <c r="AE113" s="20">
        <v>0</v>
      </c>
      <c r="AF113" s="20">
        <v>0</v>
      </c>
      <c r="AG113" s="20">
        <f t="shared" si="92"/>
        <v>200</v>
      </c>
      <c r="AH113" s="24"/>
      <c r="AI113" s="80">
        <v>0</v>
      </c>
      <c r="AJ113" s="24">
        <v>0</v>
      </c>
      <c r="AK113" s="24">
        <v>0</v>
      </c>
      <c r="AL113" s="24">
        <v>0</v>
      </c>
      <c r="AM113" s="25">
        <f t="shared" si="102"/>
        <v>0</v>
      </c>
      <c r="AN113" s="26">
        <f t="shared" si="93"/>
        <v>28300</v>
      </c>
      <c r="AO113" s="56"/>
      <c r="AP113" s="56"/>
      <c r="AQ113" s="51"/>
      <c r="AR113" s="56"/>
      <c r="AS113" s="56"/>
      <c r="AT113" s="57"/>
      <c r="AU113" s="58"/>
      <c r="AV113" s="53"/>
      <c r="AW113" s="54"/>
      <c r="AX113" s="51"/>
      <c r="AY113" s="51"/>
      <c r="AZ113" s="51"/>
      <c r="BA113" s="51"/>
      <c r="BC113" s="152">
        <f t="shared" si="94"/>
        <v>28500</v>
      </c>
    </row>
    <row r="114" spans="2:55" s="50" customFormat="1" ht="15.75" x14ac:dyDescent="0.25">
      <c r="B114" s="200">
        <v>64000</v>
      </c>
      <c r="C114" s="156">
        <v>0</v>
      </c>
      <c r="D114" s="15">
        <v>60000</v>
      </c>
      <c r="E114" s="16" t="s">
        <v>260</v>
      </c>
      <c r="F114" s="104" t="s">
        <v>145</v>
      </c>
      <c r="G114" s="112">
        <v>45748</v>
      </c>
      <c r="H114" s="51"/>
      <c r="I114" s="51"/>
      <c r="J114" s="41">
        <f t="shared" si="83"/>
        <v>96</v>
      </c>
      <c r="K114" s="86" t="s">
        <v>258</v>
      </c>
      <c r="L114" s="55" t="s">
        <v>261</v>
      </c>
      <c r="M114" s="33">
        <v>64000</v>
      </c>
      <c r="N114" s="20">
        <f t="shared" si="95"/>
        <v>32000</v>
      </c>
      <c r="O114" s="20">
        <f t="shared" si="96"/>
        <v>16000</v>
      </c>
      <c r="P114" s="20">
        <f t="shared" si="97"/>
        <v>8000</v>
      </c>
      <c r="Q114" s="20">
        <f t="shared" si="98"/>
        <v>8000</v>
      </c>
      <c r="R114" s="20"/>
      <c r="S114" s="20">
        <f t="shared" si="89"/>
        <v>64000</v>
      </c>
      <c r="T114" s="20"/>
      <c r="U114" s="22">
        <v>25</v>
      </c>
      <c r="V114" s="22">
        <v>4</v>
      </c>
      <c r="W114" s="22">
        <v>0</v>
      </c>
      <c r="X114" s="22">
        <f t="shared" si="101"/>
        <v>29</v>
      </c>
      <c r="Y114" s="20">
        <f t="shared" si="80"/>
        <v>61866.666666666672</v>
      </c>
      <c r="Z114" s="42"/>
      <c r="AA114" s="20">
        <f t="shared" si="91"/>
        <v>61866.666666666672</v>
      </c>
      <c r="AB114" s="20">
        <f t="shared" si="81"/>
        <v>26666.666666666668</v>
      </c>
      <c r="AC114" s="20">
        <v>0</v>
      </c>
      <c r="AD114" s="20">
        <v>0</v>
      </c>
      <c r="AE114" s="20">
        <v>0</v>
      </c>
      <c r="AF114" s="20">
        <v>0</v>
      </c>
      <c r="AG114" s="20">
        <f t="shared" si="92"/>
        <v>200</v>
      </c>
      <c r="AH114" s="24"/>
      <c r="AI114" s="80">
        <v>0</v>
      </c>
      <c r="AJ114" s="24">
        <v>0</v>
      </c>
      <c r="AK114" s="24">
        <v>0</v>
      </c>
      <c r="AL114" s="24">
        <v>0</v>
      </c>
      <c r="AM114" s="25">
        <f t="shared" si="102"/>
        <v>0</v>
      </c>
      <c r="AN114" s="26">
        <f t="shared" si="93"/>
        <v>61666.666666666672</v>
      </c>
      <c r="AO114" s="56"/>
      <c r="AP114" s="56"/>
      <c r="AQ114" s="165" t="s">
        <v>338</v>
      </c>
      <c r="AR114" s="56"/>
      <c r="AS114" s="56"/>
      <c r="AT114" s="57"/>
      <c r="AU114" s="58"/>
      <c r="AV114" s="53"/>
      <c r="AW114" s="54"/>
      <c r="AX114" s="51"/>
      <c r="AY114" s="51"/>
      <c r="AZ114" s="51"/>
      <c r="BA114" s="51"/>
      <c r="BC114" s="152">
        <f t="shared" si="94"/>
        <v>61866.666666666672</v>
      </c>
    </row>
    <row r="115" spans="2:55" s="50" customFormat="1" ht="15.75" x14ac:dyDescent="0.25">
      <c r="B115" s="200">
        <v>33600</v>
      </c>
      <c r="C115" s="156">
        <v>0</v>
      </c>
      <c r="D115" s="15">
        <v>32000</v>
      </c>
      <c r="E115" s="16" t="s">
        <v>260</v>
      </c>
      <c r="F115" s="104" t="s">
        <v>150</v>
      </c>
      <c r="G115" s="112">
        <v>45748</v>
      </c>
      <c r="H115" s="51"/>
      <c r="I115" s="51"/>
      <c r="J115" s="41">
        <f t="shared" si="83"/>
        <v>97</v>
      </c>
      <c r="K115" s="86" t="s">
        <v>258</v>
      </c>
      <c r="L115" s="55" t="s">
        <v>262</v>
      </c>
      <c r="M115" s="33">
        <v>33600</v>
      </c>
      <c r="N115" s="20">
        <f t="shared" si="95"/>
        <v>16800</v>
      </c>
      <c r="O115" s="20">
        <f t="shared" si="96"/>
        <v>8400</v>
      </c>
      <c r="P115" s="20">
        <f t="shared" si="97"/>
        <v>4200</v>
      </c>
      <c r="Q115" s="20">
        <f t="shared" si="98"/>
        <v>4200</v>
      </c>
      <c r="R115" s="20"/>
      <c r="S115" s="20">
        <f t="shared" si="89"/>
        <v>33600</v>
      </c>
      <c r="T115" s="20"/>
      <c r="U115" s="22">
        <v>26</v>
      </c>
      <c r="V115" s="22">
        <v>4</v>
      </c>
      <c r="W115" s="22">
        <v>0</v>
      </c>
      <c r="X115" s="22">
        <f t="shared" si="101"/>
        <v>30</v>
      </c>
      <c r="Y115" s="20">
        <f t="shared" si="80"/>
        <v>33600</v>
      </c>
      <c r="Z115" s="42"/>
      <c r="AA115" s="20">
        <f t="shared" si="91"/>
        <v>33600</v>
      </c>
      <c r="AB115" s="20">
        <f t="shared" si="81"/>
        <v>14560</v>
      </c>
      <c r="AC115" s="20">
        <v>0</v>
      </c>
      <c r="AD115" s="20">
        <v>0</v>
      </c>
      <c r="AE115" s="20">
        <v>0</v>
      </c>
      <c r="AF115" s="20">
        <v>0</v>
      </c>
      <c r="AG115" s="20">
        <f t="shared" si="92"/>
        <v>200</v>
      </c>
      <c r="AH115" s="24"/>
      <c r="AI115" s="80">
        <v>0</v>
      </c>
      <c r="AJ115" s="24">
        <v>0</v>
      </c>
      <c r="AK115" s="24">
        <v>0</v>
      </c>
      <c r="AL115" s="24">
        <v>0</v>
      </c>
      <c r="AM115" s="25">
        <f t="shared" si="102"/>
        <v>0</v>
      </c>
      <c r="AN115" s="26">
        <f t="shared" si="93"/>
        <v>33400</v>
      </c>
      <c r="AO115" s="56"/>
      <c r="AP115" s="56"/>
      <c r="AQ115" s="51" t="s">
        <v>404</v>
      </c>
      <c r="AR115" s="56"/>
      <c r="AS115" s="56"/>
      <c r="AT115" s="57"/>
      <c r="AU115" s="58"/>
      <c r="AV115" s="53"/>
      <c r="AW115" s="54"/>
      <c r="AX115" s="51"/>
      <c r="AY115" s="51"/>
      <c r="AZ115" s="51"/>
      <c r="BA115" s="51"/>
      <c r="BC115" s="152">
        <f t="shared" si="94"/>
        <v>33600</v>
      </c>
    </row>
    <row r="116" spans="2:55" s="50" customFormat="1" ht="15.75" x14ac:dyDescent="0.25">
      <c r="B116" s="200">
        <v>25680</v>
      </c>
      <c r="C116" s="156">
        <v>24000</v>
      </c>
      <c r="D116" s="15">
        <v>24000</v>
      </c>
      <c r="E116" s="30" t="s">
        <v>421</v>
      </c>
      <c r="F116" s="104" t="s">
        <v>191</v>
      </c>
      <c r="G116" s="112">
        <v>45748</v>
      </c>
      <c r="H116" s="51"/>
      <c r="I116" s="51"/>
      <c r="J116" s="41">
        <f t="shared" si="83"/>
        <v>98</v>
      </c>
      <c r="K116" s="86" t="s">
        <v>258</v>
      </c>
      <c r="L116" s="55" t="s">
        <v>263</v>
      </c>
      <c r="M116" s="33">
        <v>25680</v>
      </c>
      <c r="N116" s="20">
        <f t="shared" si="95"/>
        <v>12840</v>
      </c>
      <c r="O116" s="20">
        <f t="shared" si="96"/>
        <v>6420</v>
      </c>
      <c r="P116" s="20">
        <f t="shared" si="97"/>
        <v>3210</v>
      </c>
      <c r="Q116" s="20">
        <f t="shared" si="98"/>
        <v>3210</v>
      </c>
      <c r="R116" s="20"/>
      <c r="S116" s="20">
        <f t="shared" si="89"/>
        <v>25680</v>
      </c>
      <c r="T116" s="20"/>
      <c r="U116" s="22">
        <v>26</v>
      </c>
      <c r="V116" s="22">
        <v>4</v>
      </c>
      <c r="W116" s="22">
        <v>0</v>
      </c>
      <c r="X116" s="22">
        <f t="shared" si="101"/>
        <v>30</v>
      </c>
      <c r="Y116" s="20">
        <f t="shared" si="80"/>
        <v>25680</v>
      </c>
      <c r="Z116" s="42"/>
      <c r="AA116" s="20">
        <f t="shared" si="91"/>
        <v>25680</v>
      </c>
      <c r="AB116" s="20">
        <f t="shared" si="81"/>
        <v>11128</v>
      </c>
      <c r="AC116" s="20">
        <v>0</v>
      </c>
      <c r="AD116" s="20">
        <v>0</v>
      </c>
      <c r="AE116" s="20">
        <v>0</v>
      </c>
      <c r="AF116" s="20">
        <v>0</v>
      </c>
      <c r="AG116" s="20">
        <f t="shared" si="92"/>
        <v>200</v>
      </c>
      <c r="AH116" s="24"/>
      <c r="AI116" s="80">
        <v>0</v>
      </c>
      <c r="AJ116" s="24">
        <v>0</v>
      </c>
      <c r="AK116" s="24">
        <v>0</v>
      </c>
      <c r="AL116" s="24">
        <v>0</v>
      </c>
      <c r="AM116" s="25">
        <f t="shared" si="102"/>
        <v>0</v>
      </c>
      <c r="AN116" s="26">
        <f t="shared" si="93"/>
        <v>25480</v>
      </c>
      <c r="AO116" s="56"/>
      <c r="AP116" s="56"/>
      <c r="AQ116" s="51" t="s">
        <v>374</v>
      </c>
      <c r="AR116" s="56"/>
      <c r="AS116" s="56"/>
      <c r="AT116" s="57"/>
      <c r="AU116" s="58"/>
      <c r="AV116" s="53"/>
      <c r="AW116" s="54"/>
      <c r="AX116" s="51"/>
      <c r="AY116" s="51"/>
      <c r="AZ116" s="51"/>
      <c r="BA116" s="51"/>
      <c r="BC116" s="152">
        <f t="shared" si="94"/>
        <v>25680</v>
      </c>
    </row>
    <row r="117" spans="2:55" s="50" customFormat="1" ht="15.75" x14ac:dyDescent="0.25">
      <c r="B117" s="220">
        <v>100000</v>
      </c>
      <c r="C117" s="104"/>
      <c r="D117" s="15">
        <v>100000</v>
      </c>
      <c r="E117" s="16" t="s">
        <v>265</v>
      </c>
      <c r="F117" s="104" t="s">
        <v>151</v>
      </c>
      <c r="G117" s="112">
        <v>45748</v>
      </c>
      <c r="H117" s="51"/>
      <c r="I117" s="51"/>
      <c r="J117" s="41">
        <f t="shared" si="83"/>
        <v>99</v>
      </c>
      <c r="K117" s="86" t="s">
        <v>258</v>
      </c>
      <c r="L117" s="223" t="s">
        <v>267</v>
      </c>
      <c r="M117" s="33">
        <v>100000</v>
      </c>
      <c r="N117" s="20">
        <f t="shared" si="95"/>
        <v>50000</v>
      </c>
      <c r="O117" s="20">
        <f t="shared" si="96"/>
        <v>25000</v>
      </c>
      <c r="P117" s="20">
        <f t="shared" si="97"/>
        <v>12500</v>
      </c>
      <c r="Q117" s="20">
        <f t="shared" si="98"/>
        <v>12500</v>
      </c>
      <c r="R117" s="20"/>
      <c r="S117" s="20">
        <f t="shared" si="89"/>
        <v>100000</v>
      </c>
      <c r="T117" s="20"/>
      <c r="U117" s="22">
        <v>26</v>
      </c>
      <c r="V117" s="22">
        <v>4</v>
      </c>
      <c r="W117" s="22">
        <v>0</v>
      </c>
      <c r="X117" s="22">
        <f t="shared" si="101"/>
        <v>30</v>
      </c>
      <c r="Y117" s="20">
        <f t="shared" si="80"/>
        <v>100000</v>
      </c>
      <c r="Z117" s="42"/>
      <c r="AA117" s="20">
        <f t="shared" si="91"/>
        <v>100000</v>
      </c>
      <c r="AB117" s="20">
        <f t="shared" si="81"/>
        <v>43333.333333333336</v>
      </c>
      <c r="AC117" s="20">
        <v>0</v>
      </c>
      <c r="AD117" s="20">
        <v>0</v>
      </c>
      <c r="AE117" s="20">
        <v>0</v>
      </c>
      <c r="AF117" s="20">
        <v>0</v>
      </c>
      <c r="AG117" s="20">
        <f t="shared" si="92"/>
        <v>200</v>
      </c>
      <c r="AH117" s="24"/>
      <c r="AI117" s="80">
        <v>0</v>
      </c>
      <c r="AJ117" s="24">
        <v>0</v>
      </c>
      <c r="AK117" s="24">
        <v>0</v>
      </c>
      <c r="AL117" s="24">
        <v>0</v>
      </c>
      <c r="AM117" s="25">
        <f t="shared" si="102"/>
        <v>0</v>
      </c>
      <c r="AN117" s="26">
        <f t="shared" si="93"/>
        <v>99800</v>
      </c>
      <c r="AO117" s="56"/>
      <c r="AP117" s="56"/>
      <c r="AQ117" s="51"/>
      <c r="AR117" s="56"/>
      <c r="AS117" s="56"/>
      <c r="AT117" s="57"/>
      <c r="AU117" s="58"/>
      <c r="AV117" s="53"/>
      <c r="AW117" s="54"/>
      <c r="AX117" s="51"/>
      <c r="AY117" s="51"/>
      <c r="AZ117" s="51"/>
      <c r="BA117" s="51"/>
      <c r="BC117" s="152">
        <f t="shared" si="94"/>
        <v>100000</v>
      </c>
    </row>
    <row r="118" spans="2:55" s="50" customFormat="1" ht="15.75" x14ac:dyDescent="0.25">
      <c r="B118" s="162">
        <v>35000</v>
      </c>
      <c r="C118" s="104">
        <v>0</v>
      </c>
      <c r="D118" s="15">
        <v>35000</v>
      </c>
      <c r="E118" s="48" t="s">
        <v>247</v>
      </c>
      <c r="F118" s="104" t="s">
        <v>146</v>
      </c>
      <c r="G118" s="112">
        <v>45748</v>
      </c>
      <c r="H118" s="51"/>
      <c r="I118" s="51"/>
      <c r="J118" s="41">
        <f t="shared" si="83"/>
        <v>100</v>
      </c>
      <c r="K118" s="86" t="s">
        <v>258</v>
      </c>
      <c r="L118" s="30" t="s">
        <v>264</v>
      </c>
      <c r="M118" s="33">
        <v>35000</v>
      </c>
      <c r="N118" s="20">
        <f t="shared" si="95"/>
        <v>17500</v>
      </c>
      <c r="O118" s="20">
        <f t="shared" si="96"/>
        <v>8750</v>
      </c>
      <c r="P118" s="20">
        <f t="shared" si="97"/>
        <v>4375</v>
      </c>
      <c r="Q118" s="20">
        <f t="shared" si="98"/>
        <v>4375</v>
      </c>
      <c r="R118" s="20"/>
      <c r="S118" s="20">
        <f t="shared" si="89"/>
        <v>35000</v>
      </c>
      <c r="T118" s="20"/>
      <c r="U118" s="22">
        <v>26</v>
      </c>
      <c r="V118" s="22">
        <v>4</v>
      </c>
      <c r="W118" s="22">
        <v>0</v>
      </c>
      <c r="X118" s="22">
        <f t="shared" si="101"/>
        <v>30</v>
      </c>
      <c r="Y118" s="20">
        <f t="shared" si="80"/>
        <v>35000</v>
      </c>
      <c r="Z118" s="42"/>
      <c r="AA118" s="20">
        <f t="shared" si="91"/>
        <v>35000</v>
      </c>
      <c r="AB118" s="20">
        <f t="shared" si="81"/>
        <v>15166.666666666668</v>
      </c>
      <c r="AC118" s="20">
        <v>0</v>
      </c>
      <c r="AD118" s="20">
        <v>0</v>
      </c>
      <c r="AE118" s="20">
        <v>0</v>
      </c>
      <c r="AF118" s="20">
        <v>0</v>
      </c>
      <c r="AG118" s="20">
        <f t="shared" si="92"/>
        <v>200</v>
      </c>
      <c r="AH118" s="24"/>
      <c r="AI118" s="80">
        <v>0</v>
      </c>
      <c r="AJ118" s="24">
        <v>0</v>
      </c>
      <c r="AK118" s="24">
        <v>0</v>
      </c>
      <c r="AL118" s="24">
        <v>0</v>
      </c>
      <c r="AM118" s="25">
        <f t="shared" si="102"/>
        <v>0</v>
      </c>
      <c r="AN118" s="26">
        <f t="shared" si="93"/>
        <v>34800</v>
      </c>
      <c r="AO118" s="56"/>
      <c r="AP118" s="56"/>
      <c r="AQ118" s="51" t="s">
        <v>381</v>
      </c>
      <c r="AR118" s="56"/>
      <c r="AS118" s="56"/>
      <c r="AT118" s="57"/>
      <c r="AU118" s="58"/>
      <c r="AV118" s="53"/>
      <c r="AW118" s="54"/>
      <c r="AX118" s="51"/>
      <c r="AY118" s="51"/>
      <c r="AZ118" s="51"/>
      <c r="BA118" s="51"/>
      <c r="BC118" s="152">
        <f t="shared" si="94"/>
        <v>35000</v>
      </c>
    </row>
    <row r="119" spans="2:55" s="50" customFormat="1" ht="15.75" x14ac:dyDescent="0.25">
      <c r="B119" s="220">
        <v>48000</v>
      </c>
      <c r="C119" s="104"/>
      <c r="D119" s="15">
        <v>42000</v>
      </c>
      <c r="E119" s="16" t="s">
        <v>265</v>
      </c>
      <c r="F119" s="104" t="s">
        <v>150</v>
      </c>
      <c r="G119" s="112">
        <v>45778</v>
      </c>
      <c r="H119" s="30"/>
      <c r="I119" s="30"/>
      <c r="J119" s="41">
        <f t="shared" si="83"/>
        <v>101</v>
      </c>
      <c r="K119" s="86" t="s">
        <v>270</v>
      </c>
      <c r="L119" s="30" t="s">
        <v>268</v>
      </c>
      <c r="M119" s="33">
        <v>48000</v>
      </c>
      <c r="N119" s="20">
        <f t="shared" si="95"/>
        <v>24000</v>
      </c>
      <c r="O119" s="20">
        <f t="shared" si="96"/>
        <v>12000</v>
      </c>
      <c r="P119" s="20">
        <f t="shared" si="97"/>
        <v>6000</v>
      </c>
      <c r="Q119" s="20">
        <f t="shared" si="98"/>
        <v>6000</v>
      </c>
      <c r="R119" s="20"/>
      <c r="S119" s="20">
        <f t="shared" si="89"/>
        <v>48000</v>
      </c>
      <c r="T119" s="20"/>
      <c r="U119" s="22">
        <v>26</v>
      </c>
      <c r="V119" s="22">
        <v>4</v>
      </c>
      <c r="W119" s="22">
        <v>0</v>
      </c>
      <c r="X119" s="22">
        <f t="shared" si="101"/>
        <v>30</v>
      </c>
      <c r="Y119" s="20">
        <f t="shared" si="80"/>
        <v>48000</v>
      </c>
      <c r="Z119" s="42"/>
      <c r="AA119" s="20">
        <f t="shared" si="91"/>
        <v>48000</v>
      </c>
      <c r="AB119" s="20">
        <f t="shared" si="81"/>
        <v>20800</v>
      </c>
      <c r="AC119" s="20">
        <v>0</v>
      </c>
      <c r="AD119" s="20">
        <v>0</v>
      </c>
      <c r="AE119" s="20">
        <v>0</v>
      </c>
      <c r="AF119" s="20">
        <v>0</v>
      </c>
      <c r="AG119" s="20">
        <f t="shared" si="92"/>
        <v>200</v>
      </c>
      <c r="AH119" s="24"/>
      <c r="AI119" s="80">
        <v>0</v>
      </c>
      <c r="AJ119" s="24">
        <v>0</v>
      </c>
      <c r="AK119" s="24">
        <v>0</v>
      </c>
      <c r="AL119" s="24">
        <v>0</v>
      </c>
      <c r="AM119" s="25">
        <f t="shared" si="102"/>
        <v>0</v>
      </c>
      <c r="AN119" s="26">
        <f t="shared" si="93"/>
        <v>47800</v>
      </c>
      <c r="AO119" s="56"/>
      <c r="AP119" s="56"/>
      <c r="AQ119" s="51" t="s">
        <v>402</v>
      </c>
      <c r="AR119" s="56"/>
      <c r="AS119" s="56"/>
      <c r="AT119" s="57"/>
      <c r="AU119" s="58"/>
      <c r="AV119" s="53"/>
      <c r="AW119" s="54"/>
      <c r="AX119" s="51"/>
      <c r="AY119" s="51"/>
      <c r="AZ119" s="51"/>
      <c r="BA119" s="51"/>
      <c r="BC119" s="152">
        <f t="shared" si="94"/>
        <v>48000</v>
      </c>
    </row>
    <row r="120" spans="2:55" s="50" customFormat="1" ht="15.75" x14ac:dyDescent="0.25">
      <c r="B120" s="220">
        <v>50000</v>
      </c>
      <c r="C120" s="104"/>
      <c r="D120" s="15">
        <v>43000</v>
      </c>
      <c r="E120" s="16" t="s">
        <v>265</v>
      </c>
      <c r="F120" s="104" t="s">
        <v>150</v>
      </c>
      <c r="G120" s="112">
        <v>45778</v>
      </c>
      <c r="H120" s="30"/>
      <c r="I120" s="30"/>
      <c r="J120" s="41">
        <f t="shared" si="83"/>
        <v>102</v>
      </c>
      <c r="K120" s="86" t="s">
        <v>270</v>
      </c>
      <c r="L120" s="30" t="s">
        <v>269</v>
      </c>
      <c r="M120" s="33">
        <v>50000</v>
      </c>
      <c r="N120" s="20">
        <f t="shared" si="95"/>
        <v>25000</v>
      </c>
      <c r="O120" s="20">
        <f t="shared" si="96"/>
        <v>12500</v>
      </c>
      <c r="P120" s="20">
        <f t="shared" si="97"/>
        <v>6250</v>
      </c>
      <c r="Q120" s="20">
        <f t="shared" si="98"/>
        <v>6250</v>
      </c>
      <c r="R120" s="20"/>
      <c r="S120" s="20">
        <f t="shared" si="89"/>
        <v>50000</v>
      </c>
      <c r="T120" s="20"/>
      <c r="U120" s="22">
        <v>26</v>
      </c>
      <c r="V120" s="22">
        <v>4</v>
      </c>
      <c r="W120" s="22">
        <v>0</v>
      </c>
      <c r="X120" s="22">
        <f t="shared" si="101"/>
        <v>30</v>
      </c>
      <c r="Y120" s="20">
        <f t="shared" si="80"/>
        <v>50000</v>
      </c>
      <c r="Z120" s="42"/>
      <c r="AA120" s="20">
        <f t="shared" si="91"/>
        <v>50000</v>
      </c>
      <c r="AB120" s="20">
        <f t="shared" si="81"/>
        <v>21666.666666666668</v>
      </c>
      <c r="AC120" s="20">
        <v>0</v>
      </c>
      <c r="AD120" s="20">
        <v>0</v>
      </c>
      <c r="AE120" s="20">
        <v>0</v>
      </c>
      <c r="AF120" s="20">
        <v>0</v>
      </c>
      <c r="AG120" s="20">
        <f t="shared" si="92"/>
        <v>200</v>
      </c>
      <c r="AH120" s="24"/>
      <c r="AI120" s="80">
        <v>0</v>
      </c>
      <c r="AJ120" s="24">
        <v>0</v>
      </c>
      <c r="AK120" s="24">
        <v>0</v>
      </c>
      <c r="AL120" s="24">
        <v>0</v>
      </c>
      <c r="AM120" s="25">
        <f t="shared" si="102"/>
        <v>0</v>
      </c>
      <c r="AN120" s="26">
        <f t="shared" si="93"/>
        <v>49800</v>
      </c>
      <c r="AO120" s="56"/>
      <c r="AP120" s="56"/>
      <c r="AQ120" s="51" t="s">
        <v>400</v>
      </c>
      <c r="AR120" s="56"/>
      <c r="AS120" s="56"/>
      <c r="AT120" s="57"/>
      <c r="AU120" s="58"/>
      <c r="AV120" s="53"/>
      <c r="AW120" s="54"/>
      <c r="AX120" s="51"/>
      <c r="AY120" s="51"/>
      <c r="AZ120" s="51"/>
      <c r="BA120" s="51"/>
      <c r="BC120" s="152">
        <f t="shared" si="94"/>
        <v>50000</v>
      </c>
    </row>
    <row r="121" spans="2:55" s="50" customFormat="1" ht="18" customHeight="1" x14ac:dyDescent="0.3">
      <c r="B121" s="162"/>
      <c r="C121" s="104">
        <v>30000</v>
      </c>
      <c r="D121" s="161"/>
      <c r="E121" s="30"/>
      <c r="F121" s="104" t="s">
        <v>147</v>
      </c>
      <c r="G121" s="112">
        <v>45839</v>
      </c>
      <c r="H121" s="30"/>
      <c r="I121" s="30"/>
      <c r="J121" s="41">
        <f t="shared" si="83"/>
        <v>103</v>
      </c>
      <c r="K121" s="86" t="s">
        <v>284</v>
      </c>
      <c r="L121" s="30" t="s">
        <v>283</v>
      </c>
      <c r="M121" s="33">
        <v>30200</v>
      </c>
      <c r="N121" s="20">
        <f t="shared" si="95"/>
        <v>15100</v>
      </c>
      <c r="O121" s="20">
        <f t="shared" si="96"/>
        <v>7550</v>
      </c>
      <c r="P121" s="20">
        <f t="shared" si="97"/>
        <v>3775</v>
      </c>
      <c r="Q121" s="20">
        <f t="shared" si="98"/>
        <v>3775</v>
      </c>
      <c r="R121" s="20"/>
      <c r="S121" s="20">
        <f t="shared" si="89"/>
        <v>30200</v>
      </c>
      <c r="T121" s="20"/>
      <c r="U121" s="22">
        <v>26</v>
      </c>
      <c r="V121" s="22">
        <v>4</v>
      </c>
      <c r="W121" s="22">
        <v>0</v>
      </c>
      <c r="X121" s="22">
        <f t="shared" si="101"/>
        <v>30</v>
      </c>
      <c r="Y121" s="20">
        <f t="shared" si="80"/>
        <v>30200</v>
      </c>
      <c r="Z121" s="42"/>
      <c r="AA121" s="20">
        <f t="shared" si="91"/>
        <v>30200</v>
      </c>
      <c r="AB121" s="20">
        <f t="shared" si="81"/>
        <v>13086.666666666666</v>
      </c>
      <c r="AC121" s="20">
        <v>0</v>
      </c>
      <c r="AD121" s="20">
        <v>0</v>
      </c>
      <c r="AE121" s="20">
        <v>0</v>
      </c>
      <c r="AF121" s="20">
        <v>0</v>
      </c>
      <c r="AG121" s="20">
        <f t="shared" si="92"/>
        <v>200</v>
      </c>
      <c r="AH121" s="24"/>
      <c r="AI121" s="80">
        <v>0</v>
      </c>
      <c r="AJ121" s="24">
        <v>0</v>
      </c>
      <c r="AK121" s="24">
        <v>0</v>
      </c>
      <c r="AL121" s="24">
        <v>0</v>
      </c>
      <c r="AM121" s="25">
        <f t="shared" si="102"/>
        <v>0</v>
      </c>
      <c r="AN121" s="26">
        <f t="shared" si="93"/>
        <v>30000</v>
      </c>
      <c r="AO121" s="51"/>
      <c r="AP121" s="51"/>
      <c r="AQ121" s="51"/>
      <c r="AR121" s="51"/>
      <c r="AS121" s="51"/>
      <c r="AT121" s="51"/>
      <c r="AU121" s="58"/>
      <c r="AV121" s="53"/>
      <c r="AW121" s="54"/>
      <c r="AX121" s="51"/>
      <c r="AY121" s="51"/>
      <c r="AZ121" s="51"/>
      <c r="BA121" s="51"/>
      <c r="BC121" s="152">
        <f t="shared" si="94"/>
        <v>30200</v>
      </c>
    </row>
    <row r="122" spans="2:55" s="50" customFormat="1" ht="15.75" customHeight="1" x14ac:dyDescent="0.3">
      <c r="B122" s="162">
        <v>25000</v>
      </c>
      <c r="C122" s="200">
        <v>21000</v>
      </c>
      <c r="D122" s="161"/>
      <c r="E122" s="16" t="s">
        <v>438</v>
      </c>
      <c r="F122" s="104"/>
      <c r="G122" s="112">
        <v>45839</v>
      </c>
      <c r="H122" s="30"/>
      <c r="I122" s="30"/>
      <c r="J122" s="41">
        <f t="shared" si="83"/>
        <v>104</v>
      </c>
      <c r="K122" s="86" t="s">
        <v>284</v>
      </c>
      <c r="L122" s="143" t="s">
        <v>274</v>
      </c>
      <c r="M122" s="33">
        <v>25000</v>
      </c>
      <c r="N122" s="20">
        <f t="shared" si="95"/>
        <v>12500</v>
      </c>
      <c r="O122" s="20">
        <f t="shared" si="96"/>
        <v>6250</v>
      </c>
      <c r="P122" s="20">
        <f t="shared" si="97"/>
        <v>3125</v>
      </c>
      <c r="Q122" s="20">
        <f t="shared" si="98"/>
        <v>3125</v>
      </c>
      <c r="R122" s="20"/>
      <c r="S122" s="20">
        <f t="shared" si="89"/>
        <v>25000</v>
      </c>
      <c r="T122" s="20"/>
      <c r="U122" s="22">
        <v>14</v>
      </c>
      <c r="V122" s="22">
        <v>2</v>
      </c>
      <c r="W122" s="22">
        <v>0.5</v>
      </c>
      <c r="X122" s="22">
        <f t="shared" si="101"/>
        <v>16.5</v>
      </c>
      <c r="Y122" s="20">
        <f t="shared" si="80"/>
        <v>13750</v>
      </c>
      <c r="Z122" s="42">
        <v>0</v>
      </c>
      <c r="AA122" s="20">
        <f t="shared" si="91"/>
        <v>13750</v>
      </c>
      <c r="AB122" s="20">
        <f t="shared" si="81"/>
        <v>5833.3333333333339</v>
      </c>
      <c r="AC122" s="20">
        <v>0</v>
      </c>
      <c r="AD122" s="20">
        <v>0</v>
      </c>
      <c r="AE122" s="20">
        <v>0</v>
      </c>
      <c r="AF122" s="20">
        <v>0</v>
      </c>
      <c r="AG122" s="20">
        <f t="shared" si="92"/>
        <v>200</v>
      </c>
      <c r="AH122" s="24"/>
      <c r="AI122" s="80">
        <v>0</v>
      </c>
      <c r="AJ122" s="24">
        <v>0</v>
      </c>
      <c r="AK122" s="24">
        <v>0</v>
      </c>
      <c r="AL122" s="24">
        <v>0</v>
      </c>
      <c r="AM122" s="25">
        <f t="shared" si="102"/>
        <v>0</v>
      </c>
      <c r="AN122" s="26">
        <f t="shared" si="93"/>
        <v>13550</v>
      </c>
      <c r="AO122" s="56"/>
      <c r="AP122" s="56"/>
      <c r="AQ122" s="4" t="s">
        <v>357</v>
      </c>
      <c r="AR122" s="56"/>
      <c r="AS122" s="56"/>
      <c r="AT122" s="57"/>
      <c r="AU122" s="58"/>
      <c r="AV122" s="53"/>
      <c r="AW122" s="54"/>
      <c r="AX122" s="51"/>
      <c r="AY122" s="51"/>
      <c r="AZ122" s="51"/>
      <c r="BA122" s="51"/>
      <c r="BC122" s="152">
        <f t="shared" si="94"/>
        <v>13750</v>
      </c>
    </row>
    <row r="123" spans="2:55" s="50" customFormat="1" ht="15.75" customHeight="1" x14ac:dyDescent="0.3">
      <c r="B123" s="162">
        <v>18000</v>
      </c>
      <c r="C123" s="200">
        <v>14500</v>
      </c>
      <c r="D123" s="161"/>
      <c r="E123" s="16" t="s">
        <v>438</v>
      </c>
      <c r="F123" s="104"/>
      <c r="G123" s="112">
        <v>45839</v>
      </c>
      <c r="H123" s="30"/>
      <c r="I123" s="30"/>
      <c r="J123" s="41">
        <f t="shared" si="83"/>
        <v>105</v>
      </c>
      <c r="K123" s="86" t="s">
        <v>284</v>
      </c>
      <c r="L123" s="92" t="s">
        <v>275</v>
      </c>
      <c r="M123" s="33">
        <v>29000</v>
      </c>
      <c r="N123" s="20">
        <f t="shared" si="95"/>
        <v>14500</v>
      </c>
      <c r="O123" s="20">
        <f t="shared" si="96"/>
        <v>7250</v>
      </c>
      <c r="P123" s="20">
        <f t="shared" si="97"/>
        <v>3625</v>
      </c>
      <c r="Q123" s="20">
        <f t="shared" si="98"/>
        <v>3625</v>
      </c>
      <c r="R123" s="20"/>
      <c r="S123" s="20">
        <f t="shared" si="89"/>
        <v>29000</v>
      </c>
      <c r="T123" s="20"/>
      <c r="U123" s="22">
        <v>16</v>
      </c>
      <c r="V123" s="22">
        <v>2</v>
      </c>
      <c r="W123" s="22">
        <v>0.13800000000000001</v>
      </c>
      <c r="X123" s="22">
        <f t="shared" si="101"/>
        <v>18.138000000000002</v>
      </c>
      <c r="Y123" s="20">
        <f t="shared" si="80"/>
        <v>17533.400000000001</v>
      </c>
      <c r="Z123" s="42">
        <v>0</v>
      </c>
      <c r="AA123" s="20">
        <f t="shared" si="91"/>
        <v>17533.400000000001</v>
      </c>
      <c r="AB123" s="20">
        <f t="shared" si="81"/>
        <v>7733.333333333333</v>
      </c>
      <c r="AC123" s="20">
        <v>0</v>
      </c>
      <c r="AD123" s="20">
        <v>0</v>
      </c>
      <c r="AE123" s="20">
        <v>0</v>
      </c>
      <c r="AF123" s="20">
        <v>0</v>
      </c>
      <c r="AG123" s="20">
        <f t="shared" si="92"/>
        <v>200</v>
      </c>
      <c r="AH123" s="24"/>
      <c r="AI123" s="80">
        <v>0</v>
      </c>
      <c r="AJ123" s="24">
        <v>0</v>
      </c>
      <c r="AK123" s="24">
        <v>0</v>
      </c>
      <c r="AL123" s="24">
        <v>0</v>
      </c>
      <c r="AM123" s="25">
        <f t="shared" si="102"/>
        <v>0</v>
      </c>
      <c r="AN123" s="26">
        <f t="shared" si="93"/>
        <v>17333.400000000001</v>
      </c>
      <c r="AO123" s="56"/>
      <c r="AP123" s="56"/>
      <c r="AQ123" s="4" t="s">
        <v>358</v>
      </c>
      <c r="AR123" s="56"/>
      <c r="AS123" s="56"/>
      <c r="AT123" s="57"/>
      <c r="AU123" s="58"/>
      <c r="AV123" s="53"/>
      <c r="AW123" s="54"/>
      <c r="AX123" s="51"/>
      <c r="AY123" s="51"/>
      <c r="AZ123" s="51"/>
      <c r="BA123" s="51"/>
      <c r="BC123" s="152">
        <f t="shared" si="94"/>
        <v>17533.400000000001</v>
      </c>
    </row>
    <row r="124" spans="2:55" s="50" customFormat="1" ht="15.75" customHeight="1" x14ac:dyDescent="0.3">
      <c r="B124" s="162">
        <v>16500</v>
      </c>
      <c r="C124" s="200">
        <v>14500</v>
      </c>
      <c r="D124" s="161"/>
      <c r="E124" s="16" t="s">
        <v>438</v>
      </c>
      <c r="F124" s="104"/>
      <c r="G124" s="112">
        <v>45839</v>
      </c>
      <c r="H124" s="30"/>
      <c r="I124" s="30"/>
      <c r="J124" s="41">
        <f t="shared" si="83"/>
        <v>106</v>
      </c>
      <c r="K124" s="86" t="s">
        <v>284</v>
      </c>
      <c r="L124" s="92" t="s">
        <v>276</v>
      </c>
      <c r="M124" s="33">
        <v>29000</v>
      </c>
      <c r="N124" s="20">
        <f t="shared" si="95"/>
        <v>14500</v>
      </c>
      <c r="O124" s="20">
        <f t="shared" si="96"/>
        <v>7250</v>
      </c>
      <c r="P124" s="20">
        <f t="shared" si="97"/>
        <v>3625</v>
      </c>
      <c r="Q124" s="20">
        <f t="shared" si="98"/>
        <v>3625</v>
      </c>
      <c r="R124" s="20"/>
      <c r="S124" s="20">
        <f t="shared" si="89"/>
        <v>29000</v>
      </c>
      <c r="T124" s="20"/>
      <c r="U124" s="22">
        <v>13</v>
      </c>
      <c r="V124" s="22">
        <v>3</v>
      </c>
      <c r="W124" s="22">
        <v>0.83299999999999996</v>
      </c>
      <c r="X124" s="22">
        <f t="shared" si="101"/>
        <v>16.832999999999998</v>
      </c>
      <c r="Y124" s="20">
        <f t="shared" si="80"/>
        <v>16271.899999999998</v>
      </c>
      <c r="Z124" s="42">
        <v>0</v>
      </c>
      <c r="AA124" s="20">
        <f t="shared" si="91"/>
        <v>16271.899999999998</v>
      </c>
      <c r="AB124" s="20">
        <f t="shared" si="81"/>
        <v>6283.333333333333</v>
      </c>
      <c r="AC124" s="20">
        <v>0</v>
      </c>
      <c r="AD124" s="20">
        <v>0</v>
      </c>
      <c r="AE124" s="20">
        <v>0</v>
      </c>
      <c r="AF124" s="20">
        <v>0</v>
      </c>
      <c r="AG124" s="20">
        <f t="shared" si="92"/>
        <v>200</v>
      </c>
      <c r="AH124" s="24"/>
      <c r="AI124" s="80">
        <v>0</v>
      </c>
      <c r="AJ124" s="24">
        <v>0</v>
      </c>
      <c r="AK124" s="24">
        <v>0</v>
      </c>
      <c r="AL124" s="24">
        <v>0</v>
      </c>
      <c r="AM124" s="25">
        <f t="shared" si="102"/>
        <v>0</v>
      </c>
      <c r="AN124" s="26">
        <f t="shared" si="93"/>
        <v>16071.899999999998</v>
      </c>
      <c r="AO124" s="56"/>
      <c r="AP124" s="56"/>
      <c r="AQ124" s="4" t="s">
        <v>383</v>
      </c>
      <c r="AR124" s="56"/>
      <c r="AS124" s="56"/>
      <c r="AT124" s="57"/>
      <c r="AU124" s="58"/>
      <c r="AV124" s="53"/>
      <c r="AW124" s="54"/>
      <c r="AX124" s="51"/>
      <c r="AY124" s="51"/>
      <c r="AZ124" s="51"/>
      <c r="BA124" s="51"/>
      <c r="BC124" s="152">
        <f t="shared" si="94"/>
        <v>16271.899999999998</v>
      </c>
    </row>
    <row r="125" spans="2:55" s="50" customFormat="1" ht="15.75" x14ac:dyDescent="0.25">
      <c r="B125" s="200">
        <v>0</v>
      </c>
      <c r="C125" s="21">
        <v>0</v>
      </c>
      <c r="D125" s="21">
        <v>20000</v>
      </c>
      <c r="E125" s="30" t="s">
        <v>226</v>
      </c>
      <c r="F125" s="21" t="s">
        <v>277</v>
      </c>
      <c r="G125" s="112">
        <v>45839</v>
      </c>
      <c r="H125" s="30"/>
      <c r="I125" s="30"/>
      <c r="J125" s="41">
        <f t="shared" si="83"/>
        <v>107</v>
      </c>
      <c r="K125" s="86" t="s">
        <v>284</v>
      </c>
      <c r="L125" s="84" t="s">
        <v>279</v>
      </c>
      <c r="M125" s="33">
        <v>25000</v>
      </c>
      <c r="N125" s="20">
        <f t="shared" si="95"/>
        <v>12500</v>
      </c>
      <c r="O125" s="20">
        <f t="shared" si="96"/>
        <v>6250</v>
      </c>
      <c r="P125" s="20">
        <f t="shared" si="97"/>
        <v>3125</v>
      </c>
      <c r="Q125" s="20">
        <f t="shared" si="98"/>
        <v>3125</v>
      </c>
      <c r="R125" s="20"/>
      <c r="S125" s="20">
        <f t="shared" si="89"/>
        <v>25000</v>
      </c>
      <c r="T125" s="20"/>
      <c r="U125" s="22">
        <v>22</v>
      </c>
      <c r="V125" s="22">
        <v>2</v>
      </c>
      <c r="W125" s="22">
        <v>0</v>
      </c>
      <c r="X125" s="22">
        <f t="shared" si="101"/>
        <v>24</v>
      </c>
      <c r="Y125" s="20">
        <f t="shared" si="80"/>
        <v>20000</v>
      </c>
      <c r="Z125" s="42">
        <v>0</v>
      </c>
      <c r="AA125" s="20">
        <f t="shared" si="91"/>
        <v>20000</v>
      </c>
      <c r="AB125" s="20">
        <f t="shared" si="81"/>
        <v>9166.6666666666679</v>
      </c>
      <c r="AC125" s="20">
        <v>0</v>
      </c>
      <c r="AD125" s="20">
        <v>0</v>
      </c>
      <c r="AE125" s="20">
        <v>0</v>
      </c>
      <c r="AF125" s="20">
        <v>0</v>
      </c>
      <c r="AG125" s="20">
        <f t="shared" si="92"/>
        <v>200</v>
      </c>
      <c r="AH125" s="24"/>
      <c r="AI125" s="80">
        <v>0</v>
      </c>
      <c r="AJ125" s="24">
        <v>0</v>
      </c>
      <c r="AK125" s="24">
        <v>0</v>
      </c>
      <c r="AL125" s="24">
        <v>0</v>
      </c>
      <c r="AM125" s="25">
        <f t="shared" si="102"/>
        <v>0</v>
      </c>
      <c r="AN125" s="26">
        <f t="shared" si="93"/>
        <v>19800</v>
      </c>
      <c r="AO125" s="56"/>
      <c r="AP125" s="56"/>
      <c r="AQ125" s="51"/>
      <c r="AR125" s="56"/>
      <c r="AS125" s="56"/>
      <c r="AT125" s="57"/>
      <c r="AU125" s="58"/>
      <c r="AV125" s="53"/>
      <c r="AW125" s="54"/>
      <c r="AX125" s="51"/>
      <c r="AY125" s="51"/>
      <c r="AZ125" s="51"/>
      <c r="BA125" s="51"/>
      <c r="BC125" s="152">
        <f t="shared" si="94"/>
        <v>20000</v>
      </c>
    </row>
    <row r="126" spans="2:55" s="50" customFormat="1" ht="15.75" customHeight="1" x14ac:dyDescent="0.3">
      <c r="B126" s="198">
        <v>40500</v>
      </c>
      <c r="C126" s="104">
        <v>37000</v>
      </c>
      <c r="D126" s="161"/>
      <c r="E126" s="16" t="s">
        <v>128</v>
      </c>
      <c r="F126" s="104" t="s">
        <v>259</v>
      </c>
      <c r="G126" s="112">
        <v>45839</v>
      </c>
      <c r="H126" s="30"/>
      <c r="I126" s="30"/>
      <c r="J126" s="41">
        <f t="shared" si="83"/>
        <v>108</v>
      </c>
      <c r="K126" s="86" t="s">
        <v>284</v>
      </c>
      <c r="L126" s="30" t="s">
        <v>410</v>
      </c>
      <c r="M126" s="33">
        <v>40500</v>
      </c>
      <c r="N126" s="20">
        <f t="shared" si="95"/>
        <v>20250</v>
      </c>
      <c r="O126" s="20">
        <f t="shared" si="96"/>
        <v>10125</v>
      </c>
      <c r="P126" s="20">
        <f t="shared" si="97"/>
        <v>5063</v>
      </c>
      <c r="Q126" s="20">
        <f t="shared" si="98"/>
        <v>5063</v>
      </c>
      <c r="R126" s="20"/>
      <c r="S126" s="20">
        <f t="shared" si="89"/>
        <v>40501</v>
      </c>
      <c r="T126" s="20"/>
      <c r="U126" s="22">
        <v>26</v>
      </c>
      <c r="V126" s="22">
        <v>4</v>
      </c>
      <c r="W126" s="22">
        <v>0</v>
      </c>
      <c r="X126" s="22">
        <f t="shared" ref="X126:X127" si="103">+U126+V126+W126</f>
        <v>30</v>
      </c>
      <c r="Y126" s="20">
        <f t="shared" si="80"/>
        <v>40500</v>
      </c>
      <c r="Z126" s="42"/>
      <c r="AA126" s="20">
        <f t="shared" si="91"/>
        <v>40500</v>
      </c>
      <c r="AB126" s="20">
        <f t="shared" si="81"/>
        <v>17550</v>
      </c>
      <c r="AC126" s="20">
        <v>0</v>
      </c>
      <c r="AD126" s="20">
        <v>0</v>
      </c>
      <c r="AE126" s="20">
        <v>0</v>
      </c>
      <c r="AF126" s="20">
        <v>0</v>
      </c>
      <c r="AG126" s="20">
        <f t="shared" si="92"/>
        <v>200</v>
      </c>
      <c r="AH126" s="24"/>
      <c r="AI126" s="80">
        <v>0</v>
      </c>
      <c r="AJ126" s="24">
        <v>0</v>
      </c>
      <c r="AK126" s="24">
        <v>0</v>
      </c>
      <c r="AL126" s="24">
        <v>0</v>
      </c>
      <c r="AM126" s="25">
        <f t="shared" si="102"/>
        <v>0</v>
      </c>
      <c r="AN126" s="26">
        <f t="shared" si="93"/>
        <v>40300</v>
      </c>
      <c r="AO126" s="56"/>
      <c r="AP126" s="56"/>
      <c r="AQ126" s="51" t="s">
        <v>349</v>
      </c>
      <c r="AR126" s="56"/>
      <c r="AS126" s="56"/>
      <c r="AT126" s="57"/>
      <c r="AU126" s="58"/>
      <c r="AV126" s="53"/>
      <c r="AW126" s="54"/>
      <c r="AX126" s="51"/>
      <c r="AY126" s="51"/>
      <c r="AZ126" s="51"/>
      <c r="BA126" s="51"/>
      <c r="BC126" s="152">
        <f t="shared" si="94"/>
        <v>40500</v>
      </c>
    </row>
    <row r="127" spans="2:55" s="50" customFormat="1" ht="15.75" customHeight="1" x14ac:dyDescent="0.3">
      <c r="B127" s="200">
        <v>30000</v>
      </c>
      <c r="C127" s="104">
        <v>26000</v>
      </c>
      <c r="D127" s="161"/>
      <c r="E127" s="16" t="s">
        <v>114</v>
      </c>
      <c r="F127" s="104" t="s">
        <v>150</v>
      </c>
      <c r="G127" s="112">
        <v>45839</v>
      </c>
      <c r="H127" s="30"/>
      <c r="I127" s="30"/>
      <c r="J127" s="41">
        <f t="shared" si="83"/>
        <v>109</v>
      </c>
      <c r="K127" s="86" t="s">
        <v>284</v>
      </c>
      <c r="L127" s="30" t="s">
        <v>271</v>
      </c>
      <c r="M127" s="33">
        <v>30000</v>
      </c>
      <c r="N127" s="20">
        <f t="shared" si="95"/>
        <v>15000</v>
      </c>
      <c r="O127" s="20">
        <f t="shared" si="96"/>
        <v>7500</v>
      </c>
      <c r="P127" s="20">
        <f t="shared" si="97"/>
        <v>3750</v>
      </c>
      <c r="Q127" s="20">
        <f t="shared" si="98"/>
        <v>3750</v>
      </c>
      <c r="R127" s="20"/>
      <c r="S127" s="20">
        <f t="shared" si="89"/>
        <v>30000</v>
      </c>
      <c r="T127" s="20"/>
      <c r="U127" s="22">
        <v>26</v>
      </c>
      <c r="V127" s="22">
        <v>4</v>
      </c>
      <c r="W127" s="22">
        <v>0</v>
      </c>
      <c r="X127" s="22">
        <f t="shared" si="103"/>
        <v>30</v>
      </c>
      <c r="Y127" s="20">
        <f t="shared" si="80"/>
        <v>30000</v>
      </c>
      <c r="Z127" s="42"/>
      <c r="AA127" s="20">
        <f t="shared" si="91"/>
        <v>30000</v>
      </c>
      <c r="AB127" s="20">
        <f t="shared" si="81"/>
        <v>13000</v>
      </c>
      <c r="AC127" s="20">
        <v>0</v>
      </c>
      <c r="AD127" s="20">
        <v>0</v>
      </c>
      <c r="AE127" s="20">
        <v>0</v>
      </c>
      <c r="AF127" s="20">
        <v>0</v>
      </c>
      <c r="AG127" s="20">
        <f t="shared" si="92"/>
        <v>200</v>
      </c>
      <c r="AH127" s="24"/>
      <c r="AI127" s="80">
        <v>0</v>
      </c>
      <c r="AJ127" s="24">
        <v>0</v>
      </c>
      <c r="AK127" s="24">
        <v>0</v>
      </c>
      <c r="AL127" s="24">
        <v>0</v>
      </c>
      <c r="AM127" s="25">
        <f t="shared" si="102"/>
        <v>0</v>
      </c>
      <c r="AN127" s="26">
        <f t="shared" si="93"/>
        <v>29800</v>
      </c>
      <c r="AO127" s="56"/>
      <c r="AP127" s="56"/>
      <c r="AQ127" s="51" t="s">
        <v>353</v>
      </c>
      <c r="AR127" s="56"/>
      <c r="AS127" s="56"/>
      <c r="AT127" s="57"/>
      <c r="AU127" s="58"/>
      <c r="AV127" s="53"/>
      <c r="AW127" s="54"/>
      <c r="AX127" s="51"/>
      <c r="AY127" s="51"/>
      <c r="AZ127" s="51"/>
      <c r="BA127" s="51"/>
      <c r="BC127" s="152">
        <f t="shared" si="94"/>
        <v>30000</v>
      </c>
    </row>
    <row r="128" spans="2:55" s="50" customFormat="1" ht="15.75" customHeight="1" x14ac:dyDescent="0.3">
      <c r="B128" s="200">
        <v>26750</v>
      </c>
      <c r="C128" s="104">
        <v>25000</v>
      </c>
      <c r="D128" s="161"/>
      <c r="E128" s="16" t="s">
        <v>260</v>
      </c>
      <c r="F128" s="104" t="s">
        <v>150</v>
      </c>
      <c r="G128" s="112">
        <v>45839</v>
      </c>
      <c r="H128" s="30"/>
      <c r="I128" s="30"/>
      <c r="J128" s="41">
        <f t="shared" si="83"/>
        <v>110</v>
      </c>
      <c r="K128" s="86" t="s">
        <v>284</v>
      </c>
      <c r="L128" s="30" t="s">
        <v>278</v>
      </c>
      <c r="M128" s="33">
        <v>26750</v>
      </c>
      <c r="N128" s="20">
        <f t="shared" si="95"/>
        <v>13375</v>
      </c>
      <c r="O128" s="20">
        <f t="shared" si="96"/>
        <v>6688</v>
      </c>
      <c r="P128" s="20">
        <f t="shared" si="97"/>
        <v>3344</v>
      </c>
      <c r="Q128" s="20">
        <f t="shared" si="98"/>
        <v>3344</v>
      </c>
      <c r="R128" s="20"/>
      <c r="S128" s="20">
        <f t="shared" si="89"/>
        <v>26751</v>
      </c>
      <c r="T128" s="20"/>
      <c r="U128" s="22">
        <v>24</v>
      </c>
      <c r="V128" s="22">
        <v>3</v>
      </c>
      <c r="W128" s="22">
        <v>0</v>
      </c>
      <c r="X128" s="22">
        <f t="shared" si="101"/>
        <v>27</v>
      </c>
      <c r="Y128" s="20">
        <f t="shared" si="80"/>
        <v>24075</v>
      </c>
      <c r="Z128" s="42"/>
      <c r="AA128" s="20">
        <f t="shared" si="91"/>
        <v>24075</v>
      </c>
      <c r="AB128" s="20">
        <f t="shared" si="81"/>
        <v>10700</v>
      </c>
      <c r="AC128" s="20">
        <v>0</v>
      </c>
      <c r="AD128" s="20">
        <v>0</v>
      </c>
      <c r="AE128" s="20">
        <v>0</v>
      </c>
      <c r="AF128" s="20">
        <v>0</v>
      </c>
      <c r="AG128" s="20">
        <f t="shared" si="92"/>
        <v>200</v>
      </c>
      <c r="AH128" s="24"/>
      <c r="AI128" s="80">
        <v>0</v>
      </c>
      <c r="AJ128" s="24">
        <v>0</v>
      </c>
      <c r="AK128" s="24">
        <v>0</v>
      </c>
      <c r="AL128" s="24">
        <v>0</v>
      </c>
      <c r="AM128" s="25">
        <f t="shared" si="102"/>
        <v>0</v>
      </c>
      <c r="AN128" s="26">
        <f t="shared" si="93"/>
        <v>23875</v>
      </c>
      <c r="AO128" s="56"/>
      <c r="AP128" s="56"/>
      <c r="AQ128" s="51" t="s">
        <v>365</v>
      </c>
      <c r="AR128" s="56"/>
      <c r="AS128" s="56"/>
      <c r="AT128" s="57"/>
      <c r="AU128" s="58"/>
      <c r="AV128" s="53"/>
      <c r="AW128" s="54"/>
      <c r="AX128" s="51"/>
      <c r="AY128" s="51"/>
      <c r="AZ128" s="51"/>
      <c r="BA128" s="51"/>
      <c r="BC128" s="152">
        <f t="shared" ref="BC128:BC160" si="104">AC128+AE128+AG128+AN128</f>
        <v>24075</v>
      </c>
    </row>
    <row r="129" spans="2:55" s="50" customFormat="1" ht="15.75" customHeight="1" x14ac:dyDescent="0.3">
      <c r="B129" s="200">
        <v>0</v>
      </c>
      <c r="C129" s="104">
        <v>25000</v>
      </c>
      <c r="D129" s="161"/>
      <c r="E129" s="30" t="s">
        <v>421</v>
      </c>
      <c r="F129" s="104"/>
      <c r="G129" s="112">
        <v>45839</v>
      </c>
      <c r="H129" s="30"/>
      <c r="I129" s="30"/>
      <c r="J129" s="41">
        <f t="shared" si="83"/>
        <v>111</v>
      </c>
      <c r="K129" s="86" t="s">
        <v>284</v>
      </c>
      <c r="L129" s="30" t="s">
        <v>370</v>
      </c>
      <c r="M129" s="33">
        <v>25000</v>
      </c>
      <c r="N129" s="20">
        <f t="shared" si="95"/>
        <v>12500</v>
      </c>
      <c r="O129" s="20">
        <f t="shared" si="96"/>
        <v>6250</v>
      </c>
      <c r="P129" s="20">
        <f t="shared" si="97"/>
        <v>3125</v>
      </c>
      <c r="Q129" s="20">
        <f t="shared" si="98"/>
        <v>3125</v>
      </c>
      <c r="R129" s="20"/>
      <c r="S129" s="20">
        <f t="shared" si="89"/>
        <v>25000</v>
      </c>
      <c r="T129" s="20"/>
      <c r="U129" s="22">
        <v>16</v>
      </c>
      <c r="V129" s="22">
        <v>2</v>
      </c>
      <c r="W129" s="22">
        <v>0</v>
      </c>
      <c r="X129" s="22">
        <f t="shared" si="101"/>
        <v>18</v>
      </c>
      <c r="Y129" s="20">
        <f t="shared" si="80"/>
        <v>15000</v>
      </c>
      <c r="Z129" s="42"/>
      <c r="AA129" s="20">
        <f t="shared" si="91"/>
        <v>15000</v>
      </c>
      <c r="AB129" s="20">
        <f t="shared" si="81"/>
        <v>6666.666666666667</v>
      </c>
      <c r="AC129" s="20">
        <v>0</v>
      </c>
      <c r="AD129" s="20">
        <v>0</v>
      </c>
      <c r="AE129" s="20">
        <v>0</v>
      </c>
      <c r="AF129" s="20">
        <v>0</v>
      </c>
      <c r="AG129" s="20">
        <f t="shared" si="92"/>
        <v>200</v>
      </c>
      <c r="AH129" s="24"/>
      <c r="AI129" s="80">
        <v>0</v>
      </c>
      <c r="AJ129" s="24">
        <v>0</v>
      </c>
      <c r="AK129" s="24">
        <v>0</v>
      </c>
      <c r="AL129" s="24">
        <v>0</v>
      </c>
      <c r="AM129" s="25">
        <f t="shared" si="102"/>
        <v>0</v>
      </c>
      <c r="AN129" s="26">
        <f t="shared" si="93"/>
        <v>14800</v>
      </c>
      <c r="AO129" s="56"/>
      <c r="AP129" s="56"/>
      <c r="AQ129" s="51" t="s">
        <v>371</v>
      </c>
      <c r="AR129" s="56"/>
      <c r="AS129" s="56"/>
      <c r="AT129" s="57"/>
      <c r="AU129" s="58"/>
      <c r="AV129" s="53"/>
      <c r="AW129" s="54"/>
      <c r="AX129" s="51"/>
      <c r="AY129" s="51"/>
      <c r="AZ129" s="51"/>
      <c r="BA129" s="51"/>
      <c r="BC129" s="152">
        <f t="shared" si="104"/>
        <v>15000</v>
      </c>
    </row>
    <row r="130" spans="2:55" s="50" customFormat="1" ht="15.75" customHeight="1" x14ac:dyDescent="0.3">
      <c r="B130" s="200">
        <v>40000</v>
      </c>
      <c r="C130" s="104">
        <v>35000</v>
      </c>
      <c r="D130" s="161"/>
      <c r="E130" s="30" t="s">
        <v>236</v>
      </c>
      <c r="F130" s="104"/>
      <c r="G130" s="112">
        <v>45839</v>
      </c>
      <c r="H130" s="30"/>
      <c r="I130" s="30"/>
      <c r="J130" s="41">
        <f t="shared" si="83"/>
        <v>112</v>
      </c>
      <c r="K130" s="86" t="s">
        <v>284</v>
      </c>
      <c r="L130" s="30" t="s">
        <v>280</v>
      </c>
      <c r="M130" s="33">
        <v>40000</v>
      </c>
      <c r="N130" s="20">
        <f t="shared" si="95"/>
        <v>20000</v>
      </c>
      <c r="O130" s="20">
        <f t="shared" si="96"/>
        <v>10000</v>
      </c>
      <c r="P130" s="20">
        <f t="shared" si="97"/>
        <v>5000</v>
      </c>
      <c r="Q130" s="20">
        <f t="shared" si="98"/>
        <v>5000</v>
      </c>
      <c r="R130" s="20"/>
      <c r="S130" s="20">
        <f t="shared" si="89"/>
        <v>40000</v>
      </c>
      <c r="T130" s="20"/>
      <c r="U130" s="22">
        <v>26</v>
      </c>
      <c r="V130" s="22">
        <v>4</v>
      </c>
      <c r="W130" s="22">
        <v>0</v>
      </c>
      <c r="X130" s="22">
        <f t="shared" si="101"/>
        <v>30</v>
      </c>
      <c r="Y130" s="20">
        <f t="shared" si="80"/>
        <v>40000</v>
      </c>
      <c r="Z130" s="42"/>
      <c r="AA130" s="20">
        <f t="shared" si="91"/>
        <v>40000</v>
      </c>
      <c r="AB130" s="20">
        <f t="shared" si="81"/>
        <v>17333.333333333332</v>
      </c>
      <c r="AC130" s="20">
        <v>0</v>
      </c>
      <c r="AD130" s="20">
        <v>0</v>
      </c>
      <c r="AE130" s="20">
        <v>0</v>
      </c>
      <c r="AF130" s="20">
        <v>0</v>
      </c>
      <c r="AG130" s="20">
        <f t="shared" si="92"/>
        <v>200</v>
      </c>
      <c r="AH130" s="24"/>
      <c r="AI130" s="80">
        <v>0</v>
      </c>
      <c r="AJ130" s="24">
        <v>0</v>
      </c>
      <c r="AK130" s="24">
        <v>0</v>
      </c>
      <c r="AL130" s="24">
        <v>0</v>
      </c>
      <c r="AM130" s="25">
        <f t="shared" si="102"/>
        <v>0</v>
      </c>
      <c r="AN130" s="26">
        <f t="shared" si="93"/>
        <v>39800</v>
      </c>
      <c r="AO130" s="56"/>
      <c r="AP130" s="56"/>
      <c r="AQ130" s="51" t="s">
        <v>369</v>
      </c>
      <c r="AR130" s="56"/>
      <c r="AS130" s="56"/>
      <c r="AT130" s="57"/>
      <c r="AU130" s="58"/>
      <c r="AV130" s="53"/>
      <c r="AW130" s="54"/>
      <c r="AX130" s="51"/>
      <c r="AY130" s="51"/>
      <c r="AZ130" s="51"/>
      <c r="BA130" s="51"/>
      <c r="BC130" s="152">
        <f t="shared" si="104"/>
        <v>40000</v>
      </c>
    </row>
    <row r="131" spans="2:55" s="50" customFormat="1" ht="15.75" customHeight="1" x14ac:dyDescent="0.3">
      <c r="B131" s="200">
        <v>28350</v>
      </c>
      <c r="C131" s="104">
        <v>27000</v>
      </c>
      <c r="D131" s="161"/>
      <c r="E131" s="30" t="s">
        <v>236</v>
      </c>
      <c r="F131" s="104"/>
      <c r="G131" s="112">
        <v>45839</v>
      </c>
      <c r="H131" s="30"/>
      <c r="I131" s="30"/>
      <c r="J131" s="41">
        <f t="shared" si="83"/>
        <v>113</v>
      </c>
      <c r="K131" s="86" t="s">
        <v>284</v>
      </c>
      <c r="L131" s="30" t="s">
        <v>281</v>
      </c>
      <c r="M131" s="33">
        <v>28350</v>
      </c>
      <c r="N131" s="20">
        <f t="shared" si="95"/>
        <v>14175</v>
      </c>
      <c r="O131" s="20">
        <f t="shared" si="96"/>
        <v>7088</v>
      </c>
      <c r="P131" s="20">
        <f t="shared" si="97"/>
        <v>3544</v>
      </c>
      <c r="Q131" s="20">
        <f t="shared" si="98"/>
        <v>3544</v>
      </c>
      <c r="R131" s="20"/>
      <c r="S131" s="20">
        <f t="shared" si="89"/>
        <v>28351</v>
      </c>
      <c r="T131" s="20"/>
      <c r="U131" s="22">
        <v>26</v>
      </c>
      <c r="V131" s="22">
        <v>4</v>
      </c>
      <c r="W131" s="22">
        <v>0</v>
      </c>
      <c r="X131" s="22">
        <f t="shared" si="101"/>
        <v>30</v>
      </c>
      <c r="Y131" s="20">
        <f t="shared" si="80"/>
        <v>28350</v>
      </c>
      <c r="Z131" s="42"/>
      <c r="AA131" s="20">
        <f t="shared" si="91"/>
        <v>28350</v>
      </c>
      <c r="AB131" s="20">
        <f t="shared" si="81"/>
        <v>12285</v>
      </c>
      <c r="AC131" s="20">
        <v>0</v>
      </c>
      <c r="AD131" s="20">
        <v>0</v>
      </c>
      <c r="AE131" s="20">
        <v>0</v>
      </c>
      <c r="AF131" s="20">
        <v>0</v>
      </c>
      <c r="AG131" s="20">
        <f t="shared" si="92"/>
        <v>200</v>
      </c>
      <c r="AH131" s="24"/>
      <c r="AI131" s="80">
        <v>0</v>
      </c>
      <c r="AJ131" s="24">
        <v>0</v>
      </c>
      <c r="AK131" s="24">
        <v>0</v>
      </c>
      <c r="AL131" s="24">
        <v>0</v>
      </c>
      <c r="AM131" s="25">
        <f t="shared" si="102"/>
        <v>0</v>
      </c>
      <c r="AN131" s="26">
        <f t="shared" si="93"/>
        <v>28150</v>
      </c>
      <c r="AO131" s="56"/>
      <c r="AP131" s="56"/>
      <c r="AQ131" s="51" t="s">
        <v>372</v>
      </c>
      <c r="AR131" s="56"/>
      <c r="AS131" s="56"/>
      <c r="AT131" s="57"/>
      <c r="AU131" s="58"/>
      <c r="AV131" s="53"/>
      <c r="AW131" s="54"/>
      <c r="AX131" s="51"/>
      <c r="AY131" s="51"/>
      <c r="AZ131" s="51"/>
      <c r="BA131" s="51"/>
      <c r="BC131" s="152">
        <f t="shared" si="104"/>
        <v>28350</v>
      </c>
    </row>
    <row r="132" spans="2:55" s="50" customFormat="1" ht="15.75" customHeight="1" x14ac:dyDescent="0.3">
      <c r="B132" s="162">
        <v>28600</v>
      </c>
      <c r="C132" s="104">
        <v>26000</v>
      </c>
      <c r="D132" s="161"/>
      <c r="E132" s="30" t="s">
        <v>232</v>
      </c>
      <c r="F132" s="104"/>
      <c r="G132" s="112">
        <v>45839</v>
      </c>
      <c r="H132" s="30"/>
      <c r="I132" s="30"/>
      <c r="J132" s="41">
        <f t="shared" si="83"/>
        <v>114</v>
      </c>
      <c r="K132" s="86" t="s">
        <v>284</v>
      </c>
      <c r="L132" s="30" t="s">
        <v>272</v>
      </c>
      <c r="M132" s="33">
        <v>30000</v>
      </c>
      <c r="N132" s="20">
        <f t="shared" ref="N132:N135" si="105">ROUND(IF((M132*50%)&lt;10000,10000,(M132*50/100)),)</f>
        <v>15000</v>
      </c>
      <c r="O132" s="20">
        <f t="shared" ref="O132:O135" si="106">ROUND((M132-N132)/2,)</f>
        <v>7500</v>
      </c>
      <c r="P132" s="20">
        <f t="shared" ref="P132:P135" si="107">ROUND(O132*50%,)</f>
        <v>3750</v>
      </c>
      <c r="Q132" s="20">
        <f t="shared" si="98"/>
        <v>3750</v>
      </c>
      <c r="R132" s="20"/>
      <c r="S132" s="20">
        <f t="shared" ref="S132:S138" si="108">N132+O132+P132+Q132+R132</f>
        <v>30000</v>
      </c>
      <c r="T132" s="20"/>
      <c r="U132" s="22">
        <v>22</v>
      </c>
      <c r="V132" s="22">
        <v>3</v>
      </c>
      <c r="W132" s="22">
        <v>0</v>
      </c>
      <c r="X132" s="22">
        <f t="shared" si="101"/>
        <v>25</v>
      </c>
      <c r="Y132" s="20">
        <f t="shared" si="80"/>
        <v>25000</v>
      </c>
      <c r="Z132" s="42"/>
      <c r="AA132" s="20">
        <f t="shared" si="91"/>
        <v>25000</v>
      </c>
      <c r="AB132" s="20">
        <f t="shared" si="81"/>
        <v>11000</v>
      </c>
      <c r="AC132" s="20">
        <v>0</v>
      </c>
      <c r="AD132" s="20">
        <v>0</v>
      </c>
      <c r="AE132" s="20">
        <v>0</v>
      </c>
      <c r="AF132" s="20">
        <v>0</v>
      </c>
      <c r="AG132" s="20">
        <f t="shared" si="92"/>
        <v>200</v>
      </c>
      <c r="AH132" s="24"/>
      <c r="AI132" s="80">
        <v>0</v>
      </c>
      <c r="AJ132" s="24">
        <v>0</v>
      </c>
      <c r="AK132" s="24">
        <v>0</v>
      </c>
      <c r="AL132" s="24">
        <v>0</v>
      </c>
      <c r="AM132" s="25">
        <f t="shared" si="102"/>
        <v>0</v>
      </c>
      <c r="AN132" s="26">
        <f t="shared" si="93"/>
        <v>24800</v>
      </c>
      <c r="AO132" s="56"/>
      <c r="AP132" s="56"/>
      <c r="AQ132" s="51"/>
      <c r="AR132" s="56"/>
      <c r="AS132" s="56"/>
      <c r="AT132" s="57"/>
      <c r="AU132" s="58"/>
      <c r="AV132" s="53"/>
      <c r="AW132" s="54"/>
      <c r="AX132" s="51"/>
      <c r="AY132" s="51"/>
      <c r="AZ132" s="51"/>
      <c r="BA132" s="51"/>
      <c r="BC132" s="152">
        <f t="shared" si="104"/>
        <v>25000</v>
      </c>
    </row>
    <row r="133" spans="2:55" s="50" customFormat="1" ht="15.75" customHeight="1" x14ac:dyDescent="0.3">
      <c r="B133" s="200">
        <v>22470</v>
      </c>
      <c r="C133" s="104">
        <v>21000</v>
      </c>
      <c r="D133" s="161"/>
      <c r="E133" s="30" t="s">
        <v>232</v>
      </c>
      <c r="F133" s="104"/>
      <c r="G133" s="112">
        <v>45839</v>
      </c>
      <c r="H133" s="30"/>
      <c r="I133" s="30"/>
      <c r="J133" s="41">
        <f t="shared" si="83"/>
        <v>115</v>
      </c>
      <c r="K133" s="86" t="s">
        <v>284</v>
      </c>
      <c r="L133" s="30" t="s">
        <v>273</v>
      </c>
      <c r="M133" s="33">
        <v>21000</v>
      </c>
      <c r="N133" s="20">
        <f t="shared" si="105"/>
        <v>10500</v>
      </c>
      <c r="O133" s="20">
        <f t="shared" si="106"/>
        <v>5250</v>
      </c>
      <c r="P133" s="20">
        <f t="shared" si="107"/>
        <v>2625</v>
      </c>
      <c r="Q133" s="20">
        <f t="shared" ref="Q133:Q135" si="109">ROUND(O133*50/100,)</f>
        <v>2625</v>
      </c>
      <c r="R133" s="20"/>
      <c r="S133" s="20">
        <f t="shared" si="108"/>
        <v>21000</v>
      </c>
      <c r="T133" s="20"/>
      <c r="U133" s="22">
        <v>24</v>
      </c>
      <c r="V133" s="22">
        <v>3</v>
      </c>
      <c r="W133" s="22">
        <v>0</v>
      </c>
      <c r="X133" s="22">
        <f t="shared" si="101"/>
        <v>27</v>
      </c>
      <c r="Y133" s="20">
        <f t="shared" si="80"/>
        <v>18900</v>
      </c>
      <c r="Z133" s="42"/>
      <c r="AA133" s="20">
        <f t="shared" si="91"/>
        <v>18900</v>
      </c>
      <c r="AB133" s="20">
        <f t="shared" si="81"/>
        <v>8400</v>
      </c>
      <c r="AC133" s="20">
        <v>0</v>
      </c>
      <c r="AD133" s="20">
        <v>0</v>
      </c>
      <c r="AE133" s="20">
        <v>0</v>
      </c>
      <c r="AF133" s="20">
        <v>0</v>
      </c>
      <c r="AG133" s="20">
        <f t="shared" si="92"/>
        <v>200</v>
      </c>
      <c r="AH133" s="24"/>
      <c r="AI133" s="80">
        <v>0</v>
      </c>
      <c r="AJ133" s="24">
        <v>0</v>
      </c>
      <c r="AK133" s="24">
        <v>0</v>
      </c>
      <c r="AL133" s="24">
        <v>0</v>
      </c>
      <c r="AM133" s="25">
        <f t="shared" si="102"/>
        <v>0</v>
      </c>
      <c r="AN133" s="26">
        <f t="shared" si="93"/>
        <v>18700</v>
      </c>
      <c r="AO133" s="56"/>
      <c r="AP133" s="56"/>
      <c r="AQ133" s="51" t="s">
        <v>387</v>
      </c>
      <c r="AR133" s="56"/>
      <c r="AS133" s="56"/>
      <c r="AT133" s="57"/>
      <c r="AU133" s="58"/>
      <c r="AV133" s="53"/>
      <c r="AW133" s="54"/>
      <c r="AX133" s="51"/>
      <c r="AY133" s="51"/>
      <c r="AZ133" s="51"/>
      <c r="BA133" s="51"/>
      <c r="BC133" s="152">
        <f t="shared" si="104"/>
        <v>18900</v>
      </c>
    </row>
    <row r="134" spans="2:55" s="50" customFormat="1" ht="15.75" customHeight="1" x14ac:dyDescent="0.3">
      <c r="B134" s="200">
        <v>32000</v>
      </c>
      <c r="C134" s="104">
        <v>27000</v>
      </c>
      <c r="D134" s="161"/>
      <c r="E134" s="30" t="s">
        <v>422</v>
      </c>
      <c r="F134" s="104"/>
      <c r="G134" s="112">
        <v>45839</v>
      </c>
      <c r="H134" s="30"/>
      <c r="I134" s="30"/>
      <c r="J134" s="41">
        <f t="shared" si="83"/>
        <v>116</v>
      </c>
      <c r="K134" s="86" t="s">
        <v>284</v>
      </c>
      <c r="L134" s="30" t="s">
        <v>282</v>
      </c>
      <c r="M134" s="33">
        <v>32000</v>
      </c>
      <c r="N134" s="20">
        <f t="shared" si="105"/>
        <v>16000</v>
      </c>
      <c r="O134" s="20">
        <f t="shared" si="106"/>
        <v>8000</v>
      </c>
      <c r="P134" s="20">
        <f t="shared" si="107"/>
        <v>4000</v>
      </c>
      <c r="Q134" s="20">
        <f t="shared" si="109"/>
        <v>4000</v>
      </c>
      <c r="R134" s="20"/>
      <c r="S134" s="20">
        <f t="shared" si="108"/>
        <v>32000</v>
      </c>
      <c r="T134" s="20"/>
      <c r="U134" s="22">
        <v>26</v>
      </c>
      <c r="V134" s="22">
        <v>4</v>
      </c>
      <c r="W134" s="22">
        <v>0</v>
      </c>
      <c r="X134" s="22">
        <f t="shared" si="101"/>
        <v>30</v>
      </c>
      <c r="Y134" s="20">
        <f t="shared" si="80"/>
        <v>32000.000000000004</v>
      </c>
      <c r="Z134" s="42"/>
      <c r="AA134" s="20">
        <f t="shared" si="91"/>
        <v>32000.000000000004</v>
      </c>
      <c r="AB134" s="20">
        <f t="shared" si="81"/>
        <v>13866.666666666668</v>
      </c>
      <c r="AC134" s="20">
        <v>0</v>
      </c>
      <c r="AD134" s="20">
        <v>0</v>
      </c>
      <c r="AE134" s="20">
        <v>0</v>
      </c>
      <c r="AF134" s="20">
        <v>0</v>
      </c>
      <c r="AG134" s="20">
        <f t="shared" si="92"/>
        <v>200</v>
      </c>
      <c r="AH134" s="24"/>
      <c r="AI134" s="80">
        <v>0</v>
      </c>
      <c r="AJ134" s="24">
        <v>0</v>
      </c>
      <c r="AK134" s="24">
        <v>0</v>
      </c>
      <c r="AL134" s="24">
        <v>0</v>
      </c>
      <c r="AM134" s="25">
        <f t="shared" si="102"/>
        <v>0</v>
      </c>
      <c r="AN134" s="26">
        <f t="shared" si="93"/>
        <v>31800.000000000004</v>
      </c>
      <c r="AO134" s="56"/>
      <c r="AP134" s="56"/>
      <c r="AQ134" s="51" t="s">
        <v>368</v>
      </c>
      <c r="AR134" s="56"/>
      <c r="AS134" s="56"/>
      <c r="AT134" s="57"/>
      <c r="AU134" s="58"/>
      <c r="AV134" s="53"/>
      <c r="AW134" s="54"/>
      <c r="AX134" s="51"/>
      <c r="AY134" s="51"/>
      <c r="AZ134" s="51"/>
      <c r="BA134" s="51"/>
      <c r="BC134" s="152">
        <f t="shared" si="104"/>
        <v>32000.000000000004</v>
      </c>
    </row>
    <row r="135" spans="2:55" s="50" customFormat="1" ht="15.75" customHeight="1" x14ac:dyDescent="0.25">
      <c r="B135" s="200">
        <v>37000</v>
      </c>
      <c r="C135" s="104">
        <v>0</v>
      </c>
      <c r="D135" s="15">
        <v>35000</v>
      </c>
      <c r="E135" s="16" t="s">
        <v>247</v>
      </c>
      <c r="F135" s="104"/>
      <c r="G135" s="112">
        <v>45870</v>
      </c>
      <c r="H135" s="30"/>
      <c r="I135" s="30"/>
      <c r="J135" s="41">
        <f t="shared" si="83"/>
        <v>117</v>
      </c>
      <c r="K135" s="86" t="s">
        <v>413</v>
      </c>
      <c r="L135" s="16" t="s">
        <v>412</v>
      </c>
      <c r="M135" s="33">
        <v>37000</v>
      </c>
      <c r="N135" s="20">
        <f t="shared" si="105"/>
        <v>18500</v>
      </c>
      <c r="O135" s="20">
        <f t="shared" si="106"/>
        <v>9250</v>
      </c>
      <c r="P135" s="20">
        <f t="shared" si="107"/>
        <v>4625</v>
      </c>
      <c r="Q135" s="20">
        <f t="shared" si="109"/>
        <v>4625</v>
      </c>
      <c r="R135" s="20"/>
      <c r="S135" s="20">
        <f t="shared" si="108"/>
        <v>37000</v>
      </c>
      <c r="T135" s="20"/>
      <c r="U135" s="22">
        <v>26</v>
      </c>
      <c r="V135" s="22">
        <v>4</v>
      </c>
      <c r="W135" s="22">
        <v>0</v>
      </c>
      <c r="X135" s="22">
        <f t="shared" si="101"/>
        <v>30</v>
      </c>
      <c r="Y135" s="20">
        <f t="shared" si="80"/>
        <v>37000</v>
      </c>
      <c r="Z135" s="42"/>
      <c r="AA135" s="20">
        <f t="shared" si="91"/>
        <v>37000</v>
      </c>
      <c r="AB135" s="20">
        <f t="shared" si="81"/>
        <v>16033.333333333332</v>
      </c>
      <c r="AC135" s="20">
        <v>0</v>
      </c>
      <c r="AD135" s="20">
        <v>0</v>
      </c>
      <c r="AE135" s="20">
        <v>0</v>
      </c>
      <c r="AF135" s="20">
        <v>0</v>
      </c>
      <c r="AG135" s="20">
        <f t="shared" si="92"/>
        <v>200</v>
      </c>
      <c r="AH135" s="24"/>
      <c r="AI135" s="80">
        <v>0</v>
      </c>
      <c r="AJ135" s="24">
        <v>0</v>
      </c>
      <c r="AK135" s="24">
        <v>0</v>
      </c>
      <c r="AL135" s="24">
        <v>0</v>
      </c>
      <c r="AM135" s="25">
        <f t="shared" si="102"/>
        <v>0</v>
      </c>
      <c r="AN135" s="26">
        <f t="shared" si="93"/>
        <v>36800</v>
      </c>
      <c r="AO135" s="56"/>
      <c r="AP135" s="56"/>
      <c r="AQ135" s="51"/>
      <c r="AR135" s="56"/>
      <c r="AS135" s="56"/>
      <c r="AT135" s="57"/>
      <c r="AU135" s="58"/>
      <c r="AV135" s="53"/>
      <c r="AW135" s="54"/>
      <c r="AX135" s="51"/>
      <c r="AY135" s="51"/>
      <c r="AZ135" s="51"/>
      <c r="BA135" s="51"/>
      <c r="BC135" s="152">
        <f t="shared" si="104"/>
        <v>37000</v>
      </c>
    </row>
    <row r="136" spans="2:55" s="50" customFormat="1" ht="15.75" customHeight="1" x14ac:dyDescent="0.3">
      <c r="B136" s="200">
        <v>0</v>
      </c>
      <c r="C136" s="104">
        <v>35000</v>
      </c>
      <c r="D136" s="161"/>
      <c r="E136" s="16" t="s">
        <v>114</v>
      </c>
      <c r="F136" s="104" t="s">
        <v>420</v>
      </c>
      <c r="G136" s="112">
        <v>45901</v>
      </c>
      <c r="H136" s="30"/>
      <c r="I136" s="30"/>
      <c r="J136" s="41">
        <f t="shared" si="83"/>
        <v>118</v>
      </c>
      <c r="K136" s="86" t="s">
        <v>416</v>
      </c>
      <c r="L136" s="30" t="s">
        <v>414</v>
      </c>
      <c r="M136" s="33">
        <v>35000</v>
      </c>
      <c r="N136" s="20">
        <f t="shared" ref="N136:N138" si="110">ROUND(IF((M136*50%)&lt;10000,10000,(M136*50/100)),)</f>
        <v>17500</v>
      </c>
      <c r="O136" s="20">
        <f t="shared" ref="O136:O138" si="111">ROUND((M136-N136)/2,)</f>
        <v>8750</v>
      </c>
      <c r="P136" s="20">
        <f t="shared" ref="P136:P138" si="112">ROUND(O136*50%,)</f>
        <v>4375</v>
      </c>
      <c r="Q136" s="20">
        <f t="shared" ref="Q136:Q138" si="113">ROUND(O136*50/100,)</f>
        <v>4375</v>
      </c>
      <c r="R136" s="20"/>
      <c r="S136" s="20">
        <f t="shared" si="108"/>
        <v>35000</v>
      </c>
      <c r="T136" s="20"/>
      <c r="U136" s="22">
        <v>25</v>
      </c>
      <c r="V136" s="22">
        <v>4</v>
      </c>
      <c r="W136" s="22">
        <v>0</v>
      </c>
      <c r="X136" s="22">
        <f t="shared" si="101"/>
        <v>29</v>
      </c>
      <c r="Y136" s="20">
        <f t="shared" si="80"/>
        <v>33833.333333333336</v>
      </c>
      <c r="Z136" s="42"/>
      <c r="AA136" s="20">
        <f t="shared" si="91"/>
        <v>33833.333333333336</v>
      </c>
      <c r="AB136" s="20">
        <f t="shared" si="81"/>
        <v>14583.333333333334</v>
      </c>
      <c r="AC136" s="20">
        <v>0</v>
      </c>
      <c r="AD136" s="20">
        <v>0</v>
      </c>
      <c r="AE136" s="20">
        <v>0</v>
      </c>
      <c r="AF136" s="20">
        <v>0</v>
      </c>
      <c r="AG136" s="20">
        <f t="shared" si="92"/>
        <v>200</v>
      </c>
      <c r="AH136" s="24"/>
      <c r="AI136" s="80">
        <v>0</v>
      </c>
      <c r="AJ136" s="24">
        <v>0</v>
      </c>
      <c r="AK136" s="24">
        <v>0</v>
      </c>
      <c r="AL136" s="24">
        <v>0</v>
      </c>
      <c r="AM136" s="25">
        <f t="shared" si="102"/>
        <v>0</v>
      </c>
      <c r="AN136" s="26">
        <f t="shared" si="93"/>
        <v>33633.333333333336</v>
      </c>
      <c r="AO136" s="56"/>
      <c r="AP136" s="56"/>
      <c r="AQ136" s="51"/>
      <c r="AR136" s="56"/>
      <c r="AS136" s="56"/>
      <c r="AT136" s="57"/>
      <c r="AU136" s="58"/>
      <c r="AV136" s="53"/>
      <c r="AW136" s="54"/>
      <c r="AX136" s="51"/>
      <c r="AY136" s="51"/>
      <c r="AZ136" s="51"/>
      <c r="BA136" s="51"/>
      <c r="BC136" s="152">
        <f t="shared" si="104"/>
        <v>33833.333333333336</v>
      </c>
    </row>
    <row r="137" spans="2:55" s="50" customFormat="1" ht="15" customHeight="1" x14ac:dyDescent="0.3">
      <c r="B137" s="220">
        <v>75000</v>
      </c>
      <c r="C137" s="104">
        <v>67000</v>
      </c>
      <c r="D137" s="161"/>
      <c r="E137" s="16" t="s">
        <v>265</v>
      </c>
      <c r="F137" s="104"/>
      <c r="G137" s="112">
        <v>45931</v>
      </c>
      <c r="H137" s="30"/>
      <c r="I137" s="30"/>
      <c r="J137" s="41">
        <f t="shared" si="83"/>
        <v>119</v>
      </c>
      <c r="K137" s="86" t="s">
        <v>417</v>
      </c>
      <c r="L137" s="30" t="s">
        <v>418</v>
      </c>
      <c r="M137" s="33">
        <v>75000</v>
      </c>
      <c r="N137" s="20">
        <f t="shared" si="110"/>
        <v>37500</v>
      </c>
      <c r="O137" s="20">
        <f t="shared" si="111"/>
        <v>18750</v>
      </c>
      <c r="P137" s="20">
        <f t="shared" si="112"/>
        <v>9375</v>
      </c>
      <c r="Q137" s="20">
        <f t="shared" si="113"/>
        <v>9375</v>
      </c>
      <c r="R137" s="20"/>
      <c r="S137" s="20">
        <f t="shared" si="108"/>
        <v>75000</v>
      </c>
      <c r="T137" s="20"/>
      <c r="U137" s="22">
        <v>26</v>
      </c>
      <c r="V137" s="22">
        <v>4</v>
      </c>
      <c r="W137" s="22">
        <v>0</v>
      </c>
      <c r="X137" s="22">
        <f t="shared" si="101"/>
        <v>30</v>
      </c>
      <c r="Y137" s="20">
        <f t="shared" si="80"/>
        <v>75000</v>
      </c>
      <c r="Z137" s="42"/>
      <c r="AA137" s="20">
        <f t="shared" si="91"/>
        <v>75000</v>
      </c>
      <c r="AB137" s="20">
        <f t="shared" si="81"/>
        <v>32500</v>
      </c>
      <c r="AC137" s="20">
        <v>0</v>
      </c>
      <c r="AD137" s="20">
        <v>0</v>
      </c>
      <c r="AE137" s="20">
        <v>0</v>
      </c>
      <c r="AF137" s="20">
        <v>0</v>
      </c>
      <c r="AG137" s="20">
        <f t="shared" si="92"/>
        <v>200</v>
      </c>
      <c r="AH137" s="24"/>
      <c r="AI137" s="80">
        <v>0</v>
      </c>
      <c r="AJ137" s="24">
        <v>0</v>
      </c>
      <c r="AK137" s="24">
        <v>0</v>
      </c>
      <c r="AL137" s="24">
        <v>0</v>
      </c>
      <c r="AM137" s="25">
        <f t="shared" si="102"/>
        <v>0</v>
      </c>
      <c r="AN137" s="26">
        <f t="shared" si="93"/>
        <v>74800</v>
      </c>
      <c r="AO137" s="56"/>
      <c r="AP137" s="56"/>
      <c r="AQ137" s="51"/>
      <c r="AR137" s="56"/>
      <c r="AS137" s="56"/>
      <c r="AT137" s="57"/>
      <c r="AU137" s="58"/>
      <c r="AV137" s="53"/>
      <c r="AW137" s="54"/>
      <c r="AX137" s="51"/>
      <c r="AY137" s="51"/>
      <c r="AZ137" s="51"/>
      <c r="BA137" s="51"/>
      <c r="BC137" s="152">
        <f t="shared" si="104"/>
        <v>75000</v>
      </c>
    </row>
    <row r="138" spans="2:55" s="50" customFormat="1" ht="15" customHeight="1" x14ac:dyDescent="0.3">
      <c r="B138" s="200">
        <v>0</v>
      </c>
      <c r="C138" s="104">
        <v>30000</v>
      </c>
      <c r="D138" s="161"/>
      <c r="E138" s="16" t="s">
        <v>114</v>
      </c>
      <c r="F138" s="104" t="s">
        <v>148</v>
      </c>
      <c r="G138" s="112">
        <v>45962</v>
      </c>
      <c r="H138" s="30"/>
      <c r="I138" s="30"/>
      <c r="J138" s="41">
        <f t="shared" si="83"/>
        <v>120</v>
      </c>
      <c r="K138" s="86" t="s">
        <v>424</v>
      </c>
      <c r="L138" s="30" t="s">
        <v>419</v>
      </c>
      <c r="M138" s="33">
        <v>30000</v>
      </c>
      <c r="N138" s="20">
        <f t="shared" si="110"/>
        <v>15000</v>
      </c>
      <c r="O138" s="20">
        <f t="shared" si="111"/>
        <v>7500</v>
      </c>
      <c r="P138" s="20">
        <f t="shared" si="112"/>
        <v>3750</v>
      </c>
      <c r="Q138" s="20">
        <f t="shared" si="113"/>
        <v>3750</v>
      </c>
      <c r="R138" s="20"/>
      <c r="S138" s="20">
        <f t="shared" si="108"/>
        <v>30000</v>
      </c>
      <c r="T138" s="20"/>
      <c r="U138" s="22">
        <v>24</v>
      </c>
      <c r="V138" s="22">
        <v>4</v>
      </c>
      <c r="W138" s="22">
        <v>0</v>
      </c>
      <c r="X138" s="22">
        <f t="shared" si="101"/>
        <v>28</v>
      </c>
      <c r="Y138" s="20">
        <f t="shared" si="80"/>
        <v>28000</v>
      </c>
      <c r="Z138" s="42"/>
      <c r="AA138" s="20">
        <f t="shared" si="91"/>
        <v>28000</v>
      </c>
      <c r="AB138" s="20">
        <f t="shared" si="81"/>
        <v>12000</v>
      </c>
      <c r="AC138" s="20">
        <v>0</v>
      </c>
      <c r="AD138" s="20">
        <v>0</v>
      </c>
      <c r="AE138" s="20">
        <v>0</v>
      </c>
      <c r="AF138" s="20">
        <v>0</v>
      </c>
      <c r="AG138" s="20">
        <f t="shared" si="92"/>
        <v>200</v>
      </c>
      <c r="AH138" s="24"/>
      <c r="AI138" s="80">
        <v>0</v>
      </c>
      <c r="AJ138" s="24">
        <v>0</v>
      </c>
      <c r="AK138" s="24">
        <v>0</v>
      </c>
      <c r="AL138" s="24">
        <v>0</v>
      </c>
      <c r="AM138" s="25">
        <f t="shared" si="102"/>
        <v>0</v>
      </c>
      <c r="AN138" s="26">
        <f t="shared" si="93"/>
        <v>27800</v>
      </c>
      <c r="AO138" s="56"/>
      <c r="AP138" s="56"/>
      <c r="AQ138" s="51"/>
      <c r="AR138" s="56"/>
      <c r="AS138" s="56"/>
      <c r="AT138" s="57"/>
      <c r="AU138" s="58"/>
      <c r="AV138" s="53"/>
      <c r="AW138" s="54"/>
      <c r="AX138" s="51"/>
      <c r="AY138" s="51"/>
      <c r="AZ138" s="51"/>
      <c r="BA138" s="51"/>
      <c r="BC138" s="152">
        <f t="shared" si="104"/>
        <v>28000</v>
      </c>
    </row>
    <row r="139" spans="2:55" s="50" customFormat="1" ht="15" customHeight="1" x14ac:dyDescent="0.3">
      <c r="B139" s="200">
        <v>0</v>
      </c>
      <c r="C139" s="21">
        <v>34000</v>
      </c>
      <c r="D139" s="161"/>
      <c r="E139" s="30" t="s">
        <v>227</v>
      </c>
      <c r="F139" s="104"/>
      <c r="G139" s="112">
        <v>45962</v>
      </c>
      <c r="H139" s="30"/>
      <c r="I139" s="30"/>
      <c r="J139" s="41">
        <f t="shared" si="83"/>
        <v>121</v>
      </c>
      <c r="K139" s="86" t="s">
        <v>424</v>
      </c>
      <c r="L139" s="88" t="s">
        <v>425</v>
      </c>
      <c r="M139" s="33">
        <v>34000</v>
      </c>
      <c r="N139" s="20">
        <f t="shared" ref="N139:N143" si="114">ROUND(IF((M139*50%)&lt;10000,10000,(M139*50/100)),)</f>
        <v>17000</v>
      </c>
      <c r="O139" s="20">
        <f t="shared" ref="O139:O143" si="115">ROUND((M139-N139)/2,)</f>
        <v>8500</v>
      </c>
      <c r="P139" s="20">
        <f t="shared" ref="P139:P143" si="116">ROUND(O139*50%,)</f>
        <v>4250</v>
      </c>
      <c r="Q139" s="20">
        <f t="shared" ref="Q139:Q143" si="117">ROUND(O139*50/100,)</f>
        <v>4250</v>
      </c>
      <c r="R139" s="20"/>
      <c r="S139" s="20">
        <f t="shared" ref="S139:S143" si="118">N139+O139+P139+Q139+R139</f>
        <v>34000</v>
      </c>
      <c r="T139" s="20"/>
      <c r="U139" s="22">
        <v>26</v>
      </c>
      <c r="V139" s="22">
        <v>4</v>
      </c>
      <c r="W139" s="22">
        <v>0</v>
      </c>
      <c r="X139" s="22">
        <f t="shared" ref="X139:X143" si="119">+U139+V139+W139</f>
        <v>30</v>
      </c>
      <c r="Y139" s="20">
        <f t="shared" si="80"/>
        <v>34000</v>
      </c>
      <c r="Z139" s="42">
        <v>0</v>
      </c>
      <c r="AA139" s="20">
        <f t="shared" si="91"/>
        <v>34000</v>
      </c>
      <c r="AB139" s="20">
        <f t="shared" si="81"/>
        <v>14733.333333333332</v>
      </c>
      <c r="AC139" s="20">
        <v>0</v>
      </c>
      <c r="AD139" s="20">
        <v>0</v>
      </c>
      <c r="AE139" s="20">
        <v>0</v>
      </c>
      <c r="AF139" s="20">
        <v>0</v>
      </c>
      <c r="AG139" s="20">
        <f t="shared" ref="AG139" si="120">IF(AA139&gt;=12000,200,IF(AA139&gt;=9000,150,IF(AA139&gt;=6000,80,IF(AA139&gt;=3000,0,0))))</f>
        <v>200</v>
      </c>
      <c r="AH139" s="24"/>
      <c r="AI139" s="80">
        <v>0</v>
      </c>
      <c r="AJ139" s="24">
        <v>0</v>
      </c>
      <c r="AK139" s="24">
        <v>0</v>
      </c>
      <c r="AL139" s="24">
        <v>0</v>
      </c>
      <c r="AM139" s="25">
        <f t="shared" si="102"/>
        <v>0</v>
      </c>
      <c r="AN139" s="26">
        <f t="shared" ref="AN139" si="121">+AA139-(AC139+AE139+AG139+AH139+AI139+AJ139+AK139+AL139)</f>
        <v>33800</v>
      </c>
      <c r="AO139" s="56"/>
      <c r="AP139" s="56"/>
      <c r="AQ139" s="51"/>
      <c r="AR139" s="56"/>
      <c r="AS139" s="56"/>
      <c r="AT139" s="57"/>
      <c r="AU139" s="58"/>
      <c r="AV139" s="53"/>
      <c r="AW139" s="54"/>
      <c r="AX139" s="51"/>
      <c r="AY139" s="51"/>
      <c r="AZ139" s="51"/>
      <c r="BA139" s="51"/>
      <c r="BC139" s="152">
        <f t="shared" si="104"/>
        <v>34000</v>
      </c>
    </row>
    <row r="140" spans="2:55" s="50" customFormat="1" ht="15" customHeight="1" x14ac:dyDescent="0.3">
      <c r="B140" s="200">
        <v>0</v>
      </c>
      <c r="C140" s="21">
        <v>30000</v>
      </c>
      <c r="D140" s="161"/>
      <c r="E140" s="30" t="s">
        <v>227</v>
      </c>
      <c r="F140" s="104" t="s">
        <v>150</v>
      </c>
      <c r="G140" s="112">
        <v>45962</v>
      </c>
      <c r="H140" s="30"/>
      <c r="I140" s="30"/>
      <c r="J140" s="41">
        <f t="shared" si="83"/>
        <v>122</v>
      </c>
      <c r="K140" s="86" t="s">
        <v>424</v>
      </c>
      <c r="L140" s="30" t="s">
        <v>423</v>
      </c>
      <c r="M140" s="33">
        <v>30000</v>
      </c>
      <c r="N140" s="20">
        <f t="shared" si="114"/>
        <v>15000</v>
      </c>
      <c r="O140" s="20">
        <f t="shared" si="115"/>
        <v>7500</v>
      </c>
      <c r="P140" s="20">
        <f t="shared" si="116"/>
        <v>3750</v>
      </c>
      <c r="Q140" s="20">
        <f t="shared" si="117"/>
        <v>3750</v>
      </c>
      <c r="R140" s="20"/>
      <c r="S140" s="20">
        <f t="shared" si="118"/>
        <v>30000</v>
      </c>
      <c r="T140" s="20"/>
      <c r="U140" s="22">
        <v>26</v>
      </c>
      <c r="V140" s="22">
        <v>4</v>
      </c>
      <c r="W140" s="22">
        <v>0</v>
      </c>
      <c r="X140" s="22">
        <f t="shared" si="119"/>
        <v>30</v>
      </c>
      <c r="Y140" s="20">
        <f t="shared" si="80"/>
        <v>30000</v>
      </c>
      <c r="Z140" s="42">
        <v>0</v>
      </c>
      <c r="AA140" s="20">
        <f t="shared" si="91"/>
        <v>30000</v>
      </c>
      <c r="AB140" s="20">
        <f t="shared" si="81"/>
        <v>13000</v>
      </c>
      <c r="AC140" s="20">
        <v>0</v>
      </c>
      <c r="AD140" s="20">
        <v>0</v>
      </c>
      <c r="AE140" s="20">
        <v>0</v>
      </c>
      <c r="AF140" s="20">
        <v>0</v>
      </c>
      <c r="AG140" s="20">
        <f t="shared" ref="AG140:AG147" si="122">IF(AA140&gt;=12000,200,IF(AA140&gt;=9000,150,IF(AA140&gt;=6000,80,IF(AA140&gt;=3000,0,0))))</f>
        <v>200</v>
      </c>
      <c r="AH140" s="24"/>
      <c r="AI140" s="80">
        <v>0</v>
      </c>
      <c r="AJ140" s="24">
        <v>0</v>
      </c>
      <c r="AK140" s="24">
        <v>0</v>
      </c>
      <c r="AL140" s="24">
        <v>0</v>
      </c>
      <c r="AM140" s="25">
        <f t="shared" si="102"/>
        <v>0</v>
      </c>
      <c r="AN140" s="26">
        <f>+AA140-(AC140+AE140+AG140+AH140+AI140+AJ140+AK140+AL140)</f>
        <v>29800</v>
      </c>
      <c r="AO140" s="56"/>
      <c r="AP140" s="56"/>
      <c r="AQ140" s="51"/>
      <c r="AR140" s="56"/>
      <c r="AS140" s="56"/>
      <c r="AT140" s="57"/>
      <c r="AU140" s="58"/>
      <c r="AV140" s="53"/>
      <c r="AW140" s="54"/>
      <c r="AX140" s="51"/>
      <c r="AY140" s="51"/>
      <c r="AZ140" s="51"/>
      <c r="BA140" s="51"/>
      <c r="BC140" s="152">
        <f>AC140+AE140+AG140+AN140</f>
        <v>30000</v>
      </c>
    </row>
    <row r="141" spans="2:55" s="50" customFormat="1" ht="15" customHeight="1" x14ac:dyDescent="0.3">
      <c r="B141" s="200">
        <v>0</v>
      </c>
      <c r="C141" s="104">
        <v>35000</v>
      </c>
      <c r="D141" s="161"/>
      <c r="E141" s="30" t="s">
        <v>227</v>
      </c>
      <c r="F141" s="104"/>
      <c r="G141" s="112">
        <v>46054</v>
      </c>
      <c r="H141" s="30"/>
      <c r="I141" s="30"/>
      <c r="J141" s="41">
        <f t="shared" si="83"/>
        <v>123</v>
      </c>
      <c r="K141" s="86" t="s">
        <v>429</v>
      </c>
      <c r="L141" s="30" t="s">
        <v>427</v>
      </c>
      <c r="M141" s="33">
        <v>35000</v>
      </c>
      <c r="N141" s="20">
        <f t="shared" si="114"/>
        <v>17500</v>
      </c>
      <c r="O141" s="20">
        <f t="shared" si="115"/>
        <v>8750</v>
      </c>
      <c r="P141" s="20">
        <f t="shared" si="116"/>
        <v>4375</v>
      </c>
      <c r="Q141" s="20">
        <f t="shared" si="117"/>
        <v>4375</v>
      </c>
      <c r="R141" s="20"/>
      <c r="S141" s="20">
        <f t="shared" si="118"/>
        <v>35000</v>
      </c>
      <c r="T141" s="20"/>
      <c r="U141" s="22">
        <v>26</v>
      </c>
      <c r="V141" s="22">
        <v>4</v>
      </c>
      <c r="W141" s="22">
        <v>0</v>
      </c>
      <c r="X141" s="22">
        <f t="shared" si="119"/>
        <v>30</v>
      </c>
      <c r="Y141" s="20">
        <f t="shared" si="80"/>
        <v>35000</v>
      </c>
      <c r="Z141" s="42">
        <v>0</v>
      </c>
      <c r="AA141" s="20">
        <f t="shared" si="91"/>
        <v>35000</v>
      </c>
      <c r="AB141" s="20">
        <f t="shared" si="81"/>
        <v>15166.666666666668</v>
      </c>
      <c r="AC141" s="20">
        <v>0</v>
      </c>
      <c r="AD141" s="20">
        <v>0</v>
      </c>
      <c r="AE141" s="20">
        <v>0</v>
      </c>
      <c r="AF141" s="20">
        <v>0</v>
      </c>
      <c r="AG141" s="20">
        <f t="shared" si="122"/>
        <v>200</v>
      </c>
      <c r="AH141" s="24"/>
      <c r="AI141" s="80">
        <v>0</v>
      </c>
      <c r="AJ141" s="24">
        <v>0</v>
      </c>
      <c r="AK141" s="24">
        <v>0</v>
      </c>
      <c r="AL141" s="24">
        <v>0</v>
      </c>
      <c r="AM141" s="25">
        <f t="shared" si="102"/>
        <v>0</v>
      </c>
      <c r="AN141" s="26">
        <f t="shared" ref="AN141:AN142" si="123">+AA141-(AC141+AE141+AG141+AH141+AI141+AJ141+AK141+AL141)</f>
        <v>34800</v>
      </c>
      <c r="AO141" s="56"/>
      <c r="AP141" s="56"/>
      <c r="AQ141" s="51"/>
      <c r="AR141" s="56"/>
      <c r="AS141" s="56"/>
      <c r="AT141" s="57"/>
      <c r="AU141" s="58"/>
      <c r="AV141" s="53"/>
      <c r="AW141" s="54"/>
      <c r="AX141" s="51"/>
      <c r="AY141" s="51"/>
      <c r="AZ141" s="51"/>
      <c r="BA141" s="51"/>
      <c r="BC141" s="152">
        <f>AC141+AE141+AG141+AN141</f>
        <v>35000</v>
      </c>
    </row>
    <row r="142" spans="2:55" s="50" customFormat="1" ht="15" customHeight="1" x14ac:dyDescent="0.3">
      <c r="B142" s="200">
        <v>0</v>
      </c>
      <c r="C142" s="104">
        <v>33000</v>
      </c>
      <c r="D142" s="161"/>
      <c r="E142" s="30" t="s">
        <v>227</v>
      </c>
      <c r="F142" s="104"/>
      <c r="G142" s="112">
        <v>46054</v>
      </c>
      <c r="H142" s="30"/>
      <c r="I142" s="30"/>
      <c r="J142" s="41">
        <f t="shared" si="83"/>
        <v>124</v>
      </c>
      <c r="K142" s="86" t="s">
        <v>429</v>
      </c>
      <c r="L142" s="30" t="s">
        <v>428</v>
      </c>
      <c r="M142" s="33">
        <v>33000</v>
      </c>
      <c r="N142" s="20">
        <f t="shared" si="114"/>
        <v>16500</v>
      </c>
      <c r="O142" s="20">
        <f t="shared" si="115"/>
        <v>8250</v>
      </c>
      <c r="P142" s="20">
        <f t="shared" si="116"/>
        <v>4125</v>
      </c>
      <c r="Q142" s="20">
        <f t="shared" si="117"/>
        <v>4125</v>
      </c>
      <c r="R142" s="20"/>
      <c r="S142" s="20">
        <f t="shared" si="118"/>
        <v>33000</v>
      </c>
      <c r="T142" s="20"/>
      <c r="U142" s="22">
        <v>23</v>
      </c>
      <c r="V142" s="22">
        <v>3</v>
      </c>
      <c r="W142" s="22">
        <v>0</v>
      </c>
      <c r="X142" s="22">
        <f t="shared" si="119"/>
        <v>26</v>
      </c>
      <c r="Y142" s="20">
        <f t="shared" si="80"/>
        <v>28600</v>
      </c>
      <c r="Z142" s="42"/>
      <c r="AA142" s="20">
        <f t="shared" si="91"/>
        <v>28600</v>
      </c>
      <c r="AB142" s="20">
        <f t="shared" si="81"/>
        <v>12650</v>
      </c>
      <c r="AC142" s="20">
        <v>0</v>
      </c>
      <c r="AD142" s="20">
        <v>0</v>
      </c>
      <c r="AE142" s="20">
        <v>0</v>
      </c>
      <c r="AF142" s="20">
        <v>0</v>
      </c>
      <c r="AG142" s="20">
        <f t="shared" si="122"/>
        <v>200</v>
      </c>
      <c r="AH142" s="24"/>
      <c r="AI142" s="80">
        <v>0</v>
      </c>
      <c r="AJ142" s="24">
        <v>0</v>
      </c>
      <c r="AK142" s="24">
        <v>0</v>
      </c>
      <c r="AL142" s="24">
        <v>0</v>
      </c>
      <c r="AM142" s="25">
        <f t="shared" si="102"/>
        <v>0</v>
      </c>
      <c r="AN142" s="26">
        <f t="shared" si="123"/>
        <v>28400</v>
      </c>
      <c r="AO142" s="56"/>
      <c r="AP142" s="56"/>
      <c r="AQ142" s="51"/>
      <c r="AR142" s="56"/>
      <c r="AS142" s="56"/>
      <c r="AT142" s="57"/>
      <c r="AU142" s="58"/>
      <c r="AV142" s="53"/>
      <c r="AW142" s="54"/>
      <c r="AX142" s="51"/>
      <c r="AY142" s="51"/>
      <c r="AZ142" s="51"/>
      <c r="BA142" s="51"/>
      <c r="BC142" s="152">
        <f t="shared" ref="BC142" si="124">AC142+AE142+AG142+AN142</f>
        <v>28600</v>
      </c>
    </row>
    <row r="143" spans="2:55" s="50" customFormat="1" ht="15" customHeight="1" x14ac:dyDescent="0.3">
      <c r="B143" s="200">
        <v>0</v>
      </c>
      <c r="C143" s="104">
        <v>70000</v>
      </c>
      <c r="D143" s="161"/>
      <c r="E143" s="16" t="s">
        <v>54</v>
      </c>
      <c r="F143" s="104" t="s">
        <v>145</v>
      </c>
      <c r="G143" s="112">
        <v>46082</v>
      </c>
      <c r="H143" s="30"/>
      <c r="I143" s="30"/>
      <c r="J143" s="41">
        <f t="shared" si="83"/>
        <v>125</v>
      </c>
      <c r="K143" s="86" t="s">
        <v>431</v>
      </c>
      <c r="L143" s="30" t="s">
        <v>430</v>
      </c>
      <c r="M143" s="33">
        <v>70000</v>
      </c>
      <c r="N143" s="20">
        <f t="shared" si="114"/>
        <v>35000</v>
      </c>
      <c r="O143" s="20">
        <f t="shared" si="115"/>
        <v>17500</v>
      </c>
      <c r="P143" s="20">
        <f t="shared" si="116"/>
        <v>8750</v>
      </c>
      <c r="Q143" s="20">
        <f t="shared" si="117"/>
        <v>8750</v>
      </c>
      <c r="R143" s="20"/>
      <c r="S143" s="20">
        <f t="shared" si="118"/>
        <v>70000</v>
      </c>
      <c r="T143" s="20"/>
      <c r="U143" s="22">
        <v>26</v>
      </c>
      <c r="V143" s="22">
        <v>4</v>
      </c>
      <c r="W143" s="22">
        <v>0</v>
      </c>
      <c r="X143" s="22">
        <f t="shared" si="119"/>
        <v>30</v>
      </c>
      <c r="Y143" s="20">
        <f t="shared" si="80"/>
        <v>70000</v>
      </c>
      <c r="Z143" s="42">
        <v>0</v>
      </c>
      <c r="AA143" s="20">
        <f t="shared" ref="AA143" si="125">+Y143+Z143</f>
        <v>70000</v>
      </c>
      <c r="AB143" s="20">
        <f t="shared" si="81"/>
        <v>30333.333333333336</v>
      </c>
      <c r="AC143" s="20">
        <v>0</v>
      </c>
      <c r="AD143" s="20">
        <v>0</v>
      </c>
      <c r="AE143" s="20">
        <v>0</v>
      </c>
      <c r="AF143" s="20">
        <v>0</v>
      </c>
      <c r="AG143" s="20">
        <f t="shared" si="122"/>
        <v>200</v>
      </c>
      <c r="AH143" s="24"/>
      <c r="AI143" s="80">
        <v>0</v>
      </c>
      <c r="AJ143" s="24">
        <v>0</v>
      </c>
      <c r="AK143" s="24">
        <v>0</v>
      </c>
      <c r="AL143" s="24">
        <v>0</v>
      </c>
      <c r="AM143" s="25">
        <f t="shared" ref="AM143" si="126">SUM(AI143:AL143)</f>
        <v>0</v>
      </c>
      <c r="AN143" s="26">
        <f t="shared" ref="AN143" si="127">+AA143-(AC143+AE143+AG143+AH143+AI143+AJ143+AK143+AL143)</f>
        <v>69800</v>
      </c>
      <c r="AO143" s="56"/>
      <c r="AP143" s="56"/>
      <c r="AQ143" s="51"/>
      <c r="AR143" s="56"/>
      <c r="AS143" s="56"/>
      <c r="AT143" s="57"/>
      <c r="AU143" s="58"/>
      <c r="AV143" s="53"/>
      <c r="AW143" s="54"/>
      <c r="AX143" s="51"/>
      <c r="AY143" s="51"/>
      <c r="AZ143" s="51"/>
      <c r="BA143" s="51"/>
      <c r="BC143" s="152">
        <f t="shared" ref="BC143" si="128">AC143+AE143+AG143+AN143</f>
        <v>70000</v>
      </c>
    </row>
    <row r="144" spans="2:55" s="50" customFormat="1" ht="15" customHeight="1" x14ac:dyDescent="0.3">
      <c r="B144" s="162"/>
      <c r="C144" s="104"/>
      <c r="D144" s="161"/>
      <c r="E144" s="16"/>
      <c r="F144" s="104"/>
      <c r="G144" s="112">
        <v>46113</v>
      </c>
      <c r="H144" s="30"/>
      <c r="I144" s="30"/>
      <c r="J144" s="41">
        <f t="shared" si="83"/>
        <v>126</v>
      </c>
      <c r="K144" s="86" t="s">
        <v>447</v>
      </c>
      <c r="L144" s="30" t="s">
        <v>435</v>
      </c>
      <c r="M144" s="33">
        <v>50200</v>
      </c>
      <c r="N144" s="20">
        <f>ROUND(IF((M144*50%)&lt;10000,10000,(M144*50/100)),)</f>
        <v>25100</v>
      </c>
      <c r="O144" s="20">
        <f>ROUND((M144-N144)/2,)</f>
        <v>12550</v>
      </c>
      <c r="P144" s="20">
        <f>ROUND(O144*50%,)</f>
        <v>6275</v>
      </c>
      <c r="Q144" s="20">
        <f>ROUND(O144*50/100,)</f>
        <v>6275</v>
      </c>
      <c r="R144" s="20"/>
      <c r="S144" s="20">
        <f>N144+O144+P144+Q144+R144</f>
        <v>50200</v>
      </c>
      <c r="T144" s="20"/>
      <c r="U144" s="22">
        <v>26</v>
      </c>
      <c r="V144" s="22">
        <v>4</v>
      </c>
      <c r="W144" s="22">
        <v>0</v>
      </c>
      <c r="X144" s="22">
        <f>+U144+V144+W144</f>
        <v>30</v>
      </c>
      <c r="Y144" s="20">
        <f>+M144/30*X144</f>
        <v>50200</v>
      </c>
      <c r="Z144" s="42">
        <v>0</v>
      </c>
      <c r="AA144" s="20">
        <f>+Y144+Z144</f>
        <v>50200</v>
      </c>
      <c r="AB144" s="20">
        <f>+(N144/30)*U144</f>
        <v>21753.333333333332</v>
      </c>
      <c r="AC144" s="20">
        <v>0</v>
      </c>
      <c r="AD144" s="20">
        <v>0</v>
      </c>
      <c r="AE144" s="20">
        <v>0</v>
      </c>
      <c r="AF144" s="20">
        <v>0</v>
      </c>
      <c r="AG144" s="20">
        <f t="shared" si="122"/>
        <v>200</v>
      </c>
      <c r="AH144" s="24"/>
      <c r="AI144" s="80">
        <v>0</v>
      </c>
      <c r="AJ144" s="24">
        <v>0</v>
      </c>
      <c r="AK144" s="24">
        <v>0</v>
      </c>
      <c r="AL144" s="24">
        <v>0</v>
      </c>
      <c r="AM144" s="25">
        <f>SUM(AI144:AL144)</f>
        <v>0</v>
      </c>
      <c r="AN144" s="26">
        <f>+AA144-(AC144+AE144+AG144+AH144+AI144+AJ144+AK144+AL144)</f>
        <v>50000</v>
      </c>
      <c r="AO144" s="56"/>
      <c r="AP144" s="56"/>
      <c r="AQ144" s="51"/>
      <c r="AR144" s="56"/>
      <c r="AS144" s="56"/>
      <c r="AT144" s="57"/>
      <c r="AU144" s="58"/>
      <c r="AV144" s="53"/>
      <c r="AW144" s="54"/>
      <c r="AX144" s="51"/>
      <c r="AY144" s="51"/>
      <c r="AZ144" s="51"/>
      <c r="BA144" s="51"/>
      <c r="BC144" s="152">
        <f>AC144+AE144+AG144+AN144</f>
        <v>50200</v>
      </c>
    </row>
    <row r="145" spans="2:55" s="50" customFormat="1" ht="15" customHeight="1" x14ac:dyDescent="0.3">
      <c r="B145" s="162"/>
      <c r="C145" s="104"/>
      <c r="D145" s="161"/>
      <c r="E145" s="16"/>
      <c r="F145" s="104"/>
      <c r="G145" s="112">
        <v>46113</v>
      </c>
      <c r="H145" s="30"/>
      <c r="I145" s="30"/>
      <c r="J145" s="41">
        <f t="shared" si="83"/>
        <v>127</v>
      </c>
      <c r="K145" s="86" t="s">
        <v>447</v>
      </c>
      <c r="L145" s="30" t="s">
        <v>433</v>
      </c>
      <c r="M145" s="33">
        <v>60200</v>
      </c>
      <c r="N145" s="20">
        <f>ROUND(IF((M145*50%)&lt;10000,10000,(M145*50/100)),)</f>
        <v>30100</v>
      </c>
      <c r="O145" s="20">
        <f>ROUND((M145-N145)/2,)</f>
        <v>15050</v>
      </c>
      <c r="P145" s="20">
        <f>ROUND(O145*50%,)</f>
        <v>7525</v>
      </c>
      <c r="Q145" s="20">
        <f>ROUND(O145*50/100,)</f>
        <v>7525</v>
      </c>
      <c r="R145" s="20"/>
      <c r="S145" s="20">
        <f>N145+O145+P145+Q145+R145</f>
        <v>60200</v>
      </c>
      <c r="T145" s="20"/>
      <c r="U145" s="22">
        <v>26</v>
      </c>
      <c r="V145" s="22">
        <v>4</v>
      </c>
      <c r="W145" s="22">
        <v>0</v>
      </c>
      <c r="X145" s="22">
        <f>+U145+V145+W145</f>
        <v>30</v>
      </c>
      <c r="Y145" s="20">
        <f>+M145/30*X145</f>
        <v>60200</v>
      </c>
      <c r="Z145" s="42">
        <v>0</v>
      </c>
      <c r="AA145" s="20">
        <f>+Y145+Z145</f>
        <v>60200</v>
      </c>
      <c r="AB145" s="20">
        <f>+(N145/30)*U145</f>
        <v>26086.666666666668</v>
      </c>
      <c r="AC145" s="20">
        <v>0</v>
      </c>
      <c r="AD145" s="20">
        <v>0</v>
      </c>
      <c r="AE145" s="20">
        <v>0</v>
      </c>
      <c r="AF145" s="20">
        <v>0</v>
      </c>
      <c r="AG145" s="20">
        <f t="shared" si="122"/>
        <v>200</v>
      </c>
      <c r="AH145" s="24"/>
      <c r="AI145" s="80">
        <v>0</v>
      </c>
      <c r="AJ145" s="24">
        <v>0</v>
      </c>
      <c r="AK145" s="24">
        <v>0</v>
      </c>
      <c r="AL145" s="24">
        <v>0</v>
      </c>
      <c r="AM145" s="25">
        <f>SUM(AI145:AL145)</f>
        <v>0</v>
      </c>
      <c r="AN145" s="26">
        <f>+AA145-(AC145+AE145+AG145+AH145+AI145+AJ145+AK145+AL145)</f>
        <v>60000</v>
      </c>
      <c r="AO145" s="56"/>
      <c r="AP145" s="56"/>
      <c r="AQ145" s="51"/>
      <c r="AR145" s="56"/>
      <c r="AS145" s="56"/>
      <c r="AT145" s="57"/>
      <c r="AU145" s="58"/>
      <c r="AV145" s="53"/>
      <c r="AW145" s="54"/>
      <c r="AX145" s="51"/>
      <c r="AY145" s="51"/>
      <c r="AZ145" s="51"/>
      <c r="BA145" s="51"/>
      <c r="BC145" s="152">
        <f>AC145+AE145+AG145+AN145</f>
        <v>60200</v>
      </c>
    </row>
    <row r="146" spans="2:55" s="50" customFormat="1" ht="15" customHeight="1" x14ac:dyDescent="0.3">
      <c r="B146" s="162"/>
      <c r="C146" s="104"/>
      <c r="D146" s="161"/>
      <c r="E146" s="16"/>
      <c r="F146" s="104"/>
      <c r="G146" s="112">
        <v>46113</v>
      </c>
      <c r="H146" s="30"/>
      <c r="I146" s="30"/>
      <c r="J146" s="41">
        <f t="shared" si="83"/>
        <v>128</v>
      </c>
      <c r="K146" s="86" t="s">
        <v>447</v>
      </c>
      <c r="L146" s="30" t="s">
        <v>434</v>
      </c>
      <c r="M146" s="33">
        <v>50200</v>
      </c>
      <c r="N146" s="20">
        <f>ROUND(IF((M146*50%)&lt;10000,10000,(M146*50/100)),)</f>
        <v>25100</v>
      </c>
      <c r="O146" s="20">
        <f>ROUND((M146-N146)/2,)</f>
        <v>12550</v>
      </c>
      <c r="P146" s="20">
        <f>ROUND(O146*50%,)</f>
        <v>6275</v>
      </c>
      <c r="Q146" s="20">
        <f>ROUND(O146*50/100,)</f>
        <v>6275</v>
      </c>
      <c r="R146" s="20"/>
      <c r="S146" s="20">
        <f>N146+O146+P146+Q146+R146</f>
        <v>50200</v>
      </c>
      <c r="T146" s="20"/>
      <c r="U146" s="22">
        <v>26</v>
      </c>
      <c r="V146" s="22">
        <v>4</v>
      </c>
      <c r="W146" s="22">
        <v>0</v>
      </c>
      <c r="X146" s="22">
        <f>+U146+V146+W146</f>
        <v>30</v>
      </c>
      <c r="Y146" s="20">
        <f>+M146/30*X146</f>
        <v>50200</v>
      </c>
      <c r="Z146" s="42">
        <v>0</v>
      </c>
      <c r="AA146" s="20">
        <f>+Y146+Z146</f>
        <v>50200</v>
      </c>
      <c r="AB146" s="20">
        <f>+(N146/30)*U146</f>
        <v>21753.333333333332</v>
      </c>
      <c r="AC146" s="20">
        <v>0</v>
      </c>
      <c r="AD146" s="20">
        <v>0</v>
      </c>
      <c r="AE146" s="20">
        <v>0</v>
      </c>
      <c r="AF146" s="20">
        <v>0</v>
      </c>
      <c r="AG146" s="20">
        <f t="shared" si="122"/>
        <v>200</v>
      </c>
      <c r="AH146" s="24"/>
      <c r="AI146" s="80">
        <v>0</v>
      </c>
      <c r="AJ146" s="24">
        <v>0</v>
      </c>
      <c r="AK146" s="24">
        <v>0</v>
      </c>
      <c r="AL146" s="24">
        <v>0</v>
      </c>
      <c r="AM146" s="25">
        <f>SUM(AI146:AL146)</f>
        <v>0</v>
      </c>
      <c r="AN146" s="26">
        <f>+AA146-(AC146+AE146+AG146+AH146+AI146+AJ146+AK146+AL146)</f>
        <v>50000</v>
      </c>
      <c r="AO146" s="56"/>
      <c r="AP146" s="56"/>
      <c r="AQ146" s="51"/>
      <c r="AR146" s="56"/>
      <c r="AS146" s="56"/>
      <c r="AT146" s="57"/>
      <c r="AU146" s="58"/>
      <c r="AV146" s="53"/>
      <c r="AW146" s="54"/>
      <c r="AX146" s="51"/>
      <c r="AY146" s="51"/>
      <c r="AZ146" s="51"/>
      <c r="BA146" s="51"/>
      <c r="BC146" s="152">
        <f>AC146+AE146+AG146+AN146</f>
        <v>50200</v>
      </c>
    </row>
    <row r="147" spans="2:55" s="50" customFormat="1" ht="15" customHeight="1" x14ac:dyDescent="0.3">
      <c r="B147" s="162"/>
      <c r="C147" s="104"/>
      <c r="D147" s="161"/>
      <c r="E147" s="16" t="s">
        <v>265</v>
      </c>
      <c r="F147" s="104"/>
      <c r="G147" s="112">
        <v>46113</v>
      </c>
      <c r="H147" s="30"/>
      <c r="I147" s="30"/>
      <c r="J147" s="41">
        <f t="shared" si="83"/>
        <v>129</v>
      </c>
      <c r="K147" s="86" t="s">
        <v>447</v>
      </c>
      <c r="L147" s="30" t="s">
        <v>448</v>
      </c>
      <c r="M147" s="33">
        <v>50200</v>
      </c>
      <c r="N147" s="20">
        <f>ROUND(IF((M147*50%)&lt;10000,10000,(M147*50/100)),)</f>
        <v>25100</v>
      </c>
      <c r="O147" s="20">
        <f>ROUND((M147-N147)/2,)</f>
        <v>12550</v>
      </c>
      <c r="P147" s="20">
        <f>ROUND(O147*50%,)</f>
        <v>6275</v>
      </c>
      <c r="Q147" s="20">
        <f>ROUND(O147*50/100,)</f>
        <v>6275</v>
      </c>
      <c r="R147" s="20"/>
      <c r="S147" s="20">
        <f>N147+O147+P147+Q147+R147</f>
        <v>50200</v>
      </c>
      <c r="T147" s="20"/>
      <c r="U147" s="22">
        <v>26</v>
      </c>
      <c r="V147" s="22">
        <v>4</v>
      </c>
      <c r="W147" s="22">
        <v>0</v>
      </c>
      <c r="X147" s="22">
        <f>+U147+V147+W147</f>
        <v>30</v>
      </c>
      <c r="Y147" s="20">
        <f>+M147/30*X147</f>
        <v>50200</v>
      </c>
      <c r="Z147" s="42">
        <v>0</v>
      </c>
      <c r="AA147" s="20">
        <f>+Y147+Z147</f>
        <v>50200</v>
      </c>
      <c r="AB147" s="20">
        <f>+(N147/30)*U147</f>
        <v>21753.333333333332</v>
      </c>
      <c r="AC147" s="20">
        <v>0</v>
      </c>
      <c r="AD147" s="20">
        <v>0</v>
      </c>
      <c r="AE147" s="20">
        <v>0</v>
      </c>
      <c r="AF147" s="20">
        <v>0</v>
      </c>
      <c r="AG147" s="20">
        <f t="shared" si="122"/>
        <v>200</v>
      </c>
      <c r="AH147" s="24"/>
      <c r="AI147" s="80">
        <v>0</v>
      </c>
      <c r="AJ147" s="24">
        <v>0</v>
      </c>
      <c r="AK147" s="24">
        <v>0</v>
      </c>
      <c r="AL147" s="24">
        <v>0</v>
      </c>
      <c r="AM147" s="25">
        <f>SUM(AI147:AL147)</f>
        <v>0</v>
      </c>
      <c r="AN147" s="26">
        <f>+AA147-(AC147+AE147+AG147+AH147+AI147+AJ147+AK147+AL147)</f>
        <v>50000</v>
      </c>
      <c r="AO147" s="56"/>
      <c r="AP147" s="56"/>
      <c r="AQ147" s="51"/>
      <c r="AR147" s="56"/>
      <c r="AS147" s="56"/>
      <c r="AT147" s="57"/>
      <c r="AU147" s="58"/>
      <c r="AV147" s="53"/>
      <c r="AW147" s="54"/>
      <c r="AX147" s="51"/>
      <c r="AY147" s="51"/>
      <c r="AZ147" s="51"/>
      <c r="BA147" s="51"/>
      <c r="BC147" s="152">
        <f>AC147+AE147+AG147+AN147</f>
        <v>50200</v>
      </c>
    </row>
    <row r="148" spans="2:55" s="50" customFormat="1" ht="15" customHeight="1" x14ac:dyDescent="0.3">
      <c r="B148" s="162"/>
      <c r="C148" s="104"/>
      <c r="D148" s="161"/>
      <c r="E148" s="30" t="s">
        <v>227</v>
      </c>
      <c r="F148" s="104" t="s">
        <v>150</v>
      </c>
      <c r="G148" s="112">
        <v>46113</v>
      </c>
      <c r="H148" s="30"/>
      <c r="I148" s="30"/>
      <c r="J148" s="41">
        <f t="shared" si="83"/>
        <v>130</v>
      </c>
      <c r="K148" s="86" t="s">
        <v>447</v>
      </c>
      <c r="L148" s="30" t="s">
        <v>443</v>
      </c>
      <c r="M148" s="33">
        <v>31500</v>
      </c>
      <c r="N148" s="20">
        <f t="shared" ref="N148:N156" si="129">ROUND(IF((M148*50%)&lt;10000,10000,(M148*50/100)),)</f>
        <v>15750</v>
      </c>
      <c r="O148" s="20">
        <f t="shared" ref="O148:O156" si="130">ROUND((M148-N148)/2,)</f>
        <v>7875</v>
      </c>
      <c r="P148" s="20">
        <f t="shared" ref="P148:P156" si="131">ROUND(O148*50%,)</f>
        <v>3938</v>
      </c>
      <c r="Q148" s="20">
        <f t="shared" ref="Q148:Q156" si="132">ROUND(O148*50/100,)</f>
        <v>3938</v>
      </c>
      <c r="R148" s="20"/>
      <c r="S148" s="20">
        <f t="shared" ref="S148:S156" si="133">N148+O148+P148+Q148+R148</f>
        <v>31501</v>
      </c>
      <c r="T148" s="20"/>
      <c r="U148" s="22">
        <v>24</v>
      </c>
      <c r="V148" s="22">
        <v>3</v>
      </c>
      <c r="W148" s="22">
        <v>0</v>
      </c>
      <c r="X148" s="22">
        <f t="shared" ref="X148:X156" si="134">+U148+V148+W148</f>
        <v>27</v>
      </c>
      <c r="Y148" s="20">
        <f t="shared" ref="Y148:Y156" si="135">+M148/30*X148</f>
        <v>28350</v>
      </c>
      <c r="Z148" s="42">
        <v>0</v>
      </c>
      <c r="AA148" s="20">
        <f t="shared" ref="AA148:AA156" si="136">+Y148+Z148</f>
        <v>28350</v>
      </c>
      <c r="AB148" s="20">
        <f t="shared" ref="AB148:AB156" si="137">+(N148/30)*U148</f>
        <v>12600</v>
      </c>
      <c r="AC148" s="20">
        <v>0</v>
      </c>
      <c r="AD148" s="20">
        <v>0</v>
      </c>
      <c r="AE148" s="20">
        <v>0</v>
      </c>
      <c r="AF148" s="20">
        <v>0</v>
      </c>
      <c r="AG148" s="20">
        <f t="shared" ref="AG148:AG156" si="138">IF(AA148&gt;=12000,200,IF(AA148&gt;=9000,150,IF(AA148&gt;=6000,80,IF(AA148&gt;=3000,0,0))))</f>
        <v>200</v>
      </c>
      <c r="AH148" s="24"/>
      <c r="AI148" s="80">
        <v>0</v>
      </c>
      <c r="AJ148" s="24">
        <v>0</v>
      </c>
      <c r="AK148" s="24">
        <v>0</v>
      </c>
      <c r="AL148" s="24">
        <v>0</v>
      </c>
      <c r="AM148" s="25">
        <f t="shared" ref="AM148:AM156" si="139">SUM(AI148:AL148)</f>
        <v>0</v>
      </c>
      <c r="AN148" s="26">
        <f t="shared" ref="AN148:AN156" si="140">+AA148-(AC148+AE148+AG148+AH148+AI148+AJ148+AK148+AL148)</f>
        <v>28150</v>
      </c>
      <c r="AO148" s="56"/>
      <c r="AP148" s="56"/>
      <c r="AQ148" s="51"/>
      <c r="AR148" s="56"/>
      <c r="AS148" s="56"/>
      <c r="AT148" s="57"/>
      <c r="AU148" s="58"/>
      <c r="AV148" s="53"/>
      <c r="AW148" s="54"/>
      <c r="AX148" s="51"/>
      <c r="AY148" s="51"/>
      <c r="AZ148" s="51"/>
      <c r="BA148" s="51"/>
      <c r="BC148" s="152">
        <f t="shared" ref="BC148:BC156" si="141">AC148+AE148+AG148+AN148</f>
        <v>28350</v>
      </c>
    </row>
    <row r="149" spans="2:55" s="50" customFormat="1" ht="15" customHeight="1" x14ac:dyDescent="0.3">
      <c r="B149" s="162"/>
      <c r="C149" s="104"/>
      <c r="D149" s="161"/>
      <c r="E149" s="16" t="s">
        <v>187</v>
      </c>
      <c r="F149" s="104" t="s">
        <v>150</v>
      </c>
      <c r="G149" s="112">
        <v>46113</v>
      </c>
      <c r="H149" s="30"/>
      <c r="I149" s="30"/>
      <c r="J149" s="41">
        <f t="shared" ref="J149:J156" si="142">J148+1</f>
        <v>131</v>
      </c>
      <c r="K149" s="86" t="s">
        <v>447</v>
      </c>
      <c r="L149" s="30" t="s">
        <v>450</v>
      </c>
      <c r="M149" s="33">
        <v>23000</v>
      </c>
      <c r="N149" s="20">
        <f t="shared" si="129"/>
        <v>11500</v>
      </c>
      <c r="O149" s="20">
        <f t="shared" si="130"/>
        <v>5750</v>
      </c>
      <c r="P149" s="20">
        <f t="shared" si="131"/>
        <v>2875</v>
      </c>
      <c r="Q149" s="20">
        <f t="shared" si="132"/>
        <v>2875</v>
      </c>
      <c r="R149" s="20"/>
      <c r="S149" s="20">
        <f t="shared" si="133"/>
        <v>23000</v>
      </c>
      <c r="T149" s="20"/>
      <c r="U149" s="22">
        <v>26</v>
      </c>
      <c r="V149" s="22">
        <v>4</v>
      </c>
      <c r="W149" s="22">
        <v>0</v>
      </c>
      <c r="X149" s="22">
        <f t="shared" si="134"/>
        <v>30</v>
      </c>
      <c r="Y149" s="20">
        <f t="shared" si="135"/>
        <v>23000</v>
      </c>
      <c r="Z149" s="42">
        <v>0</v>
      </c>
      <c r="AA149" s="20">
        <f t="shared" si="136"/>
        <v>23000</v>
      </c>
      <c r="AB149" s="20">
        <f t="shared" si="137"/>
        <v>9966.6666666666661</v>
      </c>
      <c r="AC149" s="20">
        <v>0</v>
      </c>
      <c r="AD149" s="20">
        <v>0</v>
      </c>
      <c r="AE149" s="20">
        <v>0</v>
      </c>
      <c r="AF149" s="20">
        <v>0</v>
      </c>
      <c r="AG149" s="20">
        <f t="shared" si="138"/>
        <v>200</v>
      </c>
      <c r="AH149" s="24"/>
      <c r="AI149" s="80">
        <v>0</v>
      </c>
      <c r="AJ149" s="24">
        <v>0</v>
      </c>
      <c r="AK149" s="24">
        <v>0</v>
      </c>
      <c r="AL149" s="24">
        <v>0</v>
      </c>
      <c r="AM149" s="25">
        <f t="shared" si="139"/>
        <v>0</v>
      </c>
      <c r="AN149" s="26">
        <f t="shared" si="140"/>
        <v>22800</v>
      </c>
      <c r="AO149" s="56"/>
      <c r="AP149" s="56"/>
      <c r="AQ149" s="51"/>
      <c r="AR149" s="56"/>
      <c r="AS149" s="56"/>
      <c r="AT149" s="57"/>
      <c r="AU149" s="58"/>
      <c r="AV149" s="53"/>
      <c r="AW149" s="54"/>
      <c r="AX149" s="51"/>
      <c r="AY149" s="51"/>
      <c r="AZ149" s="51"/>
      <c r="BA149" s="51"/>
      <c r="BC149" s="152">
        <f t="shared" si="141"/>
        <v>23000</v>
      </c>
    </row>
    <row r="150" spans="2:55" s="50" customFormat="1" ht="15" customHeight="1" x14ac:dyDescent="0.3">
      <c r="B150" s="162"/>
      <c r="C150" s="104"/>
      <c r="D150" s="161"/>
      <c r="E150" s="16" t="s">
        <v>187</v>
      </c>
      <c r="F150" s="104" t="s">
        <v>150</v>
      </c>
      <c r="G150" s="112">
        <v>46113</v>
      </c>
      <c r="H150" s="30"/>
      <c r="I150" s="30"/>
      <c r="J150" s="41">
        <f t="shared" si="142"/>
        <v>132</v>
      </c>
      <c r="K150" s="86" t="s">
        <v>447</v>
      </c>
      <c r="L150" s="30" t="s">
        <v>451</v>
      </c>
      <c r="M150" s="33">
        <v>30000</v>
      </c>
      <c r="N150" s="20">
        <f t="shared" si="129"/>
        <v>15000</v>
      </c>
      <c r="O150" s="20">
        <f t="shared" si="130"/>
        <v>7500</v>
      </c>
      <c r="P150" s="20">
        <f t="shared" si="131"/>
        <v>3750</v>
      </c>
      <c r="Q150" s="20">
        <f t="shared" si="132"/>
        <v>3750</v>
      </c>
      <c r="R150" s="20"/>
      <c r="S150" s="20">
        <f t="shared" si="133"/>
        <v>30000</v>
      </c>
      <c r="T150" s="20"/>
      <c r="U150" s="22">
        <v>25</v>
      </c>
      <c r="V150" s="22">
        <v>4</v>
      </c>
      <c r="W150" s="22">
        <v>0</v>
      </c>
      <c r="X150" s="22">
        <f t="shared" si="134"/>
        <v>29</v>
      </c>
      <c r="Y150" s="20">
        <f t="shared" si="135"/>
        <v>29000</v>
      </c>
      <c r="Z150" s="42">
        <v>0</v>
      </c>
      <c r="AA150" s="20">
        <f t="shared" si="136"/>
        <v>29000</v>
      </c>
      <c r="AB150" s="20">
        <f t="shared" si="137"/>
        <v>12500</v>
      </c>
      <c r="AC150" s="20">
        <v>0</v>
      </c>
      <c r="AD150" s="20">
        <v>0</v>
      </c>
      <c r="AE150" s="20">
        <v>0</v>
      </c>
      <c r="AF150" s="20">
        <v>0</v>
      </c>
      <c r="AG150" s="20">
        <f t="shared" si="138"/>
        <v>200</v>
      </c>
      <c r="AH150" s="24"/>
      <c r="AI150" s="80">
        <v>0</v>
      </c>
      <c r="AJ150" s="24">
        <v>0</v>
      </c>
      <c r="AK150" s="24">
        <v>0</v>
      </c>
      <c r="AL150" s="24">
        <v>0</v>
      </c>
      <c r="AM150" s="25">
        <f t="shared" si="139"/>
        <v>0</v>
      </c>
      <c r="AN150" s="26">
        <f t="shared" si="140"/>
        <v>28800</v>
      </c>
      <c r="AO150" s="56"/>
      <c r="AP150" s="56"/>
      <c r="AQ150" s="51"/>
      <c r="AR150" s="56"/>
      <c r="AS150" s="56"/>
      <c r="AT150" s="57"/>
      <c r="AU150" s="58"/>
      <c r="AV150" s="53"/>
      <c r="AW150" s="54"/>
      <c r="AX150" s="51"/>
      <c r="AY150" s="51"/>
      <c r="AZ150" s="51"/>
      <c r="BA150" s="51"/>
      <c r="BC150" s="152">
        <f t="shared" si="141"/>
        <v>29000</v>
      </c>
    </row>
    <row r="151" spans="2:55" s="50" customFormat="1" ht="15" customHeight="1" x14ac:dyDescent="0.3">
      <c r="B151" s="162"/>
      <c r="C151" s="104"/>
      <c r="D151" s="161"/>
      <c r="E151" s="16" t="s">
        <v>187</v>
      </c>
      <c r="F151" s="104" t="s">
        <v>150</v>
      </c>
      <c r="G151" s="112">
        <v>46113</v>
      </c>
      <c r="H151" s="30"/>
      <c r="I151" s="30"/>
      <c r="J151" s="41">
        <f t="shared" si="142"/>
        <v>133</v>
      </c>
      <c r="K151" s="86" t="s">
        <v>447</v>
      </c>
      <c r="L151" s="30" t="s">
        <v>449</v>
      </c>
      <c r="M151" s="33">
        <v>30000</v>
      </c>
      <c r="N151" s="20">
        <f t="shared" si="129"/>
        <v>15000</v>
      </c>
      <c r="O151" s="20">
        <f t="shared" si="130"/>
        <v>7500</v>
      </c>
      <c r="P151" s="20">
        <f t="shared" si="131"/>
        <v>3750</v>
      </c>
      <c r="Q151" s="20">
        <f t="shared" si="132"/>
        <v>3750</v>
      </c>
      <c r="R151" s="20"/>
      <c r="S151" s="20">
        <f t="shared" si="133"/>
        <v>30000</v>
      </c>
      <c r="T151" s="20"/>
      <c r="U151" s="22">
        <v>26</v>
      </c>
      <c r="V151" s="22">
        <v>4</v>
      </c>
      <c r="W151" s="22">
        <v>0</v>
      </c>
      <c r="X151" s="22">
        <f t="shared" si="134"/>
        <v>30</v>
      </c>
      <c r="Y151" s="20">
        <f t="shared" si="135"/>
        <v>30000</v>
      </c>
      <c r="Z151" s="42">
        <v>0</v>
      </c>
      <c r="AA151" s="20">
        <f t="shared" si="136"/>
        <v>30000</v>
      </c>
      <c r="AB151" s="20">
        <f t="shared" si="137"/>
        <v>13000</v>
      </c>
      <c r="AC151" s="20">
        <v>0</v>
      </c>
      <c r="AD151" s="20">
        <v>0</v>
      </c>
      <c r="AE151" s="20">
        <v>0</v>
      </c>
      <c r="AF151" s="20">
        <v>0</v>
      </c>
      <c r="AG151" s="20">
        <f t="shared" si="138"/>
        <v>200</v>
      </c>
      <c r="AH151" s="24"/>
      <c r="AI151" s="80">
        <v>0</v>
      </c>
      <c r="AJ151" s="24">
        <v>0</v>
      </c>
      <c r="AK151" s="24">
        <v>0</v>
      </c>
      <c r="AL151" s="24">
        <v>0</v>
      </c>
      <c r="AM151" s="25">
        <f t="shared" si="139"/>
        <v>0</v>
      </c>
      <c r="AN151" s="26">
        <f t="shared" si="140"/>
        <v>29800</v>
      </c>
      <c r="AO151" s="56"/>
      <c r="AP151" s="56"/>
      <c r="AQ151" s="51"/>
      <c r="AR151" s="56"/>
      <c r="AS151" s="56"/>
      <c r="AT151" s="57"/>
      <c r="AU151" s="58"/>
      <c r="AV151" s="53"/>
      <c r="AW151" s="54"/>
      <c r="AX151" s="51"/>
      <c r="AY151" s="51"/>
      <c r="AZ151" s="51"/>
      <c r="BA151" s="51"/>
      <c r="BC151" s="152">
        <f t="shared" si="141"/>
        <v>30000</v>
      </c>
    </row>
    <row r="152" spans="2:55" s="50" customFormat="1" ht="15" customHeight="1" x14ac:dyDescent="0.3">
      <c r="B152" s="162"/>
      <c r="C152" s="104"/>
      <c r="D152" s="161"/>
      <c r="E152" s="30" t="s">
        <v>71</v>
      </c>
      <c r="F152" s="104" t="s">
        <v>150</v>
      </c>
      <c r="G152" s="112">
        <v>46113</v>
      </c>
      <c r="H152" s="30"/>
      <c r="I152" s="30"/>
      <c r="J152" s="41">
        <f t="shared" si="142"/>
        <v>134</v>
      </c>
      <c r="K152" s="86" t="s">
        <v>447</v>
      </c>
      <c r="L152" s="30" t="s">
        <v>444</v>
      </c>
      <c r="M152" s="33">
        <v>27500</v>
      </c>
      <c r="N152" s="20">
        <f t="shared" si="129"/>
        <v>13750</v>
      </c>
      <c r="O152" s="20">
        <f t="shared" si="130"/>
        <v>6875</v>
      </c>
      <c r="P152" s="20">
        <f t="shared" si="131"/>
        <v>3438</v>
      </c>
      <c r="Q152" s="20">
        <f t="shared" si="132"/>
        <v>3438</v>
      </c>
      <c r="R152" s="20"/>
      <c r="S152" s="20">
        <f t="shared" si="133"/>
        <v>27501</v>
      </c>
      <c r="T152" s="20"/>
      <c r="U152" s="22">
        <v>24</v>
      </c>
      <c r="V152" s="22">
        <v>4</v>
      </c>
      <c r="W152" s="22">
        <v>0</v>
      </c>
      <c r="X152" s="22">
        <f t="shared" si="134"/>
        <v>28</v>
      </c>
      <c r="Y152" s="20">
        <f t="shared" si="135"/>
        <v>25666.666666666664</v>
      </c>
      <c r="Z152" s="42">
        <v>0</v>
      </c>
      <c r="AA152" s="20">
        <f t="shared" si="136"/>
        <v>25666.666666666664</v>
      </c>
      <c r="AB152" s="20">
        <f t="shared" si="137"/>
        <v>11000</v>
      </c>
      <c r="AC152" s="20">
        <v>0</v>
      </c>
      <c r="AD152" s="20">
        <v>0</v>
      </c>
      <c r="AE152" s="20">
        <v>0</v>
      </c>
      <c r="AF152" s="20">
        <v>0</v>
      </c>
      <c r="AG152" s="20">
        <f t="shared" si="138"/>
        <v>200</v>
      </c>
      <c r="AH152" s="24"/>
      <c r="AI152" s="80">
        <v>0</v>
      </c>
      <c r="AJ152" s="24">
        <v>0</v>
      </c>
      <c r="AK152" s="24">
        <v>0</v>
      </c>
      <c r="AL152" s="24">
        <v>0</v>
      </c>
      <c r="AM152" s="25">
        <f t="shared" si="139"/>
        <v>0</v>
      </c>
      <c r="AN152" s="26">
        <f t="shared" si="140"/>
        <v>25466.666666666664</v>
      </c>
      <c r="AO152" s="56"/>
      <c r="AP152" s="56"/>
      <c r="AQ152" s="51"/>
      <c r="AR152" s="56"/>
      <c r="AS152" s="56"/>
      <c r="AT152" s="57"/>
      <c r="AU152" s="58"/>
      <c r="AV152" s="53"/>
      <c r="AW152" s="54"/>
      <c r="AX152" s="51"/>
      <c r="AY152" s="51"/>
      <c r="AZ152" s="51"/>
      <c r="BA152" s="51"/>
      <c r="BC152" s="152">
        <f t="shared" si="141"/>
        <v>25666.666666666664</v>
      </c>
    </row>
    <row r="153" spans="2:55" s="50" customFormat="1" ht="15" customHeight="1" x14ac:dyDescent="0.3">
      <c r="B153" s="162"/>
      <c r="C153" s="104"/>
      <c r="D153" s="161"/>
      <c r="E153" s="30" t="s">
        <v>71</v>
      </c>
      <c r="F153" s="104" t="s">
        <v>453</v>
      </c>
      <c r="G153" s="112">
        <v>46113</v>
      </c>
      <c r="H153" s="30"/>
      <c r="I153" s="30"/>
      <c r="J153" s="41">
        <f t="shared" si="142"/>
        <v>135</v>
      </c>
      <c r="K153" s="86" t="s">
        <v>447</v>
      </c>
      <c r="L153" s="30" t="s">
        <v>437</v>
      </c>
      <c r="M153" s="33">
        <v>85000</v>
      </c>
      <c r="N153" s="20">
        <f t="shared" si="129"/>
        <v>42500</v>
      </c>
      <c r="O153" s="20">
        <f t="shared" si="130"/>
        <v>21250</v>
      </c>
      <c r="P153" s="20">
        <f t="shared" si="131"/>
        <v>10625</v>
      </c>
      <c r="Q153" s="20">
        <f t="shared" si="132"/>
        <v>10625</v>
      </c>
      <c r="R153" s="20"/>
      <c r="S153" s="20">
        <f t="shared" si="133"/>
        <v>85000</v>
      </c>
      <c r="T153" s="20"/>
      <c r="U153" s="22">
        <v>26</v>
      </c>
      <c r="V153" s="22">
        <v>4</v>
      </c>
      <c r="W153" s="22">
        <v>0</v>
      </c>
      <c r="X153" s="22">
        <f t="shared" si="134"/>
        <v>30</v>
      </c>
      <c r="Y153" s="20">
        <f t="shared" si="135"/>
        <v>85000</v>
      </c>
      <c r="Z153" s="42">
        <v>0</v>
      </c>
      <c r="AA153" s="20">
        <f t="shared" si="136"/>
        <v>85000</v>
      </c>
      <c r="AB153" s="20">
        <f t="shared" si="137"/>
        <v>36833.333333333336</v>
      </c>
      <c r="AC153" s="20">
        <v>0</v>
      </c>
      <c r="AD153" s="20">
        <v>0</v>
      </c>
      <c r="AE153" s="20">
        <v>0</v>
      </c>
      <c r="AF153" s="20">
        <v>0</v>
      </c>
      <c r="AG153" s="20">
        <f t="shared" si="138"/>
        <v>200</v>
      </c>
      <c r="AH153" s="24"/>
      <c r="AI153" s="80">
        <v>0</v>
      </c>
      <c r="AJ153" s="24">
        <v>0</v>
      </c>
      <c r="AK153" s="24">
        <v>0</v>
      </c>
      <c r="AL153" s="24">
        <v>0</v>
      </c>
      <c r="AM153" s="25">
        <f t="shared" si="139"/>
        <v>0</v>
      </c>
      <c r="AN153" s="26">
        <f t="shared" si="140"/>
        <v>84800</v>
      </c>
      <c r="AO153" s="56"/>
      <c r="AP153" s="56"/>
      <c r="AQ153" s="51"/>
      <c r="AR153" s="56"/>
      <c r="AS153" s="56"/>
      <c r="AT153" s="57"/>
      <c r="AU153" s="58"/>
      <c r="AV153" s="53"/>
      <c r="AW153" s="54"/>
      <c r="AX153" s="51"/>
      <c r="AY153" s="51"/>
      <c r="AZ153" s="51"/>
      <c r="BA153" s="51"/>
      <c r="BC153" s="152">
        <f t="shared" si="141"/>
        <v>85000</v>
      </c>
    </row>
    <row r="154" spans="2:55" s="50" customFormat="1" ht="15" customHeight="1" x14ac:dyDescent="0.3">
      <c r="B154" s="162"/>
      <c r="C154" s="104"/>
      <c r="D154" s="161"/>
      <c r="E154" s="30" t="s">
        <v>90</v>
      </c>
      <c r="F154" s="104" t="s">
        <v>150</v>
      </c>
      <c r="G154" s="112">
        <v>46113</v>
      </c>
      <c r="H154" s="30"/>
      <c r="I154" s="30"/>
      <c r="J154" s="41">
        <f t="shared" si="142"/>
        <v>136</v>
      </c>
      <c r="K154" s="86" t="s">
        <v>447</v>
      </c>
      <c r="L154" s="30" t="s">
        <v>445</v>
      </c>
      <c r="M154" s="33">
        <v>24000</v>
      </c>
      <c r="N154" s="20">
        <f t="shared" si="129"/>
        <v>12000</v>
      </c>
      <c r="O154" s="20">
        <f t="shared" si="130"/>
        <v>6000</v>
      </c>
      <c r="P154" s="20">
        <f t="shared" si="131"/>
        <v>3000</v>
      </c>
      <c r="Q154" s="20">
        <f t="shared" si="132"/>
        <v>3000</v>
      </c>
      <c r="R154" s="20"/>
      <c r="S154" s="20">
        <f t="shared" si="133"/>
        <v>24000</v>
      </c>
      <c r="T154" s="20"/>
      <c r="U154" s="22">
        <v>26</v>
      </c>
      <c r="V154" s="22">
        <v>4</v>
      </c>
      <c r="W154" s="22">
        <v>0</v>
      </c>
      <c r="X154" s="22">
        <f t="shared" si="134"/>
        <v>30</v>
      </c>
      <c r="Y154" s="20">
        <f t="shared" si="135"/>
        <v>24000</v>
      </c>
      <c r="Z154" s="42">
        <v>0</v>
      </c>
      <c r="AA154" s="20">
        <f t="shared" si="136"/>
        <v>24000</v>
      </c>
      <c r="AB154" s="20">
        <f t="shared" si="137"/>
        <v>10400</v>
      </c>
      <c r="AC154" s="20">
        <v>0</v>
      </c>
      <c r="AD154" s="20">
        <v>0</v>
      </c>
      <c r="AE154" s="20">
        <v>0</v>
      </c>
      <c r="AF154" s="20">
        <v>0</v>
      </c>
      <c r="AG154" s="20">
        <f t="shared" si="138"/>
        <v>200</v>
      </c>
      <c r="AH154" s="24"/>
      <c r="AI154" s="80">
        <v>0</v>
      </c>
      <c r="AJ154" s="24">
        <v>0</v>
      </c>
      <c r="AK154" s="24">
        <v>0</v>
      </c>
      <c r="AL154" s="24">
        <v>0</v>
      </c>
      <c r="AM154" s="25">
        <f t="shared" si="139"/>
        <v>0</v>
      </c>
      <c r="AN154" s="26">
        <f t="shared" si="140"/>
        <v>23800</v>
      </c>
      <c r="AO154" s="56"/>
      <c r="AP154" s="56"/>
      <c r="AQ154" s="51"/>
      <c r="AR154" s="56"/>
      <c r="AS154" s="56"/>
      <c r="AT154" s="57"/>
      <c r="AU154" s="58"/>
      <c r="AV154" s="53"/>
      <c r="AW154" s="54"/>
      <c r="AX154" s="51"/>
      <c r="AY154" s="51"/>
      <c r="AZ154" s="51"/>
      <c r="BA154" s="51"/>
      <c r="BC154" s="152">
        <f t="shared" si="141"/>
        <v>24000</v>
      </c>
    </row>
    <row r="155" spans="2:55" s="50" customFormat="1" ht="15" customHeight="1" x14ac:dyDescent="0.3">
      <c r="B155" s="162"/>
      <c r="C155" s="104"/>
      <c r="D155" s="161"/>
      <c r="E155" s="16" t="s">
        <v>114</v>
      </c>
      <c r="F155" s="104" t="s">
        <v>420</v>
      </c>
      <c r="G155" s="112">
        <v>46113</v>
      </c>
      <c r="H155" s="30"/>
      <c r="I155" s="30"/>
      <c r="J155" s="41">
        <f t="shared" si="142"/>
        <v>137</v>
      </c>
      <c r="K155" s="86" t="s">
        <v>447</v>
      </c>
      <c r="L155" s="30" t="s">
        <v>452</v>
      </c>
      <c r="M155" s="33">
        <v>35000</v>
      </c>
      <c r="N155" s="20">
        <f t="shared" si="129"/>
        <v>17500</v>
      </c>
      <c r="O155" s="20">
        <f t="shared" si="130"/>
        <v>8750</v>
      </c>
      <c r="P155" s="20">
        <f t="shared" si="131"/>
        <v>4375</v>
      </c>
      <c r="Q155" s="20">
        <f t="shared" si="132"/>
        <v>4375</v>
      </c>
      <c r="R155" s="20"/>
      <c r="S155" s="20">
        <f t="shared" si="133"/>
        <v>35000</v>
      </c>
      <c r="T155" s="20"/>
      <c r="U155" s="22">
        <v>26</v>
      </c>
      <c r="V155" s="22">
        <v>4</v>
      </c>
      <c r="W155" s="22">
        <v>0</v>
      </c>
      <c r="X155" s="22">
        <f t="shared" si="134"/>
        <v>30</v>
      </c>
      <c r="Y155" s="20">
        <f t="shared" si="135"/>
        <v>35000</v>
      </c>
      <c r="Z155" s="42">
        <v>0</v>
      </c>
      <c r="AA155" s="20">
        <f t="shared" si="136"/>
        <v>35000</v>
      </c>
      <c r="AB155" s="20">
        <f t="shared" si="137"/>
        <v>15166.666666666668</v>
      </c>
      <c r="AC155" s="20">
        <v>0</v>
      </c>
      <c r="AD155" s="20">
        <v>0</v>
      </c>
      <c r="AE155" s="20">
        <v>0</v>
      </c>
      <c r="AF155" s="20">
        <v>0</v>
      </c>
      <c r="AG155" s="20">
        <f t="shared" si="138"/>
        <v>200</v>
      </c>
      <c r="AH155" s="24"/>
      <c r="AI155" s="80">
        <v>0</v>
      </c>
      <c r="AJ155" s="24">
        <v>0</v>
      </c>
      <c r="AK155" s="24">
        <v>0</v>
      </c>
      <c r="AL155" s="24">
        <v>0</v>
      </c>
      <c r="AM155" s="25">
        <f t="shared" si="139"/>
        <v>0</v>
      </c>
      <c r="AN155" s="26">
        <f t="shared" si="140"/>
        <v>34800</v>
      </c>
      <c r="AO155" s="56"/>
      <c r="AP155" s="56"/>
      <c r="AQ155" s="51"/>
      <c r="AR155" s="56"/>
      <c r="AS155" s="56"/>
      <c r="AT155" s="57"/>
      <c r="AU155" s="58"/>
      <c r="AV155" s="53"/>
      <c r="AW155" s="54"/>
      <c r="AX155" s="51"/>
      <c r="AY155" s="51"/>
      <c r="AZ155" s="51"/>
      <c r="BA155" s="51"/>
      <c r="BC155" s="152">
        <f t="shared" si="141"/>
        <v>35000</v>
      </c>
    </row>
    <row r="156" spans="2:55" s="50" customFormat="1" ht="15" customHeight="1" x14ac:dyDescent="0.3">
      <c r="B156" s="162"/>
      <c r="C156" s="104"/>
      <c r="D156" s="161"/>
      <c r="E156" s="16" t="s">
        <v>114</v>
      </c>
      <c r="F156" s="104" t="s">
        <v>420</v>
      </c>
      <c r="G156" s="112">
        <v>46113</v>
      </c>
      <c r="H156" s="30"/>
      <c r="I156" s="30"/>
      <c r="J156" s="41">
        <f t="shared" si="142"/>
        <v>138</v>
      </c>
      <c r="K156" s="86" t="s">
        <v>447</v>
      </c>
      <c r="L156" s="30" t="s">
        <v>446</v>
      </c>
      <c r="M156" s="33">
        <v>35000</v>
      </c>
      <c r="N156" s="20">
        <f t="shared" si="129"/>
        <v>17500</v>
      </c>
      <c r="O156" s="20">
        <f t="shared" si="130"/>
        <v>8750</v>
      </c>
      <c r="P156" s="20">
        <f t="shared" si="131"/>
        <v>4375</v>
      </c>
      <c r="Q156" s="20">
        <f t="shared" si="132"/>
        <v>4375</v>
      </c>
      <c r="R156" s="20"/>
      <c r="S156" s="20">
        <f t="shared" si="133"/>
        <v>35000</v>
      </c>
      <c r="T156" s="20"/>
      <c r="U156" s="22">
        <v>13</v>
      </c>
      <c r="V156" s="22">
        <v>2</v>
      </c>
      <c r="W156" s="22">
        <v>0</v>
      </c>
      <c r="X156" s="22">
        <f t="shared" si="134"/>
        <v>15</v>
      </c>
      <c r="Y156" s="20">
        <f t="shared" si="135"/>
        <v>17500</v>
      </c>
      <c r="Z156" s="42">
        <v>0</v>
      </c>
      <c r="AA156" s="20">
        <f t="shared" si="136"/>
        <v>17500</v>
      </c>
      <c r="AB156" s="20">
        <f t="shared" si="137"/>
        <v>7583.3333333333339</v>
      </c>
      <c r="AC156" s="20">
        <v>0</v>
      </c>
      <c r="AD156" s="20">
        <v>0</v>
      </c>
      <c r="AE156" s="20">
        <v>0</v>
      </c>
      <c r="AF156" s="20">
        <v>0</v>
      </c>
      <c r="AG156" s="20">
        <f t="shared" si="138"/>
        <v>200</v>
      </c>
      <c r="AH156" s="24"/>
      <c r="AI156" s="80">
        <v>0</v>
      </c>
      <c r="AJ156" s="24">
        <v>0</v>
      </c>
      <c r="AK156" s="24">
        <v>0</v>
      </c>
      <c r="AL156" s="24">
        <v>0</v>
      </c>
      <c r="AM156" s="25">
        <f t="shared" si="139"/>
        <v>0</v>
      </c>
      <c r="AN156" s="26">
        <f t="shared" si="140"/>
        <v>17300</v>
      </c>
      <c r="AO156" s="56"/>
      <c r="AP156" s="56"/>
      <c r="AQ156" s="51"/>
      <c r="AR156" s="56"/>
      <c r="AS156" s="56"/>
      <c r="AT156" s="57"/>
      <c r="AU156" s="58"/>
      <c r="AV156" s="53"/>
      <c r="AW156" s="54"/>
      <c r="AX156" s="51"/>
      <c r="AY156" s="51"/>
      <c r="AZ156" s="51"/>
      <c r="BA156" s="51"/>
      <c r="BC156" s="152">
        <f t="shared" si="141"/>
        <v>17500</v>
      </c>
    </row>
    <row r="157" spans="2:55" s="50" customFormat="1" ht="15" customHeight="1" x14ac:dyDescent="0.3">
      <c r="B157" s="162"/>
      <c r="C157" s="104"/>
      <c r="D157" s="161"/>
      <c r="E157" s="16"/>
      <c r="F157" s="104"/>
      <c r="G157" s="112"/>
      <c r="H157" s="30"/>
      <c r="I157" s="30"/>
      <c r="J157" s="41"/>
      <c r="K157" s="86"/>
      <c r="L157" s="30"/>
      <c r="M157" s="33"/>
      <c r="N157" s="20"/>
      <c r="O157" s="20"/>
      <c r="P157" s="20"/>
      <c r="Q157" s="20"/>
      <c r="R157" s="20"/>
      <c r="S157" s="20"/>
      <c r="T157" s="20"/>
      <c r="U157" s="22"/>
      <c r="V157" s="22"/>
      <c r="W157" s="22"/>
      <c r="X157" s="22">
        <f t="shared" ref="X157:X159" si="143">+U157+V157+W157</f>
        <v>0</v>
      </c>
      <c r="Y157" s="20">
        <f t="shared" ref="Y157:Y159" si="144">+M157/30*X157</f>
        <v>0</v>
      </c>
      <c r="Z157" s="42"/>
      <c r="AA157" s="20">
        <f t="shared" ref="AA157:AA159" si="145">+Y157+Z157</f>
        <v>0</v>
      </c>
      <c r="AB157" s="20">
        <f t="shared" ref="AB157:AB159" si="146">+(N157/30)*U157</f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f t="shared" ref="AG157:AG159" si="147">IF(AA157&gt;=12000,200,IF(AA157&gt;=9000,150,IF(AA157&gt;=6000,80,IF(AA157&gt;=3000,0,0))))</f>
        <v>0</v>
      </c>
      <c r="AH157" s="24"/>
      <c r="AI157" s="80">
        <v>0</v>
      </c>
      <c r="AJ157" s="24">
        <v>0</v>
      </c>
      <c r="AK157" s="24">
        <v>0</v>
      </c>
      <c r="AL157" s="24">
        <v>0</v>
      </c>
      <c r="AM157" s="25">
        <f t="shared" ref="AM157:AM159" si="148">SUM(AI157:AL157)</f>
        <v>0</v>
      </c>
      <c r="AN157" s="26">
        <f t="shared" ref="AN157:AN159" si="149">+AA157-(AC157+AE157+AG157+AH157+AI157+AJ157+AK157+AL157)</f>
        <v>0</v>
      </c>
      <c r="AO157" s="56"/>
      <c r="AP157" s="56"/>
      <c r="AQ157" s="51"/>
      <c r="AR157" s="56"/>
      <c r="AS157" s="56"/>
      <c r="AT157" s="57"/>
      <c r="AU157" s="58"/>
      <c r="AV157" s="53"/>
      <c r="AW157" s="54"/>
      <c r="AX157" s="51"/>
      <c r="AY157" s="51"/>
      <c r="AZ157" s="51"/>
      <c r="BA157" s="51"/>
      <c r="BC157" s="152">
        <f t="shared" ref="BC157:BC159" si="150">AC157+AE157+AG157+AN157</f>
        <v>0</v>
      </c>
    </row>
    <row r="158" spans="2:55" s="50" customFormat="1" ht="15" customHeight="1" x14ac:dyDescent="0.3">
      <c r="B158" s="162"/>
      <c r="C158" s="104"/>
      <c r="D158" s="161"/>
      <c r="E158" s="16"/>
      <c r="F158" s="104"/>
      <c r="G158" s="112"/>
      <c r="H158" s="30"/>
      <c r="I158" s="30"/>
      <c r="J158" s="41"/>
      <c r="K158" s="86"/>
      <c r="L158" s="30"/>
      <c r="M158" s="33"/>
      <c r="N158" s="20"/>
      <c r="O158" s="20"/>
      <c r="P158" s="20"/>
      <c r="Q158" s="20"/>
      <c r="R158" s="20"/>
      <c r="S158" s="20"/>
      <c r="T158" s="20"/>
      <c r="U158" s="22"/>
      <c r="V158" s="22"/>
      <c r="W158" s="22"/>
      <c r="X158" s="22">
        <f t="shared" si="143"/>
        <v>0</v>
      </c>
      <c r="Y158" s="20">
        <f t="shared" si="144"/>
        <v>0</v>
      </c>
      <c r="Z158" s="42"/>
      <c r="AA158" s="20">
        <f t="shared" si="145"/>
        <v>0</v>
      </c>
      <c r="AB158" s="20">
        <f t="shared" si="146"/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f t="shared" si="147"/>
        <v>0</v>
      </c>
      <c r="AH158" s="24"/>
      <c r="AI158" s="80">
        <v>0</v>
      </c>
      <c r="AJ158" s="24">
        <v>0</v>
      </c>
      <c r="AK158" s="24">
        <v>0</v>
      </c>
      <c r="AL158" s="24">
        <v>0</v>
      </c>
      <c r="AM158" s="25">
        <f t="shared" si="148"/>
        <v>0</v>
      </c>
      <c r="AN158" s="26">
        <f t="shared" si="149"/>
        <v>0</v>
      </c>
      <c r="AO158" s="56"/>
      <c r="AP158" s="56"/>
      <c r="AQ158" s="51"/>
      <c r="AR158" s="56"/>
      <c r="AS158" s="56"/>
      <c r="AT158" s="57"/>
      <c r="AU158" s="58"/>
      <c r="AV158" s="53"/>
      <c r="AW158" s="54"/>
      <c r="AX158" s="51"/>
      <c r="AY158" s="51"/>
      <c r="AZ158" s="51"/>
      <c r="BA158" s="51"/>
      <c r="BC158" s="152">
        <f t="shared" si="150"/>
        <v>0</v>
      </c>
    </row>
    <row r="159" spans="2:55" s="50" customFormat="1" ht="15" customHeight="1" x14ac:dyDescent="0.3">
      <c r="B159" s="162"/>
      <c r="C159" s="104"/>
      <c r="D159" s="161"/>
      <c r="E159" s="16"/>
      <c r="F159" s="104"/>
      <c r="G159" s="112"/>
      <c r="H159" s="30"/>
      <c r="I159" s="30"/>
      <c r="J159" s="41"/>
      <c r="K159" s="86"/>
      <c r="L159" s="30"/>
      <c r="M159" s="33"/>
      <c r="N159" s="20"/>
      <c r="O159" s="20"/>
      <c r="P159" s="20"/>
      <c r="Q159" s="20"/>
      <c r="R159" s="20"/>
      <c r="S159" s="20"/>
      <c r="T159" s="20"/>
      <c r="U159" s="22"/>
      <c r="V159" s="22"/>
      <c r="W159" s="22"/>
      <c r="X159" s="22">
        <f t="shared" si="143"/>
        <v>0</v>
      </c>
      <c r="Y159" s="20">
        <f t="shared" si="144"/>
        <v>0</v>
      </c>
      <c r="Z159" s="42"/>
      <c r="AA159" s="20">
        <f t="shared" si="145"/>
        <v>0</v>
      </c>
      <c r="AB159" s="20">
        <f t="shared" si="146"/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f t="shared" si="147"/>
        <v>0</v>
      </c>
      <c r="AH159" s="24"/>
      <c r="AI159" s="80">
        <v>0</v>
      </c>
      <c r="AJ159" s="24">
        <v>0</v>
      </c>
      <c r="AK159" s="24">
        <v>0</v>
      </c>
      <c r="AL159" s="24">
        <v>0</v>
      </c>
      <c r="AM159" s="25">
        <f t="shared" si="148"/>
        <v>0</v>
      </c>
      <c r="AN159" s="26">
        <f t="shared" si="149"/>
        <v>0</v>
      </c>
      <c r="AO159" s="56"/>
      <c r="AP159" s="56"/>
      <c r="AQ159" s="51"/>
      <c r="AR159" s="56"/>
      <c r="AS159" s="56"/>
      <c r="AT159" s="57"/>
      <c r="AU159" s="58"/>
      <c r="AV159" s="53"/>
      <c r="AW159" s="54"/>
      <c r="AX159" s="51"/>
      <c r="AY159" s="51"/>
      <c r="AZ159" s="51"/>
      <c r="BA159" s="51"/>
      <c r="BC159" s="152">
        <f t="shared" si="150"/>
        <v>0</v>
      </c>
    </row>
    <row r="160" spans="2:55" s="50" customFormat="1" ht="15" customHeight="1" thickBot="1" x14ac:dyDescent="0.3">
      <c r="B160" s="104"/>
      <c r="C160" s="104"/>
      <c r="D160" s="15"/>
      <c r="E160" s="16"/>
      <c r="F160" s="104"/>
      <c r="G160" s="112"/>
      <c r="H160" s="51"/>
      <c r="I160" s="51"/>
      <c r="J160" s="41"/>
      <c r="K160" s="86"/>
      <c r="L160" s="30"/>
      <c r="M160" s="33"/>
      <c r="N160" s="20"/>
      <c r="O160" s="20"/>
      <c r="P160" s="20"/>
      <c r="Q160" s="20"/>
      <c r="R160" s="20"/>
      <c r="S160" s="20"/>
      <c r="T160" s="20"/>
      <c r="U160" s="22"/>
      <c r="V160" s="22"/>
      <c r="W160" s="22"/>
      <c r="X160" s="22">
        <f t="shared" si="101"/>
        <v>0</v>
      </c>
      <c r="Y160" s="20">
        <f t="shared" ref="Y160" si="151">+M160/31*X160</f>
        <v>0</v>
      </c>
      <c r="Z160" s="42"/>
      <c r="AA160" s="20">
        <f t="shared" si="91"/>
        <v>0</v>
      </c>
      <c r="AB160" s="20">
        <f t="shared" ref="AB160:AB163" si="152">+(N160/31)*U160</f>
        <v>0</v>
      </c>
      <c r="AC160" s="20"/>
      <c r="AD160" s="20"/>
      <c r="AE160" s="20"/>
      <c r="AF160" s="20"/>
      <c r="AG160" s="20">
        <f t="shared" si="92"/>
        <v>0</v>
      </c>
      <c r="AH160" s="24"/>
      <c r="AI160" s="80"/>
      <c r="AJ160" s="24"/>
      <c r="AK160" s="24"/>
      <c r="AL160" s="24"/>
      <c r="AM160" s="25">
        <f t="shared" si="100"/>
        <v>0</v>
      </c>
      <c r="AN160" s="26">
        <f t="shared" ref="AN160" si="153">+AA160-(AC160+AE160+AG160+AH160+AI160+AJ160+AK160+AL160)</f>
        <v>0</v>
      </c>
      <c r="AO160" s="56"/>
      <c r="AP160" s="56"/>
      <c r="AQ160" s="51"/>
      <c r="AR160" s="56"/>
      <c r="AS160" s="56"/>
      <c r="AT160" s="57"/>
      <c r="AU160" s="58"/>
      <c r="AV160" s="53"/>
      <c r="AW160" s="54"/>
      <c r="AX160" s="51"/>
      <c r="AY160" s="51"/>
      <c r="AZ160" s="51"/>
      <c r="BA160" s="51"/>
      <c r="BC160" s="152">
        <f t="shared" si="104"/>
        <v>0</v>
      </c>
    </row>
    <row r="161" spans="2:56" ht="15" customHeight="1" thickBot="1" x14ac:dyDescent="0.3">
      <c r="B161" s="115"/>
      <c r="C161" s="116">
        <f>SUM(C19:C160)</f>
        <v>2864315</v>
      </c>
      <c r="D161" s="116">
        <f>SUM(D19:D160)</f>
        <v>5321750</v>
      </c>
      <c r="E161" s="30"/>
      <c r="F161" s="104"/>
      <c r="G161" s="146"/>
      <c r="H161" s="117"/>
      <c r="I161" s="118"/>
      <c r="J161" s="41"/>
      <c r="K161" s="119"/>
      <c r="L161" s="116"/>
      <c r="M161" s="116">
        <f t="shared" ref="M161:AN161" si="154">SUM(M19:M160)</f>
        <v>7481215</v>
      </c>
      <c r="N161" s="116">
        <f t="shared" si="154"/>
        <v>3766920</v>
      </c>
      <c r="O161" s="116">
        <f t="shared" si="154"/>
        <v>1857151</v>
      </c>
      <c r="P161" s="116">
        <f t="shared" si="154"/>
        <v>928583</v>
      </c>
      <c r="Q161" s="116">
        <f t="shared" si="154"/>
        <v>928583</v>
      </c>
      <c r="R161" s="116">
        <f t="shared" si="154"/>
        <v>0</v>
      </c>
      <c r="S161" s="116">
        <f t="shared" si="154"/>
        <v>7478237</v>
      </c>
      <c r="T161" s="116">
        <f t="shared" si="154"/>
        <v>0</v>
      </c>
      <c r="U161" s="116">
        <f t="shared" si="154"/>
        <v>3401</v>
      </c>
      <c r="V161" s="116">
        <f t="shared" si="154"/>
        <v>515</v>
      </c>
      <c r="W161" s="116">
        <f t="shared" si="154"/>
        <v>3.7309999999999999</v>
      </c>
      <c r="X161" s="116">
        <f t="shared" si="154"/>
        <v>3919.7310000000002</v>
      </c>
      <c r="Y161" s="116">
        <f t="shared" si="154"/>
        <v>7269647.0000000009</v>
      </c>
      <c r="Z161" s="116">
        <f t="shared" si="154"/>
        <v>25987</v>
      </c>
      <c r="AA161" s="116">
        <f t="shared" si="154"/>
        <v>7295634.0000000009</v>
      </c>
      <c r="AB161" s="116">
        <f t="shared" si="154"/>
        <v>3172022.3333333326</v>
      </c>
      <c r="AC161" s="116">
        <f t="shared" si="154"/>
        <v>0</v>
      </c>
      <c r="AD161" s="116">
        <f t="shared" si="154"/>
        <v>0</v>
      </c>
      <c r="AE161" s="116">
        <f t="shared" si="154"/>
        <v>0</v>
      </c>
      <c r="AF161" s="116">
        <f t="shared" si="154"/>
        <v>0</v>
      </c>
      <c r="AG161" s="116">
        <f t="shared" si="154"/>
        <v>27350</v>
      </c>
      <c r="AH161" s="116">
        <f t="shared" si="154"/>
        <v>169000</v>
      </c>
      <c r="AI161" s="116">
        <f t="shared" si="154"/>
        <v>2200</v>
      </c>
      <c r="AJ161" s="116">
        <f t="shared" si="154"/>
        <v>0</v>
      </c>
      <c r="AK161" s="116">
        <f t="shared" si="154"/>
        <v>0</v>
      </c>
      <c r="AL161" s="116">
        <f t="shared" si="154"/>
        <v>0</v>
      </c>
      <c r="AM161" s="116">
        <f t="shared" si="154"/>
        <v>2000</v>
      </c>
      <c r="AN161" s="116">
        <f t="shared" si="154"/>
        <v>7097084.0000000009</v>
      </c>
      <c r="AO161" s="61"/>
      <c r="AP161" s="62"/>
      <c r="AQ161" s="60"/>
      <c r="AR161" s="63"/>
      <c r="AS161" s="63"/>
      <c r="AT161" s="64"/>
      <c r="AU161" s="29"/>
      <c r="AV161" s="30"/>
      <c r="AW161" s="30"/>
      <c r="AX161" s="30"/>
      <c r="AY161" s="30"/>
      <c r="AZ161" s="30"/>
      <c r="BA161" s="30"/>
      <c r="BB161" s="116">
        <f>SUM(BB19:BB160)</f>
        <v>10000</v>
      </c>
      <c r="BC161" s="116">
        <f>SUM(BC19:BC160)</f>
        <v>7141434.0000000009</v>
      </c>
      <c r="BD161" s="116"/>
    </row>
    <row r="162" spans="2:56" ht="15" customHeight="1" x14ac:dyDescent="0.25">
      <c r="B162" s="113"/>
      <c r="C162" s="113"/>
      <c r="D162" s="107"/>
      <c r="E162" s="48"/>
      <c r="F162" s="113"/>
      <c r="G162" s="108"/>
      <c r="H162" s="107"/>
      <c r="I162" s="107"/>
      <c r="J162" s="41"/>
      <c r="K162" s="114"/>
      <c r="L162" s="107"/>
      <c r="M162" s="108"/>
      <c r="N162" s="108"/>
      <c r="O162" s="108"/>
      <c r="P162" s="108"/>
      <c r="Q162" s="108"/>
      <c r="R162" s="107"/>
      <c r="S162" s="107"/>
      <c r="T162" s="42"/>
      <c r="U162" s="107"/>
      <c r="V162" s="107"/>
      <c r="W162" s="107"/>
      <c r="X162" s="22">
        <f t="shared" si="101"/>
        <v>0</v>
      </c>
      <c r="Y162" s="107"/>
      <c r="Z162" s="42">
        <v>0</v>
      </c>
      <c r="AA162" s="107"/>
      <c r="AB162" s="20">
        <f t="shared" si="152"/>
        <v>0</v>
      </c>
      <c r="AC162" s="107"/>
      <c r="AD162" s="15"/>
      <c r="AE162" s="15"/>
      <c r="AF162" s="15"/>
      <c r="AG162" s="20">
        <f t="shared" si="92"/>
        <v>0</v>
      </c>
      <c r="AH162" s="135"/>
      <c r="AI162" s="65"/>
      <c r="AJ162" s="15"/>
      <c r="AK162" s="15"/>
      <c r="AL162" s="15"/>
      <c r="AM162" s="66"/>
      <c r="AN162" s="67"/>
      <c r="AO162" s="15"/>
      <c r="AP162" s="27"/>
      <c r="AQ162" s="60"/>
      <c r="AR162" s="15"/>
      <c r="AS162" s="15"/>
      <c r="AT162" s="15"/>
      <c r="AU162" s="29"/>
      <c r="AV162" s="21"/>
      <c r="AW162" s="30"/>
      <c r="AX162" s="30"/>
      <c r="AY162" s="30"/>
      <c r="AZ162" s="8"/>
      <c r="BA162" s="30"/>
      <c r="BC162" s="158">
        <f>AC162+AE162+AG162+AN162</f>
        <v>0</v>
      </c>
    </row>
    <row r="163" spans="2:56" s="68" customFormat="1" ht="15" customHeight="1" x14ac:dyDescent="0.25">
      <c r="B163" s="105"/>
      <c r="C163" s="105"/>
      <c r="D163" s="75">
        <f>+D10+D18+D161</f>
        <v>5578745</v>
      </c>
      <c r="E163" s="71"/>
      <c r="F163" s="105"/>
      <c r="G163" s="69"/>
      <c r="H163" s="72"/>
      <c r="I163" s="72"/>
      <c r="J163" s="75">
        <f>+J17+J9+J156</f>
        <v>149</v>
      </c>
      <c r="K163" s="89" t="s">
        <v>101</v>
      </c>
      <c r="L163" s="72" t="s">
        <v>20</v>
      </c>
      <c r="M163" s="75">
        <f t="shared" ref="M163:AA163" si="155">+M10+M18+M161</f>
        <v>7810965</v>
      </c>
      <c r="N163" s="75">
        <f t="shared" si="155"/>
        <v>3923420</v>
      </c>
      <c r="O163" s="75">
        <f t="shared" si="155"/>
        <v>1943776</v>
      </c>
      <c r="P163" s="75">
        <f t="shared" si="155"/>
        <v>971897</v>
      </c>
      <c r="Q163" s="75">
        <f t="shared" si="155"/>
        <v>971897</v>
      </c>
      <c r="R163" s="75">
        <f t="shared" si="155"/>
        <v>0</v>
      </c>
      <c r="S163" s="75">
        <f t="shared" si="155"/>
        <v>7807990</v>
      </c>
      <c r="T163" s="75">
        <f t="shared" si="155"/>
        <v>105000</v>
      </c>
      <c r="U163" s="75">
        <f t="shared" si="155"/>
        <v>3677</v>
      </c>
      <c r="V163" s="75">
        <f t="shared" si="155"/>
        <v>556</v>
      </c>
      <c r="W163" s="75">
        <f t="shared" si="155"/>
        <v>3.7309999999999999</v>
      </c>
      <c r="X163" s="75">
        <f t="shared" si="155"/>
        <v>4236.7309999999998</v>
      </c>
      <c r="Y163" s="75">
        <f t="shared" si="155"/>
        <v>7587538.6666666679</v>
      </c>
      <c r="Z163" s="75">
        <f t="shared" si="155"/>
        <v>31172</v>
      </c>
      <c r="AA163" s="75">
        <f t="shared" si="155"/>
        <v>7618710.6666666679</v>
      </c>
      <c r="AB163" s="20">
        <f t="shared" si="152"/>
        <v>465368236.77419358</v>
      </c>
      <c r="AC163" s="75">
        <f t="shared" ref="AC163:AO163" si="156">+AC10+AC18+AC161</f>
        <v>9001</v>
      </c>
      <c r="AD163" s="75">
        <f t="shared" si="156"/>
        <v>9751.0833333333339</v>
      </c>
      <c r="AE163" s="75">
        <f t="shared" si="156"/>
        <v>227</v>
      </c>
      <c r="AF163" s="75">
        <f t="shared" si="156"/>
        <v>982</v>
      </c>
      <c r="AG163" s="75">
        <f t="shared" si="156"/>
        <v>29550</v>
      </c>
      <c r="AH163" s="75">
        <f t="shared" si="156"/>
        <v>169000</v>
      </c>
      <c r="AI163" s="75">
        <f t="shared" si="156"/>
        <v>20200</v>
      </c>
      <c r="AJ163" s="75">
        <f t="shared" si="156"/>
        <v>0</v>
      </c>
      <c r="AK163" s="75">
        <f t="shared" si="156"/>
        <v>0</v>
      </c>
      <c r="AL163" s="75">
        <f t="shared" si="156"/>
        <v>0</v>
      </c>
      <c r="AM163" s="75">
        <f t="shared" si="156"/>
        <v>20000</v>
      </c>
      <c r="AN163" s="75">
        <f t="shared" si="156"/>
        <v>7390732.6666666679</v>
      </c>
      <c r="AO163" s="70">
        <f t="shared" si="156"/>
        <v>-13370.5</v>
      </c>
      <c r="AP163" s="73"/>
      <c r="AQ163" s="73"/>
      <c r="AR163" s="72"/>
      <c r="AS163" s="72"/>
      <c r="AT163" s="72"/>
      <c r="AU163" s="74"/>
      <c r="AV163" s="75"/>
      <c r="AW163" s="71"/>
      <c r="AX163" s="71"/>
      <c r="AY163" s="71"/>
      <c r="AZ163" s="71"/>
      <c r="BA163" s="71"/>
      <c r="BB163" s="75">
        <f>+BB10+BB18+BB161</f>
        <v>145632.33333333331</v>
      </c>
      <c r="BC163" s="75">
        <f>+BC10+BC18+BC161</f>
        <v>7446510.6666666679</v>
      </c>
    </row>
    <row r="164" spans="2:56" ht="15" customHeight="1" x14ac:dyDescent="0.2">
      <c r="B164" s="104"/>
      <c r="C164" s="104"/>
      <c r="D164" s="15"/>
      <c r="E164" s="30"/>
      <c r="F164" s="104"/>
      <c r="G164" s="21"/>
      <c r="H164" s="30"/>
      <c r="I164" s="30"/>
      <c r="J164" s="30"/>
      <c r="K164" s="88"/>
      <c r="L164" s="30"/>
      <c r="M164" s="21"/>
      <c r="N164" s="21"/>
      <c r="O164" s="21"/>
      <c r="P164" s="21"/>
      <c r="Q164" s="21"/>
      <c r="R164" s="30"/>
      <c r="S164" s="30"/>
      <c r="T164" s="30"/>
      <c r="U164" s="30"/>
      <c r="V164" s="30"/>
      <c r="W164" s="30"/>
      <c r="X164" s="22">
        <f t="shared" si="101"/>
        <v>0</v>
      </c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48"/>
      <c r="AJ164" s="48"/>
      <c r="AK164" s="48"/>
      <c r="AL164" s="48"/>
      <c r="AM164" s="48"/>
      <c r="AN164" s="30"/>
      <c r="AO164" s="30"/>
      <c r="AP164" s="30"/>
      <c r="AQ164" s="51"/>
      <c r="AR164" s="72"/>
      <c r="AS164" s="30"/>
      <c r="AT164" s="30"/>
      <c r="AU164" s="30"/>
      <c r="AV164" s="21"/>
      <c r="AW164" s="30"/>
      <c r="AX164" s="30"/>
      <c r="AY164" s="30"/>
      <c r="AZ164" s="30"/>
      <c r="BA164" s="30"/>
    </row>
    <row r="165" spans="2:56" ht="15.75" x14ac:dyDescent="0.25">
      <c r="D165" s="77"/>
      <c r="M165" s="111"/>
      <c r="Z165" s="31"/>
      <c r="AN165" s="26">
        <f t="shared" ref="AN165" si="157">+AA165-(AC165+AE165+AG165+AH165+AI165+AJ165+AK165+AL165)</f>
        <v>0</v>
      </c>
    </row>
    <row r="166" spans="2:56" ht="14.25" x14ac:dyDescent="0.2">
      <c r="D166" s="77"/>
    </row>
    <row r="167" spans="2:56" ht="15.75" customHeight="1" x14ac:dyDescent="0.2">
      <c r="D167" s="77"/>
      <c r="BC167" s="152">
        <f>AC167+AE167+AG167+AN167</f>
        <v>0</v>
      </c>
    </row>
    <row r="168" spans="2:56" ht="14.25" customHeight="1" x14ac:dyDescent="0.3">
      <c r="E168" s="176"/>
    </row>
    <row r="190" spans="12:13" x14ac:dyDescent="0.3">
      <c r="L190" s="30" t="s">
        <v>435</v>
      </c>
      <c r="M190" s="21">
        <v>50200</v>
      </c>
    </row>
    <row r="191" spans="12:13" x14ac:dyDescent="0.3">
      <c r="L191" s="30" t="s">
        <v>433</v>
      </c>
      <c r="M191" s="21">
        <v>60200</v>
      </c>
    </row>
    <row r="192" spans="12:13" x14ac:dyDescent="0.3">
      <c r="L192" s="30" t="s">
        <v>434</v>
      </c>
      <c r="M192" s="21">
        <v>50200</v>
      </c>
    </row>
    <row r="193" spans="5:31" x14ac:dyDescent="0.3">
      <c r="L193" s="30" t="s">
        <v>437</v>
      </c>
      <c r="M193" s="21">
        <v>85000</v>
      </c>
    </row>
    <row r="194" spans="5:31" x14ac:dyDescent="0.3">
      <c r="E194" s="16" t="s">
        <v>265</v>
      </c>
      <c r="L194" s="30" t="s">
        <v>442</v>
      </c>
      <c r="M194" s="21">
        <v>50200</v>
      </c>
    </row>
    <row r="198" spans="5:31" x14ac:dyDescent="0.3">
      <c r="AE198" s="14">
        <v>3.2323232323232303E+26</v>
      </c>
    </row>
  </sheetData>
  <autoFilter ref="A4:BC166" xr:uid="{00000000-0001-0000-0000-000000000000}"/>
  <mergeCells count="9">
    <mergeCell ref="G1:AO1"/>
    <mergeCell ref="G2:BA2"/>
    <mergeCell ref="N3:S3"/>
    <mergeCell ref="U3:X3"/>
    <mergeCell ref="Y3:AA3"/>
    <mergeCell ref="AC3:AH3"/>
    <mergeCell ref="AI3:AM3"/>
    <mergeCell ref="AP3:AT3"/>
    <mergeCell ref="AU3:BA3"/>
  </mergeCells>
  <phoneticPr fontId="15" type="noConversion"/>
  <conditionalFormatting sqref="L61">
    <cfRule type="duplicateValues" dxfId="3" priority="5"/>
    <cfRule type="duplicateValues" dxfId="2" priority="6"/>
  </conditionalFormatting>
  <pageMargins left="0.25" right="0.25" top="0.21" bottom="0.2" header="0.17" footer="0.18"/>
  <pageSetup paperSize="9" scale="62" fitToHeight="0" orientation="landscape" r:id="rId1"/>
  <ignoredErrors>
    <ignoredError sqref="BC30 BC35 BC52 X163" formula="1"/>
    <ignoredError sqref="I94" numberStoredAsText="1"/>
    <ignoredError sqref="AM26 AM30 AM33 AM35:AM36 AM40 AM52 AM62 AM66:AM67 AM71 AM81 AM87:AM91 AM103 AM31" formulaRange="1"/>
    <ignoredError sqref="AV22 AV2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8E9-F26A-4CBC-A72C-FE6BB8953AE8}">
  <dimension ref="A5:XEP17"/>
  <sheetViews>
    <sheetView zoomScale="85" zoomScaleNormal="85" workbookViewId="0">
      <selection activeCell="I10" sqref="I10"/>
    </sheetView>
  </sheetViews>
  <sheetFormatPr defaultRowHeight="14.25" x14ac:dyDescent="0.2"/>
  <cols>
    <col min="1" max="1" width="9.140625" style="1"/>
    <col min="2" max="4" width="9.140625" style="1" hidden="1" customWidth="1"/>
    <col min="5" max="6" width="0" style="1" hidden="1" customWidth="1"/>
    <col min="7" max="7" width="16" style="1" customWidth="1"/>
    <col min="8" max="8" width="20.7109375" style="1" customWidth="1"/>
    <col min="9" max="9" width="13.5703125" style="1" customWidth="1"/>
    <col min="10" max="10" width="12.85546875" style="1" customWidth="1"/>
    <col min="11" max="11" width="13.7109375" style="1" customWidth="1"/>
    <col min="12" max="12" width="22.7109375" style="1" customWidth="1"/>
    <col min="13" max="13" width="18.7109375" style="1" customWidth="1"/>
    <col min="14" max="14" width="47.85546875" style="1" customWidth="1"/>
    <col min="15" max="39" width="9.140625" style="1"/>
    <col min="40" max="58" width="9.140625" style="1" customWidth="1"/>
    <col min="59" max="263" width="9.140625" style="1"/>
    <col min="264" max="264" width="21.85546875" style="1" customWidth="1"/>
    <col min="265" max="265" width="10.5703125" style="1" customWidth="1"/>
    <col min="266" max="267" width="9.140625" style="1"/>
    <col min="268" max="268" width="9" style="1" customWidth="1"/>
    <col min="269" max="269" width="28.85546875" style="1" customWidth="1"/>
    <col min="270" max="270" width="47.85546875" style="1" customWidth="1"/>
    <col min="271" max="295" width="9.140625" style="1"/>
    <col min="296" max="314" width="0" style="1" hidden="1" customWidth="1"/>
    <col min="315" max="429" width="9.140625" style="1"/>
    <col min="430" max="430" width="9" style="1" customWidth="1"/>
    <col min="431" max="431" width="28.85546875" style="1" customWidth="1"/>
    <col min="432" max="432" width="47.85546875" style="1" customWidth="1"/>
    <col min="433" max="457" width="9.140625" style="1"/>
    <col min="458" max="476" width="0" style="1" hidden="1" customWidth="1"/>
    <col min="477" max="681" width="9.140625" style="1"/>
    <col min="682" max="682" width="21.85546875" style="1" customWidth="1"/>
    <col min="683" max="683" width="10.5703125" style="1" customWidth="1"/>
    <col min="684" max="685" width="9.140625" style="1"/>
    <col min="686" max="686" width="9" style="1" customWidth="1"/>
    <col min="687" max="687" width="28.85546875" style="1" customWidth="1"/>
    <col min="688" max="688" width="47.85546875" style="1" customWidth="1"/>
    <col min="689" max="713" width="9.140625" style="1"/>
    <col min="714" max="732" width="0" style="1" hidden="1" customWidth="1"/>
    <col min="733" max="937" width="9.140625" style="1"/>
    <col min="938" max="938" width="21.85546875" style="1" customWidth="1"/>
    <col min="939" max="939" width="10.5703125" style="1" customWidth="1"/>
    <col min="940" max="941" width="9.140625" style="1"/>
    <col min="942" max="942" width="9" style="1" customWidth="1"/>
    <col min="943" max="943" width="28.85546875" style="1" customWidth="1"/>
    <col min="944" max="944" width="47.85546875" style="1" customWidth="1"/>
    <col min="945" max="969" width="9.140625" style="1"/>
    <col min="970" max="988" width="0" style="1" hidden="1" customWidth="1"/>
    <col min="989" max="1193" width="9.140625" style="1"/>
    <col min="1194" max="1194" width="21.85546875" style="1" customWidth="1"/>
    <col min="1195" max="1195" width="10.5703125" style="1" customWidth="1"/>
    <col min="1196" max="1197" width="9.140625" style="1"/>
    <col min="1198" max="1198" width="9" style="1" customWidth="1"/>
    <col min="1199" max="1199" width="28.85546875" style="1" customWidth="1"/>
    <col min="1200" max="1200" width="47.85546875" style="1" customWidth="1"/>
    <col min="1201" max="1225" width="9.140625" style="1"/>
    <col min="1226" max="1244" width="0" style="1" hidden="1" customWidth="1"/>
    <col min="1245" max="1449" width="9.140625" style="1"/>
    <col min="1450" max="1450" width="21.85546875" style="1" customWidth="1"/>
    <col min="1451" max="1451" width="10.5703125" style="1" customWidth="1"/>
    <col min="1452" max="1453" width="9.140625" style="1"/>
    <col min="1454" max="1454" width="9" style="1" customWidth="1"/>
    <col min="1455" max="1455" width="28.85546875" style="1" customWidth="1"/>
    <col min="1456" max="1456" width="47.85546875" style="1" customWidth="1"/>
    <col min="1457" max="1481" width="9.140625" style="1"/>
    <col min="1482" max="1500" width="0" style="1" hidden="1" customWidth="1"/>
    <col min="1501" max="1705" width="9.140625" style="1"/>
    <col min="1706" max="1706" width="21.85546875" style="1" customWidth="1"/>
    <col min="1707" max="1707" width="10.5703125" style="1" customWidth="1"/>
    <col min="1708" max="1709" width="9.140625" style="1"/>
    <col min="1710" max="1710" width="9" style="1" customWidth="1"/>
    <col min="1711" max="1711" width="28.85546875" style="1" customWidth="1"/>
    <col min="1712" max="1712" width="47.85546875" style="1" customWidth="1"/>
    <col min="1713" max="1737" width="9.140625" style="1"/>
    <col min="1738" max="1756" width="0" style="1" hidden="1" customWidth="1"/>
    <col min="1757" max="1961" width="9.140625" style="1"/>
    <col min="1962" max="1962" width="21.85546875" style="1" customWidth="1"/>
    <col min="1963" max="1963" width="10.5703125" style="1" customWidth="1"/>
    <col min="1964" max="1965" width="9.140625" style="1"/>
    <col min="1966" max="1966" width="9" style="1" customWidth="1"/>
    <col min="1967" max="1967" width="28.85546875" style="1" customWidth="1"/>
    <col min="1968" max="1968" width="47.85546875" style="1" customWidth="1"/>
    <col min="1969" max="1993" width="9.140625" style="1"/>
    <col min="1994" max="2012" width="0" style="1" hidden="1" customWidth="1"/>
    <col min="2013" max="2217" width="9.140625" style="1"/>
    <col min="2218" max="2218" width="21.85546875" style="1" customWidth="1"/>
    <col min="2219" max="2219" width="10.5703125" style="1" customWidth="1"/>
    <col min="2220" max="2221" width="9.140625" style="1"/>
    <col min="2222" max="2222" width="9" style="1" customWidth="1"/>
    <col min="2223" max="2223" width="28.85546875" style="1" customWidth="1"/>
    <col min="2224" max="2224" width="47.85546875" style="1" customWidth="1"/>
    <col min="2225" max="2249" width="9.140625" style="1"/>
    <col min="2250" max="2268" width="0" style="1" hidden="1" customWidth="1"/>
    <col min="2269" max="2473" width="9.140625" style="1"/>
    <col min="2474" max="2474" width="21.85546875" style="1" customWidth="1"/>
    <col min="2475" max="2475" width="10.5703125" style="1" customWidth="1"/>
    <col min="2476" max="2477" width="9.140625" style="1"/>
    <col min="2478" max="2478" width="9" style="1" customWidth="1"/>
    <col min="2479" max="2479" width="28.85546875" style="1" customWidth="1"/>
    <col min="2480" max="2480" width="47.85546875" style="1" customWidth="1"/>
    <col min="2481" max="2505" width="9.140625" style="1"/>
    <col min="2506" max="2524" width="0" style="1" hidden="1" customWidth="1"/>
    <col min="2525" max="2729" width="9.140625" style="1"/>
    <col min="2730" max="2730" width="21.85546875" style="1" customWidth="1"/>
    <col min="2731" max="2731" width="10.5703125" style="1" customWidth="1"/>
    <col min="2732" max="2733" width="9.140625" style="1"/>
    <col min="2734" max="2734" width="9" style="1" customWidth="1"/>
    <col min="2735" max="2735" width="28.85546875" style="1" customWidth="1"/>
    <col min="2736" max="2736" width="47.85546875" style="1" customWidth="1"/>
    <col min="2737" max="2761" width="9.140625" style="1"/>
    <col min="2762" max="2780" width="0" style="1" hidden="1" customWidth="1"/>
    <col min="2781" max="2985" width="9.140625" style="1"/>
    <col min="2986" max="2986" width="21.85546875" style="1" customWidth="1"/>
    <col min="2987" max="2987" width="10.5703125" style="1" customWidth="1"/>
    <col min="2988" max="2989" width="9.140625" style="1"/>
    <col min="2990" max="2990" width="9" style="1" customWidth="1"/>
    <col min="2991" max="2991" width="28.85546875" style="1" customWidth="1"/>
    <col min="2992" max="2992" width="47.85546875" style="1" customWidth="1"/>
    <col min="2993" max="3017" width="9.140625" style="1"/>
    <col min="3018" max="3036" width="0" style="1" hidden="1" customWidth="1"/>
    <col min="3037" max="3241" width="9.140625" style="1"/>
    <col min="3242" max="3242" width="21.85546875" style="1" customWidth="1"/>
    <col min="3243" max="3243" width="10.5703125" style="1" customWidth="1"/>
    <col min="3244" max="3245" width="9.140625" style="1"/>
    <col min="3246" max="3246" width="9" style="1" customWidth="1"/>
    <col min="3247" max="3247" width="28.85546875" style="1" customWidth="1"/>
    <col min="3248" max="3248" width="47.85546875" style="1" customWidth="1"/>
    <col min="3249" max="3273" width="9.140625" style="1"/>
    <col min="3274" max="3292" width="0" style="1" hidden="1" customWidth="1"/>
    <col min="3293" max="3497" width="9.140625" style="1"/>
    <col min="3498" max="3498" width="21.85546875" style="1" customWidth="1"/>
    <col min="3499" max="3499" width="10.5703125" style="1" customWidth="1"/>
    <col min="3500" max="3501" width="9.140625" style="1"/>
    <col min="3502" max="3502" width="9" style="1" customWidth="1"/>
    <col min="3503" max="3503" width="28.85546875" style="1" customWidth="1"/>
    <col min="3504" max="3504" width="47.85546875" style="1" customWidth="1"/>
    <col min="3505" max="3529" width="9.140625" style="1"/>
    <col min="3530" max="3548" width="0" style="1" hidden="1" customWidth="1"/>
    <col min="3549" max="3753" width="9.140625" style="1"/>
    <col min="3754" max="3754" width="21.85546875" style="1" customWidth="1"/>
    <col min="3755" max="3755" width="10.5703125" style="1" customWidth="1"/>
    <col min="3756" max="3757" width="9.140625" style="1"/>
    <col min="3758" max="3758" width="9" style="1" customWidth="1"/>
    <col min="3759" max="3759" width="28.85546875" style="1" customWidth="1"/>
    <col min="3760" max="3760" width="47.85546875" style="1" customWidth="1"/>
    <col min="3761" max="3785" width="9.140625" style="1"/>
    <col min="3786" max="3804" width="0" style="1" hidden="1" customWidth="1"/>
    <col min="3805" max="4009" width="9.140625" style="1"/>
    <col min="4010" max="4010" width="21.85546875" style="1" customWidth="1"/>
    <col min="4011" max="4011" width="10.5703125" style="1" customWidth="1"/>
    <col min="4012" max="4013" width="9.140625" style="1"/>
    <col min="4014" max="4014" width="9" style="1" customWidth="1"/>
    <col min="4015" max="4015" width="28.85546875" style="1" customWidth="1"/>
    <col min="4016" max="4016" width="47.85546875" style="1" customWidth="1"/>
    <col min="4017" max="4041" width="9.140625" style="1"/>
    <col min="4042" max="4060" width="0" style="1" hidden="1" customWidth="1"/>
    <col min="4061" max="4265" width="9.140625" style="1"/>
    <col min="4266" max="4266" width="21.85546875" style="1" customWidth="1"/>
    <col min="4267" max="4267" width="10.5703125" style="1" customWidth="1"/>
    <col min="4268" max="4269" width="9.140625" style="1"/>
    <col min="4270" max="4270" width="9" style="1" customWidth="1"/>
    <col min="4271" max="4271" width="28.85546875" style="1" customWidth="1"/>
    <col min="4272" max="4272" width="47.85546875" style="1" customWidth="1"/>
    <col min="4273" max="4297" width="9.140625" style="1"/>
    <col min="4298" max="4316" width="0" style="1" hidden="1" customWidth="1"/>
    <col min="4317" max="4521" width="9.140625" style="1"/>
    <col min="4522" max="4522" width="21.85546875" style="1" customWidth="1"/>
    <col min="4523" max="4523" width="10.5703125" style="1" customWidth="1"/>
    <col min="4524" max="4525" width="9.140625" style="1"/>
    <col min="4526" max="4526" width="9" style="1" customWidth="1"/>
    <col min="4527" max="4527" width="28.85546875" style="1" customWidth="1"/>
    <col min="4528" max="4528" width="47.85546875" style="1" customWidth="1"/>
    <col min="4529" max="4553" width="9.140625" style="1"/>
    <col min="4554" max="4572" width="0" style="1" hidden="1" customWidth="1"/>
    <col min="4573" max="4777" width="9.140625" style="1"/>
    <col min="4778" max="4778" width="21.85546875" style="1" customWidth="1"/>
    <col min="4779" max="4779" width="10.5703125" style="1" customWidth="1"/>
    <col min="4780" max="4781" width="9.140625" style="1"/>
    <col min="4782" max="4782" width="9" style="1" customWidth="1"/>
    <col min="4783" max="4783" width="28.85546875" style="1" customWidth="1"/>
    <col min="4784" max="4784" width="47.85546875" style="1" customWidth="1"/>
    <col min="4785" max="4809" width="9.140625" style="1"/>
    <col min="4810" max="4828" width="0" style="1" hidden="1" customWidth="1"/>
    <col min="4829" max="5033" width="9.140625" style="1"/>
    <col min="5034" max="5034" width="21.85546875" style="1" customWidth="1"/>
    <col min="5035" max="5035" width="10.5703125" style="1" customWidth="1"/>
    <col min="5036" max="5037" width="9.140625" style="1"/>
    <col min="5038" max="5038" width="9" style="1" customWidth="1"/>
    <col min="5039" max="5039" width="28.85546875" style="1" customWidth="1"/>
    <col min="5040" max="5040" width="47.85546875" style="1" customWidth="1"/>
    <col min="5041" max="5065" width="9.140625" style="1"/>
    <col min="5066" max="5084" width="0" style="1" hidden="1" customWidth="1"/>
    <col min="5085" max="5289" width="9.140625" style="1"/>
    <col min="5290" max="5290" width="21.85546875" style="1" customWidth="1"/>
    <col min="5291" max="5291" width="10.5703125" style="1" customWidth="1"/>
    <col min="5292" max="5293" width="9.140625" style="1"/>
    <col min="5294" max="5294" width="9" style="1" customWidth="1"/>
    <col min="5295" max="5295" width="28.85546875" style="1" customWidth="1"/>
    <col min="5296" max="5296" width="47.85546875" style="1" customWidth="1"/>
    <col min="5297" max="5321" width="9.140625" style="1"/>
    <col min="5322" max="5340" width="0" style="1" hidden="1" customWidth="1"/>
    <col min="5341" max="5545" width="9.140625" style="1"/>
    <col min="5546" max="5546" width="21.85546875" style="1" customWidth="1"/>
    <col min="5547" max="5547" width="10.5703125" style="1" customWidth="1"/>
    <col min="5548" max="5549" width="9.140625" style="1"/>
    <col min="5550" max="5550" width="9" style="1" customWidth="1"/>
    <col min="5551" max="5551" width="28.85546875" style="1" customWidth="1"/>
    <col min="5552" max="5552" width="47.85546875" style="1" customWidth="1"/>
    <col min="5553" max="5577" width="9.140625" style="1"/>
    <col min="5578" max="5596" width="0" style="1" hidden="1" customWidth="1"/>
    <col min="5597" max="5801" width="9.140625" style="1"/>
    <col min="5802" max="5802" width="21.85546875" style="1" customWidth="1"/>
    <col min="5803" max="5803" width="10.5703125" style="1" customWidth="1"/>
    <col min="5804" max="5805" width="9.140625" style="1"/>
    <col min="5806" max="5806" width="9" style="1" customWidth="1"/>
    <col min="5807" max="5807" width="28.85546875" style="1" customWidth="1"/>
    <col min="5808" max="5808" width="47.85546875" style="1" customWidth="1"/>
    <col min="5809" max="5833" width="9.140625" style="1"/>
    <col min="5834" max="5852" width="0" style="1" hidden="1" customWidth="1"/>
    <col min="5853" max="6057" width="9.140625" style="1"/>
    <col min="6058" max="6058" width="21.85546875" style="1" customWidth="1"/>
    <col min="6059" max="6059" width="10.5703125" style="1" customWidth="1"/>
    <col min="6060" max="6061" width="9.140625" style="1"/>
    <col min="6062" max="6062" width="9" style="1" customWidth="1"/>
    <col min="6063" max="6063" width="28.85546875" style="1" customWidth="1"/>
    <col min="6064" max="6064" width="47.85546875" style="1" customWidth="1"/>
    <col min="6065" max="6089" width="9.140625" style="1"/>
    <col min="6090" max="6108" width="0" style="1" hidden="1" customWidth="1"/>
    <col min="6109" max="6313" width="9.140625" style="1"/>
    <col min="6314" max="6314" width="21.85546875" style="1" customWidth="1"/>
    <col min="6315" max="6315" width="10.5703125" style="1" customWidth="1"/>
    <col min="6316" max="6317" width="9.140625" style="1"/>
    <col min="6318" max="6318" width="9" style="1" customWidth="1"/>
    <col min="6319" max="6319" width="28.85546875" style="1" customWidth="1"/>
    <col min="6320" max="6320" width="47.85546875" style="1" customWidth="1"/>
    <col min="6321" max="6345" width="9.140625" style="1"/>
    <col min="6346" max="6364" width="0" style="1" hidden="1" customWidth="1"/>
    <col min="6365" max="6569" width="9.140625" style="1"/>
    <col min="6570" max="6570" width="21.85546875" style="1" customWidth="1"/>
    <col min="6571" max="6571" width="10.5703125" style="1" customWidth="1"/>
    <col min="6572" max="6573" width="9.140625" style="1"/>
    <col min="6574" max="6574" width="9" style="1" customWidth="1"/>
    <col min="6575" max="6575" width="28.85546875" style="1" customWidth="1"/>
    <col min="6576" max="6576" width="47.85546875" style="1" customWidth="1"/>
    <col min="6577" max="6601" width="9.140625" style="1"/>
    <col min="6602" max="6620" width="0" style="1" hidden="1" customWidth="1"/>
    <col min="6621" max="6825" width="9.140625" style="1"/>
    <col min="6826" max="6826" width="21.85546875" style="1" customWidth="1"/>
    <col min="6827" max="6827" width="10.5703125" style="1" customWidth="1"/>
    <col min="6828" max="6829" width="9.140625" style="1"/>
    <col min="6830" max="6830" width="9" style="1" customWidth="1"/>
    <col min="6831" max="6831" width="28.85546875" style="1" customWidth="1"/>
    <col min="6832" max="6832" width="47.85546875" style="1" customWidth="1"/>
    <col min="6833" max="6857" width="9.140625" style="1"/>
    <col min="6858" max="6876" width="0" style="1" hidden="1" customWidth="1"/>
    <col min="6877" max="7081" width="9.140625" style="1"/>
    <col min="7082" max="7082" width="21.85546875" style="1" customWidth="1"/>
    <col min="7083" max="7083" width="10.5703125" style="1" customWidth="1"/>
    <col min="7084" max="7085" width="9.140625" style="1"/>
    <col min="7086" max="7086" width="9" style="1" customWidth="1"/>
    <col min="7087" max="7087" width="28.85546875" style="1" customWidth="1"/>
    <col min="7088" max="7088" width="47.85546875" style="1" customWidth="1"/>
    <col min="7089" max="7113" width="9.140625" style="1"/>
    <col min="7114" max="7132" width="0" style="1" hidden="1" customWidth="1"/>
    <col min="7133" max="7337" width="9.140625" style="1"/>
    <col min="7338" max="7338" width="21.85546875" style="1" customWidth="1"/>
    <col min="7339" max="7339" width="10.5703125" style="1" customWidth="1"/>
    <col min="7340" max="7341" width="9.140625" style="1"/>
    <col min="7342" max="7342" width="9" style="1" customWidth="1"/>
    <col min="7343" max="7343" width="28.85546875" style="1" customWidth="1"/>
    <col min="7344" max="7344" width="47.85546875" style="1" customWidth="1"/>
    <col min="7345" max="7369" width="9.140625" style="1"/>
    <col min="7370" max="7388" width="0" style="1" hidden="1" customWidth="1"/>
    <col min="7389" max="7593" width="9.140625" style="1"/>
    <col min="7594" max="7594" width="21.85546875" style="1" customWidth="1"/>
    <col min="7595" max="7595" width="10.5703125" style="1" customWidth="1"/>
    <col min="7596" max="7597" width="9.140625" style="1"/>
    <col min="7598" max="7598" width="9" style="1" customWidth="1"/>
    <col min="7599" max="7599" width="28.85546875" style="1" customWidth="1"/>
    <col min="7600" max="7600" width="47.85546875" style="1" customWidth="1"/>
    <col min="7601" max="7625" width="9.140625" style="1"/>
    <col min="7626" max="7644" width="0" style="1" hidden="1" customWidth="1"/>
    <col min="7645" max="7849" width="9.140625" style="1"/>
    <col min="7850" max="7850" width="21.85546875" style="1" customWidth="1"/>
    <col min="7851" max="7851" width="10.5703125" style="1" customWidth="1"/>
    <col min="7852" max="7853" width="9.140625" style="1"/>
    <col min="7854" max="7854" width="9" style="1" customWidth="1"/>
    <col min="7855" max="7855" width="28.85546875" style="1" customWidth="1"/>
    <col min="7856" max="7856" width="47.85546875" style="1" customWidth="1"/>
    <col min="7857" max="7881" width="9.140625" style="1"/>
    <col min="7882" max="7900" width="0" style="1" hidden="1" customWidth="1"/>
    <col min="7901" max="8105" width="9.140625" style="1"/>
    <col min="8106" max="8106" width="21.85546875" style="1" customWidth="1"/>
    <col min="8107" max="8107" width="10.5703125" style="1" customWidth="1"/>
    <col min="8108" max="8109" width="9.140625" style="1"/>
    <col min="8110" max="8110" width="9" style="1" customWidth="1"/>
    <col min="8111" max="8111" width="28.85546875" style="1" customWidth="1"/>
    <col min="8112" max="8112" width="47.85546875" style="1" customWidth="1"/>
    <col min="8113" max="8137" width="9.140625" style="1"/>
    <col min="8138" max="8156" width="0" style="1" hidden="1" customWidth="1"/>
    <col min="8157" max="8361" width="9.140625" style="1"/>
    <col min="8362" max="8362" width="21.85546875" style="1" customWidth="1"/>
    <col min="8363" max="8363" width="10.5703125" style="1" customWidth="1"/>
    <col min="8364" max="8365" width="9.140625" style="1"/>
    <col min="8366" max="8366" width="9" style="1" customWidth="1"/>
    <col min="8367" max="8367" width="28.85546875" style="1" customWidth="1"/>
    <col min="8368" max="8368" width="47.85546875" style="1" customWidth="1"/>
    <col min="8369" max="8393" width="9.140625" style="1"/>
    <col min="8394" max="8412" width="0" style="1" hidden="1" customWidth="1"/>
    <col min="8413" max="8617" width="9.140625" style="1"/>
    <col min="8618" max="8618" width="21.85546875" style="1" customWidth="1"/>
    <col min="8619" max="8619" width="10.5703125" style="1" customWidth="1"/>
    <col min="8620" max="8621" width="9.140625" style="1"/>
    <col min="8622" max="8622" width="9" style="1" customWidth="1"/>
    <col min="8623" max="8623" width="28.85546875" style="1" customWidth="1"/>
    <col min="8624" max="8624" width="47.85546875" style="1" customWidth="1"/>
    <col min="8625" max="8649" width="9.140625" style="1"/>
    <col min="8650" max="8668" width="0" style="1" hidden="1" customWidth="1"/>
    <col min="8669" max="8873" width="9.140625" style="1"/>
    <col min="8874" max="8874" width="21.85546875" style="1" customWidth="1"/>
    <col min="8875" max="8875" width="10.5703125" style="1" customWidth="1"/>
    <col min="8876" max="8877" width="9.140625" style="1"/>
    <col min="8878" max="8878" width="9" style="1" customWidth="1"/>
    <col min="8879" max="8879" width="28.85546875" style="1" customWidth="1"/>
    <col min="8880" max="8880" width="47.85546875" style="1" customWidth="1"/>
    <col min="8881" max="8905" width="9.140625" style="1"/>
    <col min="8906" max="8924" width="0" style="1" hidden="1" customWidth="1"/>
    <col min="8925" max="9129" width="9.140625" style="1"/>
    <col min="9130" max="9130" width="21.85546875" style="1" customWidth="1"/>
    <col min="9131" max="9131" width="10.5703125" style="1" customWidth="1"/>
    <col min="9132" max="9133" width="9.140625" style="1"/>
    <col min="9134" max="9134" width="9" style="1" customWidth="1"/>
    <col min="9135" max="9135" width="28.85546875" style="1" customWidth="1"/>
    <col min="9136" max="9136" width="47.85546875" style="1" customWidth="1"/>
    <col min="9137" max="9161" width="9.140625" style="1"/>
    <col min="9162" max="9180" width="0" style="1" hidden="1" customWidth="1"/>
    <col min="9181" max="9385" width="9.140625" style="1"/>
    <col min="9386" max="9386" width="21.85546875" style="1" customWidth="1"/>
    <col min="9387" max="9387" width="10.5703125" style="1" customWidth="1"/>
    <col min="9388" max="9389" width="9.140625" style="1"/>
    <col min="9390" max="9390" width="9" style="1" customWidth="1"/>
    <col min="9391" max="9391" width="28.85546875" style="1" customWidth="1"/>
    <col min="9392" max="9392" width="47.85546875" style="1" customWidth="1"/>
    <col min="9393" max="9417" width="9.140625" style="1"/>
    <col min="9418" max="9436" width="0" style="1" hidden="1" customWidth="1"/>
    <col min="9437" max="9641" width="9.140625" style="1"/>
    <col min="9642" max="9642" width="21.85546875" style="1" customWidth="1"/>
    <col min="9643" max="9643" width="10.5703125" style="1" customWidth="1"/>
    <col min="9644" max="9645" width="9.140625" style="1"/>
    <col min="9646" max="9646" width="9" style="1" customWidth="1"/>
    <col min="9647" max="9647" width="28.85546875" style="1" customWidth="1"/>
    <col min="9648" max="9648" width="47.85546875" style="1" customWidth="1"/>
    <col min="9649" max="9673" width="9.140625" style="1"/>
    <col min="9674" max="9692" width="0" style="1" hidden="1" customWidth="1"/>
    <col min="9693" max="9897" width="9.140625" style="1"/>
    <col min="9898" max="9898" width="21.85546875" style="1" customWidth="1"/>
    <col min="9899" max="9899" width="10.5703125" style="1" customWidth="1"/>
    <col min="9900" max="9901" width="9.140625" style="1"/>
    <col min="9902" max="9902" width="9" style="1" customWidth="1"/>
    <col min="9903" max="9903" width="28.85546875" style="1" customWidth="1"/>
    <col min="9904" max="9904" width="47.85546875" style="1" customWidth="1"/>
    <col min="9905" max="9929" width="9.140625" style="1"/>
    <col min="9930" max="9948" width="0" style="1" hidden="1" customWidth="1"/>
    <col min="9949" max="10153" width="9.140625" style="1"/>
    <col min="10154" max="10154" width="21.85546875" style="1" customWidth="1"/>
    <col min="10155" max="10155" width="10.5703125" style="1" customWidth="1"/>
    <col min="10156" max="10157" width="9.140625" style="1"/>
    <col min="10158" max="10158" width="9" style="1" customWidth="1"/>
    <col min="10159" max="10159" width="28.85546875" style="1" customWidth="1"/>
    <col min="10160" max="10160" width="47.85546875" style="1" customWidth="1"/>
    <col min="10161" max="10185" width="9.140625" style="1"/>
    <col min="10186" max="10204" width="0" style="1" hidden="1" customWidth="1"/>
    <col min="10205" max="10409" width="9.140625" style="1"/>
    <col min="10410" max="10410" width="21.85546875" style="1" customWidth="1"/>
    <col min="10411" max="10411" width="10.5703125" style="1" customWidth="1"/>
    <col min="10412" max="10413" width="9.140625" style="1"/>
    <col min="10414" max="10414" width="9" style="1" customWidth="1"/>
    <col min="10415" max="10415" width="28.85546875" style="1" customWidth="1"/>
    <col min="10416" max="10416" width="47.85546875" style="1" customWidth="1"/>
    <col min="10417" max="10441" width="9.140625" style="1"/>
    <col min="10442" max="10460" width="0" style="1" hidden="1" customWidth="1"/>
    <col min="10461" max="10665" width="9.140625" style="1"/>
    <col min="10666" max="10666" width="21.85546875" style="1" customWidth="1"/>
    <col min="10667" max="10667" width="10.5703125" style="1" customWidth="1"/>
    <col min="10668" max="10669" width="9.140625" style="1"/>
    <col min="10670" max="10670" width="9" style="1" customWidth="1"/>
    <col min="10671" max="10671" width="28.85546875" style="1" customWidth="1"/>
    <col min="10672" max="10672" width="47.85546875" style="1" customWidth="1"/>
    <col min="10673" max="10697" width="9.140625" style="1"/>
    <col min="10698" max="10716" width="0" style="1" hidden="1" customWidth="1"/>
    <col min="10717" max="10921" width="9.140625" style="1"/>
    <col min="10922" max="10922" width="21.85546875" style="1" customWidth="1"/>
    <col min="10923" max="10923" width="10.5703125" style="1" customWidth="1"/>
    <col min="10924" max="10925" width="9.140625" style="1"/>
    <col min="10926" max="10926" width="9" style="1" customWidth="1"/>
    <col min="10927" max="10927" width="28.85546875" style="1" customWidth="1"/>
    <col min="10928" max="10928" width="47.85546875" style="1" customWidth="1"/>
    <col min="10929" max="10953" width="9.140625" style="1"/>
    <col min="10954" max="10972" width="0" style="1" hidden="1" customWidth="1"/>
    <col min="10973" max="11177" width="9.140625" style="1"/>
    <col min="11178" max="11178" width="21.85546875" style="1" customWidth="1"/>
    <col min="11179" max="11179" width="10.5703125" style="1" customWidth="1"/>
    <col min="11180" max="11181" width="9.140625" style="1"/>
    <col min="11182" max="11182" width="9" style="1" customWidth="1"/>
    <col min="11183" max="11183" width="28.85546875" style="1" customWidth="1"/>
    <col min="11184" max="11184" width="47.85546875" style="1" customWidth="1"/>
    <col min="11185" max="11209" width="9.140625" style="1"/>
    <col min="11210" max="11228" width="0" style="1" hidden="1" customWidth="1"/>
    <col min="11229" max="11433" width="9.140625" style="1"/>
    <col min="11434" max="11434" width="21.85546875" style="1" customWidth="1"/>
    <col min="11435" max="11435" width="10.5703125" style="1" customWidth="1"/>
    <col min="11436" max="11437" width="9.140625" style="1"/>
    <col min="11438" max="11438" width="9" style="1" customWidth="1"/>
    <col min="11439" max="11439" width="28.85546875" style="1" customWidth="1"/>
    <col min="11440" max="11440" width="47.85546875" style="1" customWidth="1"/>
    <col min="11441" max="11465" width="9.140625" style="1"/>
    <col min="11466" max="11484" width="0" style="1" hidden="1" customWidth="1"/>
    <col min="11485" max="11689" width="9.140625" style="1"/>
    <col min="11690" max="11690" width="21.85546875" style="1" customWidth="1"/>
    <col min="11691" max="11691" width="10.5703125" style="1" customWidth="1"/>
    <col min="11692" max="11693" width="9.140625" style="1"/>
    <col min="11694" max="11694" width="9" style="1" customWidth="1"/>
    <col min="11695" max="11695" width="28.85546875" style="1" customWidth="1"/>
    <col min="11696" max="11696" width="47.85546875" style="1" customWidth="1"/>
    <col min="11697" max="11721" width="9.140625" style="1"/>
    <col min="11722" max="11740" width="0" style="1" hidden="1" customWidth="1"/>
    <col min="11741" max="11945" width="9.140625" style="1"/>
    <col min="11946" max="11946" width="21.85546875" style="1" customWidth="1"/>
    <col min="11947" max="11947" width="10.5703125" style="1" customWidth="1"/>
    <col min="11948" max="11949" width="9.140625" style="1"/>
    <col min="11950" max="11950" width="9" style="1" customWidth="1"/>
    <col min="11951" max="11951" width="28.85546875" style="1" customWidth="1"/>
    <col min="11952" max="11952" width="47.85546875" style="1" customWidth="1"/>
    <col min="11953" max="11977" width="9.140625" style="1"/>
    <col min="11978" max="11996" width="0" style="1" hidden="1" customWidth="1"/>
    <col min="11997" max="12201" width="9.140625" style="1"/>
    <col min="12202" max="12202" width="21.85546875" style="1" customWidth="1"/>
    <col min="12203" max="12203" width="10.5703125" style="1" customWidth="1"/>
    <col min="12204" max="12205" width="9.140625" style="1"/>
    <col min="12206" max="12206" width="9" style="1" customWidth="1"/>
    <col min="12207" max="12207" width="28.85546875" style="1" customWidth="1"/>
    <col min="12208" max="12208" width="47.85546875" style="1" customWidth="1"/>
    <col min="12209" max="12233" width="9.140625" style="1"/>
    <col min="12234" max="12252" width="0" style="1" hidden="1" customWidth="1"/>
    <col min="12253" max="12457" width="9.140625" style="1"/>
    <col min="12458" max="12458" width="21.85546875" style="1" customWidth="1"/>
    <col min="12459" max="12459" width="10.5703125" style="1" customWidth="1"/>
    <col min="12460" max="12461" width="9.140625" style="1"/>
    <col min="12462" max="12462" width="9" style="1" customWidth="1"/>
    <col min="12463" max="12463" width="28.85546875" style="1" customWidth="1"/>
    <col min="12464" max="12464" width="47.85546875" style="1" customWidth="1"/>
    <col min="12465" max="12489" width="9.140625" style="1"/>
    <col min="12490" max="12508" width="0" style="1" hidden="1" customWidth="1"/>
    <col min="12509" max="12713" width="9.140625" style="1"/>
    <col min="12714" max="12714" width="21.85546875" style="1" customWidth="1"/>
    <col min="12715" max="12715" width="10.5703125" style="1" customWidth="1"/>
    <col min="12716" max="12717" width="9.140625" style="1"/>
    <col min="12718" max="12718" width="9" style="1" customWidth="1"/>
    <col min="12719" max="12719" width="28.85546875" style="1" customWidth="1"/>
    <col min="12720" max="12720" width="47.85546875" style="1" customWidth="1"/>
    <col min="12721" max="12745" width="9.140625" style="1"/>
    <col min="12746" max="12764" width="0" style="1" hidden="1" customWidth="1"/>
    <col min="12765" max="12969" width="9.140625" style="1"/>
    <col min="12970" max="12970" width="21.85546875" style="1" customWidth="1"/>
    <col min="12971" max="12971" width="10.5703125" style="1" customWidth="1"/>
    <col min="12972" max="12973" width="9.140625" style="1"/>
    <col min="12974" max="12974" width="9" style="1" customWidth="1"/>
    <col min="12975" max="12975" width="28.85546875" style="1" customWidth="1"/>
    <col min="12976" max="12976" width="47.85546875" style="1" customWidth="1"/>
    <col min="12977" max="13001" width="9.140625" style="1"/>
    <col min="13002" max="13020" width="0" style="1" hidden="1" customWidth="1"/>
    <col min="13021" max="13225" width="9.140625" style="1"/>
    <col min="13226" max="13226" width="21.85546875" style="1" customWidth="1"/>
    <col min="13227" max="13227" width="10.5703125" style="1" customWidth="1"/>
    <col min="13228" max="13229" width="9.140625" style="1"/>
    <col min="13230" max="13230" width="9" style="1" customWidth="1"/>
    <col min="13231" max="13231" width="28.85546875" style="1" customWidth="1"/>
    <col min="13232" max="13232" width="47.85546875" style="1" customWidth="1"/>
    <col min="13233" max="13257" width="9.140625" style="1"/>
    <col min="13258" max="13276" width="0" style="1" hidden="1" customWidth="1"/>
    <col min="13277" max="13481" width="9.140625" style="1"/>
    <col min="13482" max="13482" width="21.85546875" style="1" customWidth="1"/>
    <col min="13483" max="13483" width="10.5703125" style="1" customWidth="1"/>
    <col min="13484" max="13485" width="9.140625" style="1"/>
    <col min="13486" max="13486" width="9" style="1" customWidth="1"/>
    <col min="13487" max="13487" width="28.85546875" style="1" customWidth="1"/>
    <col min="13488" max="13488" width="47.85546875" style="1" customWidth="1"/>
    <col min="13489" max="13513" width="9.140625" style="1"/>
    <col min="13514" max="13532" width="0" style="1" hidden="1" customWidth="1"/>
    <col min="13533" max="13737" width="9.140625" style="1"/>
    <col min="13738" max="13738" width="21.85546875" style="1" customWidth="1"/>
    <col min="13739" max="13739" width="10.5703125" style="1" customWidth="1"/>
    <col min="13740" max="13741" width="9.140625" style="1"/>
    <col min="13742" max="13742" width="9" style="1" customWidth="1"/>
    <col min="13743" max="13743" width="28.85546875" style="1" customWidth="1"/>
    <col min="13744" max="13744" width="47.85546875" style="1" customWidth="1"/>
    <col min="13745" max="13769" width="9.140625" style="1"/>
    <col min="13770" max="13788" width="0" style="1" hidden="1" customWidth="1"/>
    <col min="13789" max="13993" width="9.140625" style="1"/>
    <col min="13994" max="13994" width="21.85546875" style="1" customWidth="1"/>
    <col min="13995" max="13995" width="10.5703125" style="1" customWidth="1"/>
    <col min="13996" max="13997" width="9.140625" style="1"/>
    <col min="13998" max="13998" width="9" style="1" customWidth="1"/>
    <col min="13999" max="13999" width="28.85546875" style="1" customWidth="1"/>
    <col min="14000" max="14000" width="47.85546875" style="1" customWidth="1"/>
    <col min="14001" max="14025" width="9.140625" style="1"/>
    <col min="14026" max="14044" width="0" style="1" hidden="1" customWidth="1"/>
    <col min="14045" max="14249" width="9.140625" style="1"/>
    <col min="14250" max="14250" width="21.85546875" style="1" customWidth="1"/>
    <col min="14251" max="14251" width="10.5703125" style="1" customWidth="1"/>
    <col min="14252" max="14253" width="9.140625" style="1"/>
    <col min="14254" max="14254" width="9" style="1" customWidth="1"/>
    <col min="14255" max="14255" width="28.85546875" style="1" customWidth="1"/>
    <col min="14256" max="14256" width="47.85546875" style="1" customWidth="1"/>
    <col min="14257" max="14281" width="9.140625" style="1"/>
    <col min="14282" max="14300" width="0" style="1" hidden="1" customWidth="1"/>
    <col min="14301" max="14505" width="9.140625" style="1"/>
    <col min="14506" max="14506" width="21.85546875" style="1" customWidth="1"/>
    <col min="14507" max="14507" width="10.5703125" style="1" customWidth="1"/>
    <col min="14508" max="14509" width="9.140625" style="1"/>
    <col min="14510" max="14510" width="9" style="1" customWidth="1"/>
    <col min="14511" max="14511" width="28.85546875" style="1" customWidth="1"/>
    <col min="14512" max="14512" width="47.85546875" style="1" customWidth="1"/>
    <col min="14513" max="14537" width="9.140625" style="1"/>
    <col min="14538" max="14556" width="0" style="1" hidden="1" customWidth="1"/>
    <col min="14557" max="14761" width="9.140625" style="1"/>
    <col min="14762" max="14762" width="21.85546875" style="1" customWidth="1"/>
    <col min="14763" max="14763" width="10.5703125" style="1" customWidth="1"/>
    <col min="14764" max="14765" width="9.140625" style="1"/>
    <col min="14766" max="14766" width="9" style="1" customWidth="1"/>
    <col min="14767" max="14767" width="28.85546875" style="1" customWidth="1"/>
    <col min="14768" max="14768" width="47.85546875" style="1" customWidth="1"/>
    <col min="14769" max="14793" width="9.140625" style="1"/>
    <col min="14794" max="14812" width="0" style="1" hidden="1" customWidth="1"/>
    <col min="14813" max="15017" width="9.140625" style="1"/>
    <col min="15018" max="15018" width="21.85546875" style="1" customWidth="1"/>
    <col min="15019" max="15019" width="10.5703125" style="1" customWidth="1"/>
    <col min="15020" max="15021" width="9.140625" style="1"/>
    <col min="15022" max="15022" width="9" style="1" customWidth="1"/>
    <col min="15023" max="15023" width="28.85546875" style="1" customWidth="1"/>
    <col min="15024" max="15024" width="47.85546875" style="1" customWidth="1"/>
    <col min="15025" max="15049" width="9.140625" style="1"/>
    <col min="15050" max="15068" width="0" style="1" hidden="1" customWidth="1"/>
    <col min="15069" max="15273" width="9.140625" style="1"/>
    <col min="15274" max="15274" width="21.85546875" style="1" customWidth="1"/>
    <col min="15275" max="15275" width="10.5703125" style="1" customWidth="1"/>
    <col min="15276" max="15277" width="9.140625" style="1"/>
    <col min="15278" max="15278" width="9" style="1" customWidth="1"/>
    <col min="15279" max="15279" width="28.85546875" style="1" customWidth="1"/>
    <col min="15280" max="15280" width="47.85546875" style="1" customWidth="1"/>
    <col min="15281" max="15305" width="9.140625" style="1"/>
    <col min="15306" max="15324" width="0" style="1" hidden="1" customWidth="1"/>
    <col min="15325" max="15529" width="9.140625" style="1"/>
    <col min="15530" max="15530" width="21.85546875" style="1" customWidth="1"/>
    <col min="15531" max="15531" width="10.5703125" style="1" customWidth="1"/>
    <col min="15532" max="15533" width="9.140625" style="1"/>
    <col min="15534" max="15534" width="9" style="1" customWidth="1"/>
    <col min="15535" max="15535" width="28.85546875" style="1" customWidth="1"/>
    <col min="15536" max="15536" width="47.85546875" style="1" customWidth="1"/>
    <col min="15537" max="15561" width="9.140625" style="1"/>
    <col min="15562" max="15580" width="0" style="1" hidden="1" customWidth="1"/>
    <col min="15581" max="15785" width="9.140625" style="1"/>
    <col min="15786" max="15786" width="21.85546875" style="1" customWidth="1"/>
    <col min="15787" max="15787" width="10.5703125" style="1" customWidth="1"/>
    <col min="15788" max="15789" width="9.140625" style="1"/>
    <col min="15790" max="15790" width="9" style="1" customWidth="1"/>
    <col min="15791" max="15791" width="28.85546875" style="1" customWidth="1"/>
    <col min="15792" max="15792" width="47.85546875" style="1" customWidth="1"/>
    <col min="15793" max="15817" width="9.140625" style="1"/>
    <col min="15818" max="15836" width="0" style="1" hidden="1" customWidth="1"/>
    <col min="15837" max="16041" width="9.140625" style="1"/>
    <col min="16042" max="16042" width="21.85546875" style="1" customWidth="1"/>
    <col min="16043" max="16043" width="10.5703125" style="1" customWidth="1"/>
    <col min="16044" max="16045" width="9.140625" style="1"/>
    <col min="16046" max="16046" width="9" style="1" customWidth="1"/>
    <col min="16047" max="16047" width="28.85546875" style="1" customWidth="1"/>
    <col min="16048" max="16048" width="47.85546875" style="1" customWidth="1"/>
    <col min="16049" max="16073" width="9.140625" style="1"/>
    <col min="16074" max="16092" width="0" style="1" hidden="1" customWidth="1"/>
    <col min="16093" max="16384" width="9.140625" style="1"/>
  </cols>
  <sheetData>
    <row r="5" spans="1:16370" s="2" customFormat="1" ht="93.75" customHeight="1" x14ac:dyDescent="0.25">
      <c r="A5" s="147"/>
      <c r="C5" s="202" t="s">
        <v>5</v>
      </c>
      <c r="D5" s="202" t="s">
        <v>253</v>
      </c>
      <c r="E5" s="202" t="s">
        <v>254</v>
      </c>
      <c r="F5" s="203" t="s">
        <v>6</v>
      </c>
      <c r="G5" s="204" t="s">
        <v>7</v>
      </c>
      <c r="H5" s="205" t="s">
        <v>144</v>
      </c>
      <c r="I5" s="206" t="s">
        <v>8</v>
      </c>
      <c r="J5" s="207" t="s">
        <v>9</v>
      </c>
      <c r="K5" s="207" t="s">
        <v>10</v>
      </c>
      <c r="L5" s="4" t="s">
        <v>11</v>
      </c>
      <c r="M5" s="5" t="s">
        <v>12</v>
      </c>
      <c r="N5" s="4" t="s">
        <v>13</v>
      </c>
      <c r="O5" s="208" t="s">
        <v>14</v>
      </c>
      <c r="P5" s="207" t="s">
        <v>15</v>
      </c>
      <c r="Q5" s="207" t="s">
        <v>16</v>
      </c>
      <c r="R5" s="207" t="s">
        <v>17</v>
      </c>
      <c r="S5" s="207" t="s">
        <v>18</v>
      </c>
      <c r="T5" s="208" t="s">
        <v>19</v>
      </c>
      <c r="U5" s="207" t="s">
        <v>20</v>
      </c>
      <c r="V5" s="207" t="s">
        <v>21</v>
      </c>
      <c r="W5" s="209" t="s">
        <v>22</v>
      </c>
      <c r="X5" s="209" t="s">
        <v>23</v>
      </c>
      <c r="Y5" s="209" t="s">
        <v>24</v>
      </c>
      <c r="Z5" s="208" t="s">
        <v>25</v>
      </c>
      <c r="AA5" s="208" t="s">
        <v>20</v>
      </c>
      <c r="AB5" s="208" t="s">
        <v>26</v>
      </c>
      <c r="AC5" s="208" t="s">
        <v>27</v>
      </c>
      <c r="AD5" s="208" t="s">
        <v>28</v>
      </c>
      <c r="AE5" s="208" t="s">
        <v>29</v>
      </c>
      <c r="AF5" s="208" t="s">
        <v>30</v>
      </c>
      <c r="AG5" s="208" t="s">
        <v>31</v>
      </c>
      <c r="AH5" s="208" t="s">
        <v>32</v>
      </c>
      <c r="AI5" s="208" t="s">
        <v>33</v>
      </c>
      <c r="AJ5" s="210" t="s">
        <v>34</v>
      </c>
      <c r="AK5" s="211" t="s">
        <v>35</v>
      </c>
      <c r="AL5" s="208" t="s">
        <v>36</v>
      </c>
      <c r="AM5" s="208" t="s">
        <v>37</v>
      </c>
      <c r="AN5" s="208" t="s">
        <v>38</v>
      </c>
      <c r="AO5" s="212" t="s">
        <v>39</v>
      </c>
      <c r="AP5" s="213" t="s">
        <v>40</v>
      </c>
      <c r="AQ5" s="208" t="s">
        <v>41</v>
      </c>
      <c r="AR5" s="207" t="s">
        <v>42</v>
      </c>
      <c r="AS5" s="208" t="s">
        <v>43</v>
      </c>
      <c r="AT5" s="208" t="s">
        <v>44</v>
      </c>
      <c r="AU5" s="208" t="s">
        <v>45</v>
      </c>
      <c r="AV5" s="214" t="s">
        <v>46</v>
      </c>
      <c r="AW5" s="212" t="s">
        <v>47</v>
      </c>
      <c r="AX5" s="212" t="s">
        <v>48</v>
      </c>
      <c r="AY5" s="212" t="s">
        <v>49</v>
      </c>
      <c r="AZ5" s="212" t="s">
        <v>50</v>
      </c>
      <c r="BA5" s="212" t="s">
        <v>51</v>
      </c>
      <c r="BB5" s="212" t="s">
        <v>52</v>
      </c>
      <c r="BD5" s="148"/>
    </row>
    <row r="6" spans="1:16370" s="30" customFormat="1" ht="15.75" x14ac:dyDescent="0.25">
      <c r="B6" s="33"/>
      <c r="C6" s="103"/>
      <c r="D6" s="103"/>
      <c r="E6" s="50"/>
      <c r="F6" s="225"/>
      <c r="G6" s="104"/>
      <c r="H6" s="104"/>
      <c r="I6" s="104" t="s">
        <v>441</v>
      </c>
      <c r="J6" s="103">
        <v>34000</v>
      </c>
      <c r="K6" s="15">
        <v>30000</v>
      </c>
      <c r="L6" s="30" t="s">
        <v>247</v>
      </c>
      <c r="M6" s="104" t="s">
        <v>150</v>
      </c>
      <c r="N6" s="86" t="s">
        <v>213</v>
      </c>
      <c r="O6" s="33">
        <v>36000</v>
      </c>
      <c r="P6" s="20">
        <v>18000</v>
      </c>
      <c r="Q6" s="20">
        <v>9000</v>
      </c>
      <c r="R6" s="20">
        <v>4500</v>
      </c>
      <c r="S6" s="20">
        <v>4500</v>
      </c>
      <c r="T6" s="20">
        <v>0</v>
      </c>
      <c r="U6" s="20">
        <v>36000</v>
      </c>
      <c r="V6" s="20">
        <v>0</v>
      </c>
      <c r="W6" s="22">
        <v>0</v>
      </c>
      <c r="X6" s="22">
        <v>0</v>
      </c>
      <c r="Y6" s="22">
        <v>0</v>
      </c>
      <c r="Z6" s="22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4"/>
      <c r="AK6" s="80">
        <v>0</v>
      </c>
      <c r="AL6" s="24">
        <v>0</v>
      </c>
      <c r="AM6" s="24">
        <v>0</v>
      </c>
      <c r="AN6" s="24">
        <v>0</v>
      </c>
      <c r="AO6" s="25">
        <v>0</v>
      </c>
      <c r="AP6" s="60">
        <v>0</v>
      </c>
      <c r="AQ6" s="50"/>
      <c r="AR6" s="152">
        <v>0</v>
      </c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  <c r="BTY6" s="50"/>
      <c r="BTZ6" s="50"/>
      <c r="BUA6" s="50"/>
      <c r="BUB6" s="50"/>
      <c r="BUC6" s="50"/>
      <c r="BUD6" s="50"/>
      <c r="BUE6" s="50"/>
      <c r="BUF6" s="50"/>
      <c r="BUG6" s="50"/>
      <c r="BUH6" s="50"/>
      <c r="BUI6" s="50"/>
      <c r="BUJ6" s="50"/>
      <c r="BUK6" s="50"/>
      <c r="BUL6" s="50"/>
      <c r="BUM6" s="50"/>
      <c r="BUN6" s="50"/>
      <c r="BUO6" s="50"/>
      <c r="BUP6" s="50"/>
      <c r="BUQ6" s="50"/>
      <c r="BUR6" s="50"/>
      <c r="BUS6" s="50"/>
      <c r="BUT6" s="50"/>
      <c r="BUU6" s="50"/>
      <c r="BUV6" s="50"/>
      <c r="BUW6" s="50"/>
      <c r="BUX6" s="50"/>
      <c r="BUY6" s="50"/>
      <c r="BUZ6" s="50"/>
      <c r="BVA6" s="50"/>
      <c r="BVB6" s="50"/>
      <c r="BVC6" s="50"/>
      <c r="BVD6" s="50"/>
      <c r="BVE6" s="50"/>
      <c r="BVF6" s="50"/>
      <c r="BVG6" s="50"/>
      <c r="BVH6" s="50"/>
      <c r="BVI6" s="50"/>
      <c r="BVJ6" s="50"/>
      <c r="BVK6" s="50"/>
      <c r="BVL6" s="50"/>
      <c r="BVM6" s="50"/>
      <c r="BVN6" s="50"/>
      <c r="BVO6" s="50"/>
      <c r="BVP6" s="50"/>
      <c r="BVQ6" s="50"/>
      <c r="BVR6" s="50"/>
      <c r="BVS6" s="50"/>
      <c r="BVT6" s="50"/>
      <c r="BVU6" s="50"/>
      <c r="BVV6" s="50"/>
      <c r="BVW6" s="50"/>
      <c r="BVX6" s="50"/>
      <c r="BVY6" s="50"/>
      <c r="BVZ6" s="50"/>
      <c r="BWA6" s="50"/>
      <c r="BWB6" s="50"/>
      <c r="BWC6" s="50"/>
      <c r="BWD6" s="50"/>
      <c r="BWE6" s="50"/>
      <c r="BWF6" s="50"/>
      <c r="BWG6" s="50"/>
      <c r="BWH6" s="50"/>
      <c r="BWI6" s="50"/>
      <c r="BWJ6" s="50"/>
      <c r="BWK6" s="50"/>
      <c r="BWL6" s="50"/>
      <c r="BWM6" s="50"/>
      <c r="BWN6" s="50"/>
      <c r="BWO6" s="50"/>
      <c r="BWP6" s="50"/>
      <c r="BWQ6" s="50"/>
      <c r="BWR6" s="50"/>
      <c r="BWS6" s="50"/>
      <c r="BWT6" s="50"/>
      <c r="BWU6" s="50"/>
      <c r="BWV6" s="50"/>
      <c r="BWW6" s="50"/>
      <c r="BWX6" s="50"/>
      <c r="BWY6" s="50"/>
      <c r="BWZ6" s="50"/>
      <c r="BXA6" s="50"/>
      <c r="BXB6" s="50"/>
      <c r="BXC6" s="50"/>
      <c r="BXD6" s="50"/>
      <c r="BXE6" s="50"/>
      <c r="BXF6" s="50"/>
      <c r="BXG6" s="50"/>
      <c r="BXH6" s="50"/>
      <c r="BXI6" s="50"/>
      <c r="BXJ6" s="50"/>
      <c r="BXK6" s="50"/>
      <c r="BXL6" s="50"/>
      <c r="BXM6" s="50"/>
      <c r="BXN6" s="50"/>
      <c r="BXO6" s="50"/>
      <c r="BXP6" s="50"/>
      <c r="BXQ6" s="50"/>
      <c r="BXR6" s="50"/>
      <c r="BXS6" s="50"/>
      <c r="BXT6" s="50"/>
      <c r="BXU6" s="50"/>
      <c r="BXV6" s="50"/>
      <c r="BXW6" s="50"/>
      <c r="BXX6" s="50"/>
      <c r="BXY6" s="50"/>
      <c r="BXZ6" s="50"/>
      <c r="BYA6" s="50"/>
      <c r="BYB6" s="50"/>
      <c r="BYC6" s="50"/>
      <c r="BYD6" s="50"/>
      <c r="BYE6" s="50"/>
      <c r="BYF6" s="50"/>
      <c r="BYG6" s="50"/>
      <c r="BYH6" s="50"/>
      <c r="BYI6" s="50"/>
      <c r="BYJ6" s="50"/>
      <c r="BYK6" s="50"/>
      <c r="BYL6" s="50"/>
      <c r="BYM6" s="50"/>
      <c r="BYN6" s="50"/>
      <c r="BYO6" s="50"/>
      <c r="BYP6" s="50"/>
      <c r="BYQ6" s="50"/>
      <c r="BYR6" s="50"/>
      <c r="BYS6" s="50"/>
      <c r="BYT6" s="50"/>
      <c r="BYU6" s="50"/>
      <c r="BYV6" s="50"/>
      <c r="BYW6" s="50"/>
      <c r="BYX6" s="50"/>
      <c r="BYY6" s="50"/>
      <c r="BYZ6" s="50"/>
      <c r="BZA6" s="50"/>
      <c r="BZB6" s="50"/>
      <c r="BZC6" s="50"/>
      <c r="BZD6" s="50"/>
      <c r="BZE6" s="50"/>
      <c r="BZF6" s="50"/>
      <c r="BZG6" s="50"/>
      <c r="BZH6" s="50"/>
      <c r="BZI6" s="50"/>
      <c r="BZJ6" s="50"/>
      <c r="BZK6" s="50"/>
      <c r="BZL6" s="50"/>
      <c r="BZM6" s="50"/>
      <c r="BZN6" s="50"/>
      <c r="BZO6" s="50"/>
      <c r="BZP6" s="50"/>
      <c r="BZQ6" s="50"/>
      <c r="BZR6" s="50"/>
      <c r="BZS6" s="50"/>
      <c r="BZT6" s="50"/>
      <c r="BZU6" s="50"/>
      <c r="BZV6" s="50"/>
      <c r="BZW6" s="50"/>
      <c r="BZX6" s="50"/>
      <c r="BZY6" s="50"/>
      <c r="BZZ6" s="50"/>
      <c r="CAA6" s="50"/>
      <c r="CAB6" s="50"/>
      <c r="CAC6" s="50"/>
      <c r="CAD6" s="50"/>
      <c r="CAE6" s="50"/>
      <c r="CAF6" s="50"/>
      <c r="CAG6" s="50"/>
      <c r="CAH6" s="50"/>
      <c r="CAI6" s="50"/>
      <c r="CAJ6" s="50"/>
      <c r="CAK6" s="50"/>
      <c r="CAL6" s="50"/>
      <c r="CAM6" s="50"/>
      <c r="CAN6" s="50"/>
      <c r="CAO6" s="50"/>
      <c r="CAP6" s="50"/>
      <c r="CAQ6" s="50"/>
      <c r="CAR6" s="50"/>
      <c r="CAS6" s="50"/>
      <c r="CAT6" s="50"/>
      <c r="CAU6" s="50"/>
      <c r="CAV6" s="50"/>
      <c r="CAW6" s="50"/>
      <c r="CAX6" s="50"/>
      <c r="CAY6" s="50"/>
      <c r="CAZ6" s="50"/>
      <c r="CBA6" s="50"/>
      <c r="CBB6" s="50"/>
      <c r="CBC6" s="50"/>
      <c r="CBD6" s="50"/>
      <c r="CBE6" s="50"/>
      <c r="CBF6" s="50"/>
      <c r="CBG6" s="50"/>
      <c r="CBH6" s="50"/>
      <c r="CBI6" s="50"/>
      <c r="CBJ6" s="50"/>
      <c r="CBK6" s="50"/>
      <c r="CBL6" s="50"/>
      <c r="CBM6" s="50"/>
      <c r="CBN6" s="50"/>
      <c r="CBO6" s="50"/>
      <c r="CBP6" s="50"/>
      <c r="CBQ6" s="50"/>
      <c r="CBR6" s="50"/>
      <c r="CBS6" s="50"/>
      <c r="CBT6" s="50"/>
      <c r="CBU6" s="50"/>
      <c r="CBV6" s="50"/>
      <c r="CBW6" s="50"/>
      <c r="CBX6" s="50"/>
      <c r="CBY6" s="50"/>
      <c r="CBZ6" s="50"/>
      <c r="CCA6" s="50"/>
      <c r="CCB6" s="50"/>
      <c r="CCC6" s="50"/>
      <c r="CCD6" s="50"/>
      <c r="CCE6" s="50"/>
      <c r="CCF6" s="50"/>
      <c r="CCG6" s="50"/>
      <c r="CCH6" s="50"/>
      <c r="CCI6" s="50"/>
      <c r="CCJ6" s="50"/>
      <c r="CCK6" s="50"/>
      <c r="CCL6" s="50"/>
      <c r="CCM6" s="50"/>
      <c r="CCN6" s="50"/>
      <c r="CCO6" s="50"/>
      <c r="CCP6" s="50"/>
      <c r="CCQ6" s="50"/>
      <c r="CCR6" s="50"/>
      <c r="CCS6" s="50"/>
      <c r="CCT6" s="50"/>
      <c r="CCU6" s="50"/>
      <c r="CCV6" s="50"/>
      <c r="CCW6" s="50"/>
      <c r="CCX6" s="50"/>
      <c r="CCY6" s="50"/>
      <c r="CCZ6" s="50"/>
      <c r="CDA6" s="50"/>
      <c r="CDB6" s="50"/>
      <c r="CDC6" s="50"/>
      <c r="CDD6" s="50"/>
      <c r="CDE6" s="50"/>
      <c r="CDF6" s="50"/>
      <c r="CDG6" s="50"/>
      <c r="CDH6" s="50"/>
      <c r="CDI6" s="50"/>
      <c r="CDJ6" s="50"/>
      <c r="CDK6" s="50"/>
      <c r="CDL6" s="50"/>
      <c r="CDM6" s="50"/>
      <c r="CDN6" s="50"/>
      <c r="CDO6" s="50"/>
      <c r="CDP6" s="50"/>
      <c r="CDQ6" s="50"/>
      <c r="CDR6" s="50"/>
      <c r="CDS6" s="50"/>
      <c r="CDT6" s="50"/>
      <c r="CDU6" s="50"/>
      <c r="CDV6" s="50"/>
      <c r="CDW6" s="50"/>
      <c r="CDX6" s="50"/>
      <c r="CDY6" s="50"/>
      <c r="CDZ6" s="50"/>
      <c r="CEA6" s="50"/>
      <c r="CEB6" s="50"/>
      <c r="CEC6" s="50"/>
      <c r="CED6" s="50"/>
      <c r="CEE6" s="50"/>
      <c r="CEF6" s="50"/>
      <c r="CEG6" s="50"/>
      <c r="CEH6" s="50"/>
      <c r="CEI6" s="50"/>
      <c r="CEJ6" s="50"/>
      <c r="CEK6" s="50"/>
      <c r="CEL6" s="50"/>
      <c r="CEM6" s="50"/>
      <c r="CEN6" s="50"/>
      <c r="CEO6" s="50"/>
      <c r="CEP6" s="50"/>
      <c r="CEQ6" s="50"/>
      <c r="CER6" s="50"/>
      <c r="CES6" s="50"/>
      <c r="CET6" s="50"/>
      <c r="CEU6" s="50"/>
      <c r="CEV6" s="50"/>
      <c r="CEW6" s="50"/>
      <c r="CEX6" s="50"/>
      <c r="CEY6" s="50"/>
      <c r="CEZ6" s="50"/>
      <c r="CFA6" s="50"/>
      <c r="CFB6" s="50"/>
      <c r="CFC6" s="50"/>
      <c r="CFD6" s="50"/>
      <c r="CFE6" s="50"/>
      <c r="CFF6" s="50"/>
      <c r="CFG6" s="50"/>
      <c r="CFH6" s="50"/>
      <c r="CFI6" s="50"/>
      <c r="CFJ6" s="50"/>
      <c r="CFK6" s="50"/>
      <c r="CFL6" s="50"/>
      <c r="CFM6" s="50"/>
      <c r="CFN6" s="50"/>
      <c r="CFO6" s="50"/>
      <c r="CFP6" s="50"/>
      <c r="CFQ6" s="50"/>
      <c r="CFR6" s="50"/>
      <c r="CFS6" s="50"/>
      <c r="CFT6" s="50"/>
      <c r="CFU6" s="50"/>
      <c r="CFV6" s="50"/>
      <c r="CFW6" s="50"/>
      <c r="CFX6" s="50"/>
      <c r="CFY6" s="50"/>
      <c r="CFZ6" s="50"/>
      <c r="CGA6" s="50"/>
      <c r="CGB6" s="50"/>
      <c r="CGC6" s="50"/>
      <c r="CGD6" s="50"/>
      <c r="CGE6" s="50"/>
      <c r="CGF6" s="50"/>
      <c r="CGG6" s="50"/>
      <c r="CGH6" s="50"/>
      <c r="CGI6" s="50"/>
      <c r="CGJ6" s="50"/>
      <c r="CGK6" s="50"/>
      <c r="CGL6" s="50"/>
      <c r="CGM6" s="50"/>
      <c r="CGN6" s="50"/>
      <c r="CGO6" s="50"/>
      <c r="CGP6" s="50"/>
      <c r="CGQ6" s="50"/>
      <c r="CGR6" s="50"/>
      <c r="CGS6" s="50"/>
      <c r="CGT6" s="50"/>
      <c r="CGU6" s="50"/>
      <c r="CGV6" s="50"/>
      <c r="CGW6" s="50"/>
      <c r="CGX6" s="50"/>
      <c r="CGY6" s="50"/>
      <c r="CGZ6" s="50"/>
      <c r="CHA6" s="50"/>
      <c r="CHB6" s="50"/>
      <c r="CHC6" s="50"/>
      <c r="CHD6" s="50"/>
      <c r="CHE6" s="50"/>
      <c r="CHF6" s="50"/>
      <c r="CHG6" s="50"/>
      <c r="CHH6" s="50"/>
      <c r="CHI6" s="50"/>
      <c r="CHJ6" s="50"/>
      <c r="CHK6" s="50"/>
      <c r="CHL6" s="50"/>
      <c r="CHM6" s="50"/>
      <c r="CHN6" s="50"/>
      <c r="CHO6" s="50"/>
      <c r="CHP6" s="50"/>
      <c r="CHQ6" s="50"/>
      <c r="CHR6" s="50"/>
      <c r="CHS6" s="50"/>
      <c r="CHT6" s="50"/>
      <c r="CHU6" s="50"/>
      <c r="CHV6" s="50"/>
      <c r="CHW6" s="50"/>
      <c r="CHX6" s="50"/>
      <c r="CHY6" s="50"/>
      <c r="CHZ6" s="50"/>
      <c r="CIA6" s="50"/>
      <c r="CIB6" s="50"/>
      <c r="CIC6" s="50"/>
      <c r="CID6" s="50"/>
      <c r="CIE6" s="50"/>
      <c r="CIF6" s="50"/>
      <c r="CIG6" s="50"/>
      <c r="CIH6" s="50"/>
      <c r="CII6" s="50"/>
      <c r="CIJ6" s="50"/>
      <c r="CIK6" s="50"/>
      <c r="CIL6" s="50"/>
      <c r="CIM6" s="50"/>
      <c r="CIN6" s="50"/>
      <c r="CIO6" s="50"/>
      <c r="CIP6" s="50"/>
      <c r="CIQ6" s="50"/>
      <c r="CIR6" s="50"/>
      <c r="CIS6" s="50"/>
      <c r="CIT6" s="50"/>
      <c r="CIU6" s="50"/>
      <c r="CIV6" s="50"/>
      <c r="CIW6" s="50"/>
      <c r="CIX6" s="50"/>
      <c r="CIY6" s="50"/>
      <c r="CIZ6" s="50"/>
      <c r="CJA6" s="50"/>
      <c r="CJB6" s="50"/>
      <c r="CJC6" s="50"/>
      <c r="CJD6" s="50"/>
      <c r="CJE6" s="50"/>
      <c r="CJF6" s="50"/>
      <c r="CJG6" s="50"/>
      <c r="CJH6" s="50"/>
      <c r="CJI6" s="50"/>
      <c r="CJJ6" s="50"/>
      <c r="CJK6" s="50"/>
      <c r="CJL6" s="50"/>
      <c r="CJM6" s="50"/>
      <c r="CJN6" s="50"/>
      <c r="CJO6" s="50"/>
      <c r="CJP6" s="50"/>
      <c r="CJQ6" s="50"/>
      <c r="CJR6" s="50"/>
      <c r="CJS6" s="50"/>
      <c r="CJT6" s="50"/>
      <c r="CJU6" s="50"/>
      <c r="CJV6" s="50"/>
      <c r="CJW6" s="50"/>
      <c r="CJX6" s="50"/>
      <c r="CJY6" s="50"/>
      <c r="CJZ6" s="50"/>
      <c r="CKA6" s="50"/>
      <c r="CKB6" s="50"/>
      <c r="CKC6" s="50"/>
      <c r="CKD6" s="50"/>
      <c r="CKE6" s="50"/>
      <c r="CKF6" s="50"/>
      <c r="CKG6" s="50"/>
      <c r="CKH6" s="50"/>
      <c r="CKI6" s="50"/>
      <c r="CKJ6" s="50"/>
      <c r="CKK6" s="50"/>
      <c r="CKL6" s="50"/>
      <c r="CKM6" s="50"/>
      <c r="CKN6" s="50"/>
      <c r="CKO6" s="50"/>
      <c r="CKP6" s="50"/>
      <c r="CKQ6" s="50"/>
      <c r="CKR6" s="50"/>
      <c r="CKS6" s="50"/>
      <c r="CKT6" s="50"/>
      <c r="CKU6" s="50"/>
      <c r="CKV6" s="50"/>
      <c r="CKW6" s="50"/>
      <c r="CKX6" s="50"/>
      <c r="CKY6" s="50"/>
      <c r="CKZ6" s="50"/>
      <c r="CLA6" s="50"/>
      <c r="CLB6" s="50"/>
      <c r="CLC6" s="50"/>
      <c r="CLD6" s="50"/>
      <c r="CLE6" s="50"/>
      <c r="CLF6" s="50"/>
      <c r="CLG6" s="50"/>
      <c r="CLH6" s="50"/>
      <c r="CLI6" s="50"/>
      <c r="CLJ6" s="50"/>
      <c r="CLK6" s="50"/>
      <c r="CLL6" s="50"/>
      <c r="CLM6" s="50"/>
      <c r="CLN6" s="50"/>
      <c r="CLO6" s="50"/>
      <c r="CLP6" s="50"/>
      <c r="CLQ6" s="50"/>
      <c r="CLR6" s="50"/>
      <c r="CLS6" s="50"/>
      <c r="CLT6" s="50"/>
      <c r="CLU6" s="50"/>
      <c r="CLV6" s="50"/>
      <c r="CLW6" s="50"/>
      <c r="CLX6" s="50"/>
      <c r="CLY6" s="50"/>
      <c r="CLZ6" s="50"/>
      <c r="CMA6" s="50"/>
      <c r="CMB6" s="50"/>
      <c r="CMC6" s="50"/>
      <c r="CMD6" s="50"/>
      <c r="CME6" s="50"/>
      <c r="CMF6" s="50"/>
      <c r="CMG6" s="50"/>
      <c r="CMH6" s="50"/>
      <c r="CMI6" s="50"/>
      <c r="CMJ6" s="50"/>
      <c r="CMK6" s="50"/>
      <c r="CML6" s="50"/>
      <c r="CMM6" s="50"/>
      <c r="CMN6" s="50"/>
      <c r="CMO6" s="50"/>
      <c r="CMP6" s="50"/>
      <c r="CMQ6" s="50"/>
      <c r="CMR6" s="50"/>
      <c r="CMS6" s="50"/>
      <c r="CMT6" s="50"/>
      <c r="CMU6" s="50"/>
      <c r="CMV6" s="50"/>
      <c r="CMW6" s="50"/>
      <c r="CMX6" s="50"/>
      <c r="CMY6" s="50"/>
      <c r="CMZ6" s="50"/>
      <c r="CNA6" s="50"/>
      <c r="CNB6" s="50"/>
      <c r="CNC6" s="50"/>
      <c r="CND6" s="50"/>
      <c r="CNE6" s="50"/>
      <c r="CNF6" s="50"/>
      <c r="CNG6" s="50"/>
      <c r="CNH6" s="50"/>
      <c r="CNI6" s="50"/>
      <c r="CNJ6" s="50"/>
      <c r="CNK6" s="50"/>
      <c r="CNL6" s="50"/>
      <c r="CNM6" s="50"/>
      <c r="CNN6" s="50"/>
      <c r="CNO6" s="50"/>
      <c r="CNP6" s="50"/>
      <c r="CNQ6" s="50"/>
      <c r="CNR6" s="50"/>
      <c r="CNS6" s="50"/>
      <c r="CNT6" s="50"/>
      <c r="CNU6" s="50"/>
      <c r="CNV6" s="50"/>
      <c r="CNW6" s="50"/>
      <c r="CNX6" s="50"/>
      <c r="CNY6" s="50"/>
      <c r="CNZ6" s="50"/>
      <c r="COA6" s="50"/>
      <c r="COB6" s="50"/>
      <c r="COC6" s="50"/>
      <c r="COD6" s="50"/>
      <c r="COE6" s="50"/>
      <c r="COF6" s="50"/>
      <c r="COG6" s="50"/>
      <c r="COH6" s="50"/>
      <c r="COI6" s="50"/>
      <c r="COJ6" s="50"/>
      <c r="COK6" s="50"/>
      <c r="COL6" s="50"/>
      <c r="COM6" s="50"/>
      <c r="CON6" s="50"/>
      <c r="COO6" s="50"/>
      <c r="COP6" s="50"/>
      <c r="COQ6" s="50"/>
      <c r="COR6" s="50"/>
      <c r="COS6" s="50"/>
      <c r="COT6" s="50"/>
      <c r="COU6" s="50"/>
      <c r="COV6" s="50"/>
      <c r="COW6" s="50"/>
      <c r="COX6" s="50"/>
      <c r="COY6" s="50"/>
      <c r="COZ6" s="50"/>
      <c r="CPA6" s="50"/>
      <c r="CPB6" s="50"/>
      <c r="CPC6" s="50"/>
      <c r="CPD6" s="50"/>
      <c r="CPE6" s="50"/>
      <c r="CPF6" s="50"/>
      <c r="CPG6" s="50"/>
      <c r="CPH6" s="50"/>
      <c r="CPI6" s="50"/>
      <c r="CPJ6" s="50"/>
      <c r="CPK6" s="50"/>
      <c r="CPL6" s="50"/>
      <c r="CPM6" s="50"/>
      <c r="CPN6" s="50"/>
      <c r="CPO6" s="50"/>
      <c r="CPP6" s="50"/>
      <c r="CPQ6" s="50"/>
      <c r="CPR6" s="50"/>
      <c r="CPS6" s="50"/>
      <c r="CPT6" s="50"/>
      <c r="CPU6" s="50"/>
      <c r="CPV6" s="50"/>
      <c r="CPW6" s="50"/>
      <c r="CPX6" s="50"/>
      <c r="CPY6" s="50"/>
      <c r="CPZ6" s="50"/>
      <c r="CQA6" s="50"/>
      <c r="CQB6" s="50"/>
      <c r="CQC6" s="50"/>
      <c r="CQD6" s="50"/>
      <c r="CQE6" s="50"/>
      <c r="CQF6" s="50"/>
      <c r="CQG6" s="50"/>
      <c r="CQH6" s="50"/>
      <c r="CQI6" s="50"/>
      <c r="CQJ6" s="50"/>
      <c r="CQK6" s="50"/>
      <c r="CQL6" s="50"/>
      <c r="CQM6" s="50"/>
      <c r="CQN6" s="50"/>
      <c r="CQO6" s="50"/>
      <c r="CQP6" s="50"/>
      <c r="CQQ6" s="50"/>
      <c r="CQR6" s="50"/>
      <c r="CQS6" s="50"/>
      <c r="CQT6" s="50"/>
      <c r="CQU6" s="50"/>
      <c r="CQV6" s="50"/>
      <c r="CQW6" s="50"/>
      <c r="CQX6" s="50"/>
      <c r="CQY6" s="50"/>
      <c r="CQZ6" s="50"/>
      <c r="CRA6" s="50"/>
      <c r="CRB6" s="50"/>
      <c r="CRC6" s="50"/>
      <c r="CRD6" s="50"/>
      <c r="CRE6" s="50"/>
      <c r="CRF6" s="50"/>
      <c r="CRG6" s="50"/>
      <c r="CRH6" s="50"/>
      <c r="CRI6" s="50"/>
      <c r="CRJ6" s="50"/>
      <c r="CRK6" s="50"/>
      <c r="CRL6" s="50"/>
      <c r="CRM6" s="50"/>
      <c r="CRN6" s="50"/>
      <c r="CRO6" s="50"/>
      <c r="CRP6" s="50"/>
      <c r="CRQ6" s="50"/>
      <c r="CRR6" s="50"/>
      <c r="CRS6" s="50"/>
      <c r="CRT6" s="50"/>
      <c r="CRU6" s="50"/>
      <c r="CRV6" s="50"/>
      <c r="CRW6" s="50"/>
      <c r="CRX6" s="50"/>
      <c r="CRY6" s="50"/>
      <c r="CRZ6" s="50"/>
      <c r="CSA6" s="50"/>
      <c r="CSB6" s="50"/>
      <c r="CSC6" s="50"/>
      <c r="CSD6" s="50"/>
      <c r="CSE6" s="50"/>
      <c r="CSF6" s="50"/>
      <c r="CSG6" s="50"/>
      <c r="CSH6" s="50"/>
      <c r="CSI6" s="50"/>
      <c r="CSJ6" s="50"/>
      <c r="CSK6" s="50"/>
      <c r="CSL6" s="50"/>
      <c r="CSM6" s="50"/>
      <c r="CSN6" s="50"/>
      <c r="CSO6" s="50"/>
      <c r="CSP6" s="50"/>
      <c r="CSQ6" s="50"/>
      <c r="CSR6" s="50"/>
      <c r="CSS6" s="50"/>
      <c r="CST6" s="50"/>
      <c r="CSU6" s="50"/>
      <c r="CSV6" s="50"/>
      <c r="CSW6" s="50"/>
      <c r="CSX6" s="50"/>
      <c r="CSY6" s="50"/>
      <c r="CSZ6" s="50"/>
      <c r="CTA6" s="50"/>
      <c r="CTB6" s="50"/>
      <c r="CTC6" s="50"/>
      <c r="CTD6" s="50"/>
      <c r="CTE6" s="50"/>
      <c r="CTF6" s="50"/>
      <c r="CTG6" s="50"/>
      <c r="CTH6" s="50"/>
      <c r="CTI6" s="50"/>
      <c r="CTJ6" s="50"/>
      <c r="CTK6" s="50"/>
      <c r="CTL6" s="50"/>
      <c r="CTM6" s="50"/>
      <c r="CTN6" s="50"/>
      <c r="CTO6" s="50"/>
      <c r="CTP6" s="50"/>
      <c r="CTQ6" s="50"/>
      <c r="CTR6" s="50"/>
      <c r="CTS6" s="50"/>
      <c r="CTT6" s="50"/>
      <c r="CTU6" s="50"/>
      <c r="CTV6" s="50"/>
      <c r="CTW6" s="50"/>
      <c r="CTX6" s="50"/>
      <c r="CTY6" s="50"/>
      <c r="CTZ6" s="50"/>
      <c r="CUA6" s="50"/>
      <c r="CUB6" s="50"/>
      <c r="CUC6" s="50"/>
      <c r="CUD6" s="50"/>
      <c r="CUE6" s="50"/>
      <c r="CUF6" s="50"/>
      <c r="CUG6" s="50"/>
      <c r="CUH6" s="50"/>
      <c r="CUI6" s="50"/>
      <c r="CUJ6" s="50"/>
      <c r="CUK6" s="50"/>
      <c r="CUL6" s="50"/>
      <c r="CUM6" s="50"/>
      <c r="CUN6" s="50"/>
      <c r="CUO6" s="50"/>
      <c r="CUP6" s="50"/>
      <c r="CUQ6" s="50"/>
      <c r="CUR6" s="50"/>
      <c r="CUS6" s="50"/>
      <c r="CUT6" s="50"/>
      <c r="CUU6" s="50"/>
      <c r="CUV6" s="50"/>
      <c r="CUW6" s="50"/>
      <c r="CUX6" s="50"/>
      <c r="CUY6" s="50"/>
      <c r="CUZ6" s="50"/>
      <c r="CVA6" s="50"/>
      <c r="CVB6" s="50"/>
      <c r="CVC6" s="50"/>
      <c r="CVD6" s="50"/>
      <c r="CVE6" s="50"/>
      <c r="CVF6" s="50"/>
      <c r="CVG6" s="50"/>
      <c r="CVH6" s="50"/>
      <c r="CVI6" s="50"/>
      <c r="CVJ6" s="50"/>
      <c r="CVK6" s="50"/>
      <c r="CVL6" s="50"/>
      <c r="CVM6" s="50"/>
      <c r="CVN6" s="50"/>
      <c r="CVO6" s="50"/>
      <c r="CVP6" s="50"/>
      <c r="CVQ6" s="50"/>
      <c r="CVR6" s="50"/>
      <c r="CVS6" s="50"/>
      <c r="CVT6" s="50"/>
      <c r="CVU6" s="50"/>
      <c r="CVV6" s="50"/>
      <c r="CVW6" s="50"/>
      <c r="CVX6" s="50"/>
      <c r="CVY6" s="50"/>
      <c r="CVZ6" s="50"/>
      <c r="CWA6" s="50"/>
      <c r="CWB6" s="50"/>
      <c r="CWC6" s="50"/>
      <c r="CWD6" s="50"/>
      <c r="CWE6" s="50"/>
      <c r="CWF6" s="50"/>
      <c r="CWG6" s="50"/>
      <c r="CWH6" s="50"/>
      <c r="CWI6" s="50"/>
      <c r="CWJ6" s="50"/>
      <c r="CWK6" s="50"/>
      <c r="CWL6" s="50"/>
      <c r="CWM6" s="50"/>
      <c r="CWN6" s="50"/>
      <c r="CWO6" s="50"/>
      <c r="CWP6" s="50"/>
      <c r="CWQ6" s="50"/>
      <c r="CWR6" s="50"/>
      <c r="CWS6" s="50"/>
      <c r="CWT6" s="50"/>
      <c r="CWU6" s="50"/>
      <c r="CWV6" s="50"/>
      <c r="CWW6" s="50"/>
      <c r="CWX6" s="50"/>
      <c r="CWY6" s="50"/>
      <c r="CWZ6" s="50"/>
      <c r="CXA6" s="50"/>
      <c r="CXB6" s="50"/>
      <c r="CXC6" s="50"/>
      <c r="CXD6" s="50"/>
      <c r="CXE6" s="50"/>
      <c r="CXF6" s="50"/>
      <c r="CXG6" s="50"/>
      <c r="CXH6" s="50"/>
      <c r="CXI6" s="50"/>
      <c r="CXJ6" s="50"/>
      <c r="CXK6" s="50"/>
      <c r="CXL6" s="50"/>
      <c r="CXM6" s="50"/>
      <c r="CXN6" s="50"/>
      <c r="CXO6" s="50"/>
      <c r="CXP6" s="50"/>
      <c r="CXQ6" s="50"/>
      <c r="CXR6" s="50"/>
      <c r="CXS6" s="50"/>
      <c r="CXT6" s="50"/>
      <c r="CXU6" s="50"/>
      <c r="CXV6" s="50"/>
      <c r="CXW6" s="50"/>
      <c r="CXX6" s="50"/>
      <c r="CXY6" s="50"/>
      <c r="CXZ6" s="50"/>
      <c r="CYA6" s="50"/>
      <c r="CYB6" s="50"/>
      <c r="CYC6" s="50"/>
      <c r="CYD6" s="50"/>
      <c r="CYE6" s="50"/>
      <c r="CYF6" s="50"/>
      <c r="CYG6" s="50"/>
      <c r="CYH6" s="50"/>
      <c r="CYI6" s="50"/>
      <c r="CYJ6" s="50"/>
      <c r="CYK6" s="50"/>
      <c r="CYL6" s="50"/>
      <c r="CYM6" s="50"/>
      <c r="CYN6" s="50"/>
      <c r="CYO6" s="50"/>
      <c r="CYP6" s="50"/>
      <c r="CYQ6" s="50"/>
      <c r="CYR6" s="50"/>
      <c r="CYS6" s="50"/>
      <c r="CYT6" s="50"/>
      <c r="CYU6" s="50"/>
      <c r="CYV6" s="50"/>
      <c r="CYW6" s="50"/>
      <c r="CYX6" s="50"/>
      <c r="CYY6" s="50"/>
      <c r="CYZ6" s="50"/>
      <c r="CZA6" s="50"/>
      <c r="CZB6" s="50"/>
      <c r="CZC6" s="50"/>
      <c r="CZD6" s="50"/>
      <c r="CZE6" s="50"/>
      <c r="CZF6" s="50"/>
      <c r="CZG6" s="50"/>
      <c r="CZH6" s="50"/>
      <c r="CZI6" s="50"/>
      <c r="CZJ6" s="50"/>
      <c r="CZK6" s="50"/>
      <c r="CZL6" s="50"/>
      <c r="CZM6" s="50"/>
      <c r="CZN6" s="50"/>
      <c r="CZO6" s="50"/>
      <c r="CZP6" s="50"/>
      <c r="CZQ6" s="50"/>
      <c r="CZR6" s="50"/>
      <c r="CZS6" s="50"/>
      <c r="CZT6" s="50"/>
      <c r="CZU6" s="50"/>
      <c r="CZV6" s="50"/>
      <c r="CZW6" s="50"/>
      <c r="CZX6" s="50"/>
      <c r="CZY6" s="50"/>
      <c r="CZZ6" s="50"/>
      <c r="DAA6" s="50"/>
      <c r="DAB6" s="50"/>
      <c r="DAC6" s="50"/>
      <c r="DAD6" s="50"/>
      <c r="DAE6" s="50"/>
      <c r="DAF6" s="50"/>
      <c r="DAG6" s="50"/>
      <c r="DAH6" s="50"/>
      <c r="DAI6" s="50"/>
      <c r="DAJ6" s="50"/>
      <c r="DAK6" s="50"/>
      <c r="DAL6" s="50"/>
      <c r="DAM6" s="50"/>
      <c r="DAN6" s="50"/>
      <c r="DAO6" s="50"/>
      <c r="DAP6" s="50"/>
      <c r="DAQ6" s="50"/>
      <c r="DAR6" s="50"/>
      <c r="DAS6" s="50"/>
      <c r="DAT6" s="50"/>
      <c r="DAU6" s="50"/>
      <c r="DAV6" s="50"/>
      <c r="DAW6" s="50"/>
      <c r="DAX6" s="50"/>
      <c r="DAY6" s="50"/>
      <c r="DAZ6" s="50"/>
      <c r="DBA6" s="50"/>
      <c r="DBB6" s="50"/>
      <c r="DBC6" s="50"/>
      <c r="DBD6" s="50"/>
      <c r="DBE6" s="50"/>
      <c r="DBF6" s="50"/>
      <c r="DBG6" s="50"/>
      <c r="DBH6" s="50"/>
      <c r="DBI6" s="50"/>
      <c r="DBJ6" s="50"/>
      <c r="DBK6" s="50"/>
      <c r="DBL6" s="50"/>
      <c r="DBM6" s="50"/>
      <c r="DBN6" s="50"/>
      <c r="DBO6" s="50"/>
      <c r="DBP6" s="50"/>
      <c r="DBQ6" s="50"/>
      <c r="DBR6" s="50"/>
      <c r="DBS6" s="50"/>
      <c r="DBT6" s="50"/>
      <c r="DBU6" s="50"/>
      <c r="DBV6" s="50"/>
      <c r="DBW6" s="50"/>
      <c r="DBX6" s="50"/>
      <c r="DBY6" s="50"/>
      <c r="DBZ6" s="50"/>
      <c r="DCA6" s="50"/>
      <c r="DCB6" s="50"/>
      <c r="DCC6" s="50"/>
      <c r="DCD6" s="50"/>
      <c r="DCE6" s="50"/>
      <c r="DCF6" s="50"/>
      <c r="DCG6" s="50"/>
      <c r="DCH6" s="50"/>
      <c r="DCI6" s="50"/>
      <c r="DCJ6" s="50"/>
      <c r="DCK6" s="50"/>
      <c r="DCL6" s="50"/>
      <c r="DCM6" s="50"/>
      <c r="DCN6" s="50"/>
      <c r="DCO6" s="50"/>
      <c r="DCP6" s="50"/>
      <c r="DCQ6" s="50"/>
      <c r="DCR6" s="50"/>
      <c r="DCS6" s="50"/>
      <c r="DCT6" s="50"/>
      <c r="DCU6" s="50"/>
      <c r="DCV6" s="50"/>
      <c r="DCW6" s="50"/>
      <c r="DCX6" s="50"/>
      <c r="DCY6" s="50"/>
      <c r="DCZ6" s="50"/>
      <c r="DDA6" s="50"/>
      <c r="DDB6" s="50"/>
      <c r="DDC6" s="50"/>
      <c r="DDD6" s="50"/>
      <c r="DDE6" s="50"/>
      <c r="DDF6" s="50"/>
      <c r="DDG6" s="50"/>
      <c r="DDH6" s="50"/>
      <c r="DDI6" s="50"/>
      <c r="DDJ6" s="50"/>
      <c r="DDK6" s="50"/>
      <c r="DDL6" s="50"/>
      <c r="DDM6" s="50"/>
      <c r="DDN6" s="50"/>
      <c r="DDO6" s="50"/>
      <c r="DDP6" s="50"/>
      <c r="DDQ6" s="50"/>
      <c r="DDR6" s="50"/>
      <c r="DDS6" s="50"/>
      <c r="DDT6" s="50"/>
      <c r="DDU6" s="50"/>
      <c r="DDV6" s="50"/>
      <c r="DDW6" s="50"/>
      <c r="DDX6" s="50"/>
      <c r="DDY6" s="50"/>
      <c r="DDZ6" s="50"/>
      <c r="DEA6" s="50"/>
      <c r="DEB6" s="50"/>
      <c r="DEC6" s="50"/>
      <c r="DED6" s="50"/>
      <c r="DEE6" s="50"/>
      <c r="DEF6" s="50"/>
      <c r="DEG6" s="50"/>
      <c r="DEH6" s="50"/>
      <c r="DEI6" s="50"/>
      <c r="DEJ6" s="50"/>
      <c r="DEK6" s="50"/>
      <c r="DEL6" s="50"/>
      <c r="DEM6" s="50"/>
      <c r="DEN6" s="50"/>
      <c r="DEO6" s="50"/>
      <c r="DEP6" s="50"/>
      <c r="DEQ6" s="50"/>
      <c r="DER6" s="50"/>
      <c r="DES6" s="50"/>
      <c r="DET6" s="50"/>
      <c r="DEU6" s="50"/>
      <c r="DEV6" s="50"/>
      <c r="DEW6" s="50"/>
      <c r="DEX6" s="50"/>
      <c r="DEY6" s="50"/>
      <c r="DEZ6" s="50"/>
      <c r="DFA6" s="50"/>
      <c r="DFB6" s="50"/>
      <c r="DFC6" s="50"/>
      <c r="DFD6" s="50"/>
      <c r="DFE6" s="50"/>
      <c r="DFF6" s="50"/>
      <c r="DFG6" s="50"/>
      <c r="DFH6" s="50"/>
      <c r="DFI6" s="50"/>
      <c r="DFJ6" s="50"/>
      <c r="DFK6" s="50"/>
      <c r="DFL6" s="50"/>
      <c r="DFM6" s="50"/>
      <c r="DFN6" s="50"/>
      <c r="DFO6" s="50"/>
      <c r="DFP6" s="50"/>
      <c r="DFQ6" s="50"/>
      <c r="DFR6" s="50"/>
      <c r="DFS6" s="50"/>
      <c r="DFT6" s="50"/>
      <c r="DFU6" s="50"/>
      <c r="DFV6" s="50"/>
      <c r="DFW6" s="50"/>
      <c r="DFX6" s="50"/>
      <c r="DFY6" s="50"/>
      <c r="DFZ6" s="50"/>
      <c r="DGA6" s="50"/>
      <c r="DGB6" s="50"/>
      <c r="DGC6" s="50"/>
      <c r="DGD6" s="50"/>
      <c r="DGE6" s="50"/>
      <c r="DGF6" s="50"/>
      <c r="DGG6" s="50"/>
      <c r="DGH6" s="50"/>
      <c r="DGI6" s="50"/>
      <c r="DGJ6" s="50"/>
      <c r="DGK6" s="50"/>
      <c r="DGL6" s="50"/>
      <c r="DGM6" s="50"/>
      <c r="DGN6" s="50"/>
      <c r="DGO6" s="50"/>
      <c r="DGP6" s="50"/>
      <c r="DGQ6" s="50"/>
      <c r="DGR6" s="50"/>
      <c r="DGS6" s="50"/>
      <c r="DGT6" s="50"/>
      <c r="DGU6" s="50"/>
      <c r="DGV6" s="50"/>
      <c r="DGW6" s="50"/>
      <c r="DGX6" s="50"/>
      <c r="DGY6" s="50"/>
      <c r="DGZ6" s="50"/>
      <c r="DHA6" s="50"/>
      <c r="DHB6" s="50"/>
      <c r="DHC6" s="50"/>
      <c r="DHD6" s="50"/>
      <c r="DHE6" s="50"/>
      <c r="DHF6" s="50"/>
      <c r="DHG6" s="50"/>
      <c r="DHH6" s="50"/>
      <c r="DHI6" s="50"/>
      <c r="DHJ6" s="50"/>
      <c r="DHK6" s="50"/>
      <c r="DHL6" s="50"/>
      <c r="DHM6" s="50"/>
      <c r="DHN6" s="50"/>
      <c r="DHO6" s="50"/>
      <c r="DHP6" s="50"/>
      <c r="DHQ6" s="50"/>
      <c r="DHR6" s="50"/>
      <c r="DHS6" s="50"/>
      <c r="DHT6" s="50"/>
      <c r="DHU6" s="50"/>
      <c r="DHV6" s="50"/>
      <c r="DHW6" s="50"/>
      <c r="DHX6" s="50"/>
      <c r="DHY6" s="50"/>
      <c r="DHZ6" s="50"/>
      <c r="DIA6" s="50"/>
      <c r="DIB6" s="50"/>
      <c r="DIC6" s="50"/>
      <c r="DID6" s="50"/>
      <c r="DIE6" s="50"/>
      <c r="DIF6" s="50"/>
      <c r="DIG6" s="50"/>
      <c r="DIH6" s="50"/>
      <c r="DII6" s="50"/>
      <c r="DIJ6" s="50"/>
      <c r="DIK6" s="50"/>
      <c r="DIL6" s="50"/>
      <c r="DIM6" s="50"/>
      <c r="DIN6" s="50"/>
      <c r="DIO6" s="50"/>
      <c r="DIP6" s="50"/>
      <c r="DIQ6" s="50"/>
      <c r="DIR6" s="50"/>
      <c r="DIS6" s="50"/>
      <c r="DIT6" s="50"/>
      <c r="DIU6" s="50"/>
      <c r="DIV6" s="50"/>
      <c r="DIW6" s="50"/>
      <c r="DIX6" s="50"/>
      <c r="DIY6" s="50"/>
      <c r="DIZ6" s="50"/>
      <c r="DJA6" s="50"/>
      <c r="DJB6" s="50"/>
      <c r="DJC6" s="50"/>
      <c r="DJD6" s="50"/>
      <c r="DJE6" s="50"/>
      <c r="DJF6" s="50"/>
      <c r="DJG6" s="50"/>
      <c r="DJH6" s="50"/>
      <c r="DJI6" s="50"/>
      <c r="DJJ6" s="50"/>
      <c r="DJK6" s="50"/>
      <c r="DJL6" s="50"/>
      <c r="DJM6" s="50"/>
      <c r="DJN6" s="50"/>
      <c r="DJO6" s="50"/>
      <c r="DJP6" s="50"/>
      <c r="DJQ6" s="50"/>
      <c r="DJR6" s="50"/>
      <c r="DJS6" s="50"/>
      <c r="DJT6" s="50"/>
      <c r="DJU6" s="50"/>
      <c r="DJV6" s="50"/>
      <c r="DJW6" s="50"/>
      <c r="DJX6" s="50"/>
      <c r="DJY6" s="50"/>
      <c r="DJZ6" s="50"/>
      <c r="DKA6" s="50"/>
      <c r="DKB6" s="50"/>
      <c r="DKC6" s="50"/>
      <c r="DKD6" s="50"/>
      <c r="DKE6" s="50"/>
      <c r="DKF6" s="50"/>
      <c r="DKG6" s="50"/>
      <c r="DKH6" s="50"/>
      <c r="DKI6" s="50"/>
      <c r="DKJ6" s="50"/>
      <c r="DKK6" s="50"/>
      <c r="DKL6" s="50"/>
      <c r="DKM6" s="50"/>
      <c r="DKN6" s="50"/>
      <c r="DKO6" s="50"/>
      <c r="DKP6" s="50"/>
      <c r="DKQ6" s="50"/>
      <c r="DKR6" s="50"/>
      <c r="DKS6" s="50"/>
      <c r="DKT6" s="50"/>
      <c r="DKU6" s="50"/>
      <c r="DKV6" s="50"/>
      <c r="DKW6" s="50"/>
      <c r="DKX6" s="50"/>
      <c r="DKY6" s="50"/>
      <c r="DKZ6" s="50"/>
      <c r="DLA6" s="50"/>
      <c r="DLB6" s="50"/>
      <c r="DLC6" s="50"/>
      <c r="DLD6" s="50"/>
      <c r="DLE6" s="50"/>
      <c r="DLF6" s="50"/>
      <c r="DLG6" s="50"/>
      <c r="DLH6" s="50"/>
      <c r="DLI6" s="50"/>
      <c r="DLJ6" s="50"/>
      <c r="DLK6" s="50"/>
      <c r="DLL6" s="50"/>
      <c r="DLM6" s="50"/>
      <c r="DLN6" s="50"/>
      <c r="DLO6" s="50"/>
      <c r="DLP6" s="50"/>
      <c r="DLQ6" s="50"/>
      <c r="DLR6" s="50"/>
      <c r="DLS6" s="50"/>
      <c r="DLT6" s="50"/>
      <c r="DLU6" s="50"/>
      <c r="DLV6" s="50"/>
      <c r="DLW6" s="50"/>
      <c r="DLX6" s="50"/>
      <c r="DLY6" s="50"/>
      <c r="DLZ6" s="50"/>
      <c r="DMA6" s="50"/>
      <c r="DMB6" s="50"/>
      <c r="DMC6" s="50"/>
      <c r="DMD6" s="50"/>
      <c r="DME6" s="50"/>
      <c r="DMF6" s="50"/>
      <c r="DMG6" s="50"/>
      <c r="DMH6" s="50"/>
      <c r="DMI6" s="50"/>
      <c r="DMJ6" s="50"/>
      <c r="DMK6" s="50"/>
      <c r="DML6" s="50"/>
      <c r="DMM6" s="50"/>
      <c r="DMN6" s="50"/>
      <c r="DMO6" s="50"/>
      <c r="DMP6" s="50"/>
      <c r="DMQ6" s="50"/>
      <c r="DMR6" s="50"/>
      <c r="DMS6" s="50"/>
      <c r="DMT6" s="50"/>
      <c r="DMU6" s="50"/>
      <c r="DMV6" s="50"/>
      <c r="DMW6" s="50"/>
      <c r="DMX6" s="50"/>
      <c r="DMY6" s="50"/>
      <c r="DMZ6" s="50"/>
      <c r="DNA6" s="50"/>
      <c r="DNB6" s="50"/>
      <c r="DNC6" s="50"/>
      <c r="DND6" s="50"/>
      <c r="DNE6" s="50"/>
      <c r="DNF6" s="50"/>
      <c r="DNG6" s="50"/>
      <c r="DNH6" s="50"/>
      <c r="DNI6" s="50"/>
      <c r="DNJ6" s="50"/>
      <c r="DNK6" s="50"/>
      <c r="DNL6" s="50"/>
      <c r="DNM6" s="50"/>
      <c r="DNN6" s="50"/>
      <c r="DNO6" s="50"/>
      <c r="DNP6" s="50"/>
      <c r="DNQ6" s="50"/>
      <c r="DNR6" s="50"/>
      <c r="DNS6" s="50"/>
      <c r="DNT6" s="50"/>
      <c r="DNU6" s="50"/>
      <c r="DNV6" s="50"/>
      <c r="DNW6" s="50"/>
      <c r="DNX6" s="50"/>
      <c r="DNY6" s="50"/>
      <c r="DNZ6" s="50"/>
      <c r="DOA6" s="50"/>
      <c r="DOB6" s="50"/>
      <c r="DOC6" s="50"/>
      <c r="DOD6" s="50"/>
      <c r="DOE6" s="50"/>
      <c r="DOF6" s="50"/>
      <c r="DOG6" s="50"/>
      <c r="DOH6" s="50"/>
      <c r="DOI6" s="50"/>
      <c r="DOJ6" s="50"/>
      <c r="DOK6" s="50"/>
      <c r="DOL6" s="50"/>
      <c r="DOM6" s="50"/>
      <c r="DON6" s="50"/>
      <c r="DOO6" s="50"/>
      <c r="DOP6" s="50"/>
      <c r="DOQ6" s="50"/>
      <c r="DOR6" s="50"/>
      <c r="DOS6" s="50"/>
      <c r="DOT6" s="50"/>
      <c r="DOU6" s="50"/>
      <c r="DOV6" s="50"/>
      <c r="DOW6" s="50"/>
      <c r="DOX6" s="50"/>
      <c r="DOY6" s="50"/>
      <c r="DOZ6" s="50"/>
      <c r="DPA6" s="50"/>
      <c r="DPB6" s="50"/>
      <c r="DPC6" s="50"/>
      <c r="DPD6" s="50"/>
      <c r="DPE6" s="50"/>
      <c r="DPF6" s="50"/>
      <c r="DPG6" s="50"/>
      <c r="DPH6" s="50"/>
      <c r="DPI6" s="50"/>
      <c r="DPJ6" s="50"/>
      <c r="DPK6" s="50"/>
      <c r="DPL6" s="50"/>
      <c r="DPM6" s="50"/>
      <c r="DPN6" s="50"/>
      <c r="DPO6" s="50"/>
      <c r="DPP6" s="50"/>
      <c r="DPQ6" s="50"/>
      <c r="DPR6" s="50"/>
      <c r="DPS6" s="50"/>
      <c r="DPT6" s="50"/>
      <c r="DPU6" s="50"/>
      <c r="DPV6" s="50"/>
      <c r="DPW6" s="50"/>
      <c r="DPX6" s="50"/>
      <c r="DPY6" s="50"/>
      <c r="DPZ6" s="50"/>
      <c r="DQA6" s="50"/>
      <c r="DQB6" s="50"/>
      <c r="DQC6" s="50"/>
      <c r="DQD6" s="50"/>
      <c r="DQE6" s="50"/>
      <c r="DQF6" s="50"/>
      <c r="DQG6" s="50"/>
      <c r="DQH6" s="50"/>
      <c r="DQI6" s="50"/>
      <c r="DQJ6" s="50"/>
      <c r="DQK6" s="50"/>
      <c r="DQL6" s="50"/>
      <c r="DQM6" s="50"/>
      <c r="DQN6" s="50"/>
      <c r="DQO6" s="50"/>
      <c r="DQP6" s="50"/>
      <c r="DQQ6" s="50"/>
      <c r="DQR6" s="50"/>
      <c r="DQS6" s="50"/>
      <c r="DQT6" s="50"/>
      <c r="DQU6" s="50"/>
      <c r="DQV6" s="50"/>
      <c r="DQW6" s="50"/>
      <c r="DQX6" s="50"/>
      <c r="DQY6" s="50"/>
      <c r="DQZ6" s="50"/>
      <c r="DRA6" s="50"/>
      <c r="DRB6" s="50"/>
      <c r="DRC6" s="50"/>
      <c r="DRD6" s="50"/>
      <c r="DRE6" s="50"/>
      <c r="DRF6" s="50"/>
      <c r="DRG6" s="50"/>
      <c r="DRH6" s="50"/>
      <c r="DRI6" s="50"/>
      <c r="DRJ6" s="50"/>
      <c r="DRK6" s="50"/>
      <c r="DRL6" s="50"/>
      <c r="DRM6" s="50"/>
      <c r="DRN6" s="50"/>
      <c r="DRO6" s="50"/>
      <c r="DRP6" s="50"/>
      <c r="DRQ6" s="50"/>
      <c r="DRR6" s="50"/>
      <c r="DRS6" s="50"/>
      <c r="DRT6" s="50"/>
      <c r="DRU6" s="50"/>
      <c r="DRV6" s="50"/>
      <c r="DRW6" s="50"/>
      <c r="DRX6" s="50"/>
      <c r="DRY6" s="50"/>
      <c r="DRZ6" s="50"/>
      <c r="DSA6" s="50"/>
      <c r="DSB6" s="50"/>
      <c r="DSC6" s="50"/>
      <c r="DSD6" s="50"/>
      <c r="DSE6" s="50"/>
      <c r="DSF6" s="50"/>
      <c r="DSG6" s="50"/>
      <c r="DSH6" s="50"/>
      <c r="DSI6" s="50"/>
      <c r="DSJ6" s="50"/>
      <c r="DSK6" s="50"/>
      <c r="DSL6" s="50"/>
      <c r="DSM6" s="50"/>
      <c r="DSN6" s="50"/>
      <c r="DSO6" s="50"/>
      <c r="DSP6" s="50"/>
      <c r="DSQ6" s="50"/>
      <c r="DSR6" s="50"/>
      <c r="DSS6" s="50"/>
      <c r="DST6" s="50"/>
      <c r="DSU6" s="50"/>
      <c r="DSV6" s="50"/>
      <c r="DSW6" s="50"/>
      <c r="DSX6" s="50"/>
      <c r="DSY6" s="50"/>
      <c r="DSZ6" s="50"/>
      <c r="DTA6" s="50"/>
      <c r="DTB6" s="50"/>
      <c r="DTC6" s="50"/>
      <c r="DTD6" s="50"/>
      <c r="DTE6" s="50"/>
      <c r="DTF6" s="50"/>
      <c r="DTG6" s="50"/>
      <c r="DTH6" s="50"/>
      <c r="DTI6" s="50"/>
      <c r="DTJ6" s="50"/>
      <c r="DTK6" s="50"/>
      <c r="DTL6" s="50"/>
      <c r="DTM6" s="50"/>
      <c r="DTN6" s="50"/>
      <c r="DTO6" s="50"/>
      <c r="DTP6" s="50"/>
      <c r="DTQ6" s="50"/>
      <c r="DTR6" s="50"/>
      <c r="DTS6" s="50"/>
      <c r="DTT6" s="50"/>
      <c r="DTU6" s="50"/>
      <c r="DTV6" s="50"/>
      <c r="DTW6" s="50"/>
      <c r="DTX6" s="50"/>
      <c r="DTY6" s="50"/>
      <c r="DTZ6" s="50"/>
      <c r="DUA6" s="50"/>
      <c r="DUB6" s="50"/>
      <c r="DUC6" s="50"/>
      <c r="DUD6" s="50"/>
      <c r="DUE6" s="50"/>
      <c r="DUF6" s="50"/>
      <c r="DUG6" s="50"/>
      <c r="DUH6" s="50"/>
      <c r="DUI6" s="50"/>
      <c r="DUJ6" s="50"/>
      <c r="DUK6" s="50"/>
      <c r="DUL6" s="50"/>
      <c r="DUM6" s="50"/>
      <c r="DUN6" s="50"/>
      <c r="DUO6" s="50"/>
      <c r="DUP6" s="50"/>
      <c r="DUQ6" s="50"/>
      <c r="DUR6" s="50"/>
      <c r="DUS6" s="50"/>
      <c r="DUT6" s="50"/>
      <c r="DUU6" s="50"/>
      <c r="DUV6" s="50"/>
      <c r="DUW6" s="50"/>
      <c r="DUX6" s="50"/>
      <c r="DUY6" s="50"/>
      <c r="DUZ6" s="50"/>
      <c r="DVA6" s="50"/>
      <c r="DVB6" s="50"/>
      <c r="DVC6" s="50"/>
      <c r="DVD6" s="50"/>
      <c r="DVE6" s="50"/>
      <c r="DVF6" s="50"/>
      <c r="DVG6" s="50"/>
      <c r="DVH6" s="50"/>
      <c r="DVI6" s="50"/>
      <c r="DVJ6" s="50"/>
      <c r="DVK6" s="50"/>
      <c r="DVL6" s="50"/>
      <c r="DVM6" s="50"/>
      <c r="DVN6" s="50"/>
      <c r="DVO6" s="50"/>
      <c r="DVP6" s="50"/>
      <c r="DVQ6" s="50"/>
      <c r="DVR6" s="50"/>
      <c r="DVS6" s="50"/>
      <c r="DVT6" s="50"/>
      <c r="DVU6" s="50"/>
      <c r="DVV6" s="50"/>
      <c r="DVW6" s="50"/>
      <c r="DVX6" s="50"/>
      <c r="DVY6" s="50"/>
      <c r="DVZ6" s="50"/>
      <c r="DWA6" s="50"/>
      <c r="DWB6" s="50"/>
      <c r="DWC6" s="50"/>
      <c r="DWD6" s="50"/>
      <c r="DWE6" s="50"/>
      <c r="DWF6" s="50"/>
      <c r="DWG6" s="50"/>
      <c r="DWH6" s="50"/>
      <c r="DWI6" s="50"/>
      <c r="DWJ6" s="50"/>
      <c r="DWK6" s="50"/>
      <c r="DWL6" s="50"/>
      <c r="DWM6" s="50"/>
      <c r="DWN6" s="50"/>
      <c r="DWO6" s="50"/>
      <c r="DWP6" s="50"/>
      <c r="DWQ6" s="50"/>
      <c r="DWR6" s="50"/>
      <c r="DWS6" s="50"/>
      <c r="DWT6" s="50"/>
      <c r="DWU6" s="50"/>
      <c r="DWV6" s="50"/>
      <c r="DWW6" s="50"/>
      <c r="DWX6" s="50"/>
      <c r="DWY6" s="50"/>
      <c r="DWZ6" s="50"/>
      <c r="DXA6" s="50"/>
      <c r="DXB6" s="50"/>
      <c r="DXC6" s="50"/>
      <c r="DXD6" s="50"/>
      <c r="DXE6" s="50"/>
      <c r="DXF6" s="50"/>
      <c r="DXG6" s="50"/>
      <c r="DXH6" s="50"/>
      <c r="DXI6" s="50"/>
      <c r="DXJ6" s="50"/>
      <c r="DXK6" s="50"/>
      <c r="DXL6" s="50"/>
      <c r="DXM6" s="50"/>
      <c r="DXN6" s="50"/>
      <c r="DXO6" s="50"/>
      <c r="DXP6" s="50"/>
      <c r="DXQ6" s="50"/>
      <c r="DXR6" s="50"/>
      <c r="DXS6" s="50"/>
      <c r="DXT6" s="50"/>
      <c r="DXU6" s="50"/>
      <c r="DXV6" s="50"/>
      <c r="DXW6" s="50"/>
      <c r="DXX6" s="50"/>
      <c r="DXY6" s="50"/>
      <c r="DXZ6" s="50"/>
      <c r="DYA6" s="50"/>
      <c r="DYB6" s="50"/>
      <c r="DYC6" s="50"/>
      <c r="DYD6" s="50"/>
      <c r="DYE6" s="50"/>
      <c r="DYF6" s="50"/>
      <c r="DYG6" s="50"/>
      <c r="DYH6" s="50"/>
      <c r="DYI6" s="50"/>
      <c r="DYJ6" s="50"/>
      <c r="DYK6" s="50"/>
      <c r="DYL6" s="50"/>
      <c r="DYM6" s="50"/>
      <c r="DYN6" s="50"/>
      <c r="DYO6" s="50"/>
      <c r="DYP6" s="50"/>
      <c r="DYQ6" s="50"/>
      <c r="DYR6" s="50"/>
      <c r="DYS6" s="50"/>
      <c r="DYT6" s="50"/>
      <c r="DYU6" s="50"/>
      <c r="DYV6" s="50"/>
      <c r="DYW6" s="50"/>
      <c r="DYX6" s="50"/>
      <c r="DYY6" s="50"/>
      <c r="DYZ6" s="50"/>
      <c r="DZA6" s="50"/>
      <c r="DZB6" s="50"/>
      <c r="DZC6" s="50"/>
      <c r="DZD6" s="50"/>
      <c r="DZE6" s="50"/>
      <c r="DZF6" s="50"/>
      <c r="DZG6" s="50"/>
      <c r="DZH6" s="50"/>
      <c r="DZI6" s="50"/>
      <c r="DZJ6" s="50"/>
      <c r="DZK6" s="50"/>
      <c r="DZL6" s="50"/>
      <c r="DZM6" s="50"/>
      <c r="DZN6" s="50"/>
      <c r="DZO6" s="50"/>
      <c r="DZP6" s="50"/>
      <c r="DZQ6" s="50"/>
      <c r="DZR6" s="50"/>
      <c r="DZS6" s="50"/>
      <c r="DZT6" s="50"/>
      <c r="DZU6" s="50"/>
      <c r="DZV6" s="50"/>
      <c r="DZW6" s="50"/>
      <c r="DZX6" s="50"/>
      <c r="DZY6" s="50"/>
      <c r="DZZ6" s="50"/>
      <c r="EAA6" s="50"/>
      <c r="EAB6" s="50"/>
      <c r="EAC6" s="50"/>
      <c r="EAD6" s="50"/>
      <c r="EAE6" s="50"/>
      <c r="EAF6" s="50"/>
      <c r="EAG6" s="50"/>
      <c r="EAH6" s="50"/>
      <c r="EAI6" s="50"/>
      <c r="EAJ6" s="50"/>
      <c r="EAK6" s="50"/>
      <c r="EAL6" s="50"/>
      <c r="EAM6" s="50"/>
      <c r="EAN6" s="50"/>
      <c r="EAO6" s="50"/>
      <c r="EAP6" s="50"/>
      <c r="EAQ6" s="50"/>
      <c r="EAR6" s="50"/>
      <c r="EAS6" s="50"/>
      <c r="EAT6" s="50"/>
      <c r="EAU6" s="50"/>
      <c r="EAV6" s="50"/>
      <c r="EAW6" s="50"/>
      <c r="EAX6" s="50"/>
      <c r="EAY6" s="50"/>
      <c r="EAZ6" s="50"/>
      <c r="EBA6" s="50"/>
      <c r="EBB6" s="50"/>
      <c r="EBC6" s="50"/>
      <c r="EBD6" s="50"/>
      <c r="EBE6" s="50"/>
      <c r="EBF6" s="50"/>
      <c r="EBG6" s="50"/>
      <c r="EBH6" s="50"/>
      <c r="EBI6" s="50"/>
      <c r="EBJ6" s="50"/>
      <c r="EBK6" s="50"/>
      <c r="EBL6" s="50"/>
      <c r="EBM6" s="50"/>
      <c r="EBN6" s="50"/>
      <c r="EBO6" s="50"/>
      <c r="EBP6" s="50"/>
      <c r="EBQ6" s="50"/>
      <c r="EBR6" s="50"/>
      <c r="EBS6" s="50"/>
      <c r="EBT6" s="50"/>
      <c r="EBU6" s="50"/>
      <c r="EBV6" s="50"/>
      <c r="EBW6" s="50"/>
      <c r="EBX6" s="50"/>
      <c r="EBY6" s="50"/>
      <c r="EBZ6" s="50"/>
      <c r="ECA6" s="50"/>
      <c r="ECB6" s="50"/>
      <c r="ECC6" s="50"/>
      <c r="ECD6" s="50"/>
      <c r="ECE6" s="50"/>
      <c r="ECF6" s="50"/>
      <c r="ECG6" s="50"/>
      <c r="ECH6" s="50"/>
      <c r="ECI6" s="50"/>
      <c r="ECJ6" s="50"/>
      <c r="ECK6" s="50"/>
      <c r="ECL6" s="50"/>
      <c r="ECM6" s="50"/>
      <c r="ECN6" s="50"/>
      <c r="ECO6" s="50"/>
      <c r="ECP6" s="50"/>
      <c r="ECQ6" s="50"/>
      <c r="ECR6" s="50"/>
      <c r="ECS6" s="50"/>
      <c r="ECT6" s="50"/>
      <c r="ECU6" s="50"/>
      <c r="ECV6" s="50"/>
      <c r="ECW6" s="50"/>
      <c r="ECX6" s="50"/>
      <c r="ECY6" s="50"/>
      <c r="ECZ6" s="50"/>
      <c r="EDA6" s="50"/>
      <c r="EDB6" s="50"/>
      <c r="EDC6" s="50"/>
      <c r="EDD6" s="50"/>
      <c r="EDE6" s="50"/>
      <c r="EDF6" s="50"/>
      <c r="EDG6" s="50"/>
      <c r="EDH6" s="50"/>
      <c r="EDI6" s="50"/>
      <c r="EDJ6" s="50"/>
      <c r="EDK6" s="50"/>
      <c r="EDL6" s="50"/>
      <c r="EDM6" s="50"/>
      <c r="EDN6" s="50"/>
      <c r="EDO6" s="50"/>
      <c r="EDP6" s="50"/>
      <c r="EDQ6" s="50"/>
      <c r="EDR6" s="50"/>
      <c r="EDS6" s="50"/>
      <c r="EDT6" s="50"/>
      <c r="EDU6" s="50"/>
      <c r="EDV6" s="50"/>
      <c r="EDW6" s="50"/>
      <c r="EDX6" s="50"/>
      <c r="EDY6" s="50"/>
      <c r="EDZ6" s="50"/>
      <c r="EEA6" s="50"/>
      <c r="EEB6" s="50"/>
      <c r="EEC6" s="50"/>
      <c r="EED6" s="50"/>
      <c r="EEE6" s="50"/>
      <c r="EEF6" s="50"/>
      <c r="EEG6" s="50"/>
      <c r="EEH6" s="50"/>
      <c r="EEI6" s="50"/>
      <c r="EEJ6" s="50"/>
      <c r="EEK6" s="50"/>
      <c r="EEL6" s="50"/>
      <c r="EEM6" s="50"/>
      <c r="EEN6" s="50"/>
      <c r="EEO6" s="50"/>
      <c r="EEP6" s="50"/>
      <c r="EEQ6" s="50"/>
      <c r="EER6" s="50"/>
      <c r="EES6" s="50"/>
      <c r="EET6" s="50"/>
      <c r="EEU6" s="50"/>
      <c r="EEV6" s="50"/>
      <c r="EEW6" s="50"/>
      <c r="EEX6" s="50"/>
      <c r="EEY6" s="50"/>
      <c r="EEZ6" s="50"/>
      <c r="EFA6" s="50"/>
      <c r="EFB6" s="50"/>
      <c r="EFC6" s="50"/>
      <c r="EFD6" s="50"/>
      <c r="EFE6" s="50"/>
      <c r="EFF6" s="50"/>
      <c r="EFG6" s="50"/>
      <c r="EFH6" s="50"/>
      <c r="EFI6" s="50"/>
      <c r="EFJ6" s="50"/>
      <c r="EFK6" s="50"/>
      <c r="EFL6" s="50"/>
      <c r="EFM6" s="50"/>
      <c r="EFN6" s="50"/>
      <c r="EFO6" s="50"/>
      <c r="EFP6" s="50"/>
      <c r="EFQ6" s="50"/>
      <c r="EFR6" s="50"/>
      <c r="EFS6" s="50"/>
      <c r="EFT6" s="50"/>
      <c r="EFU6" s="50"/>
      <c r="EFV6" s="50"/>
      <c r="EFW6" s="50"/>
      <c r="EFX6" s="50"/>
      <c r="EFY6" s="50"/>
      <c r="EFZ6" s="50"/>
      <c r="EGA6" s="50"/>
      <c r="EGB6" s="50"/>
      <c r="EGC6" s="50"/>
      <c r="EGD6" s="50"/>
      <c r="EGE6" s="50"/>
      <c r="EGF6" s="50"/>
      <c r="EGG6" s="50"/>
      <c r="EGH6" s="50"/>
      <c r="EGI6" s="50"/>
      <c r="EGJ6" s="50"/>
      <c r="EGK6" s="50"/>
      <c r="EGL6" s="50"/>
      <c r="EGM6" s="50"/>
      <c r="EGN6" s="50"/>
      <c r="EGO6" s="50"/>
      <c r="EGP6" s="50"/>
      <c r="EGQ6" s="50"/>
      <c r="EGR6" s="50"/>
      <c r="EGS6" s="50"/>
      <c r="EGT6" s="50"/>
      <c r="EGU6" s="50"/>
      <c r="EGV6" s="50"/>
      <c r="EGW6" s="50"/>
      <c r="EGX6" s="50"/>
      <c r="EGY6" s="50"/>
      <c r="EGZ6" s="50"/>
      <c r="EHA6" s="50"/>
      <c r="EHB6" s="50"/>
      <c r="EHC6" s="50"/>
      <c r="EHD6" s="50"/>
      <c r="EHE6" s="50"/>
      <c r="EHF6" s="50"/>
      <c r="EHG6" s="50"/>
      <c r="EHH6" s="50"/>
      <c r="EHI6" s="50"/>
      <c r="EHJ6" s="50"/>
      <c r="EHK6" s="50"/>
      <c r="EHL6" s="50"/>
      <c r="EHM6" s="50"/>
      <c r="EHN6" s="50"/>
      <c r="EHO6" s="50"/>
      <c r="EHP6" s="50"/>
      <c r="EHQ6" s="50"/>
      <c r="EHR6" s="50"/>
      <c r="EHS6" s="50"/>
      <c r="EHT6" s="50"/>
      <c r="EHU6" s="50"/>
      <c r="EHV6" s="50"/>
      <c r="EHW6" s="50"/>
      <c r="EHX6" s="50"/>
      <c r="EHY6" s="50"/>
      <c r="EHZ6" s="50"/>
      <c r="EIA6" s="50"/>
      <c r="EIB6" s="50"/>
      <c r="EIC6" s="50"/>
      <c r="EID6" s="50"/>
      <c r="EIE6" s="50"/>
      <c r="EIF6" s="50"/>
      <c r="EIG6" s="50"/>
      <c r="EIH6" s="50"/>
      <c r="EII6" s="50"/>
      <c r="EIJ6" s="50"/>
      <c r="EIK6" s="50"/>
      <c r="EIL6" s="50"/>
      <c r="EIM6" s="50"/>
      <c r="EIN6" s="50"/>
      <c r="EIO6" s="50"/>
      <c r="EIP6" s="50"/>
      <c r="EIQ6" s="50"/>
      <c r="EIR6" s="50"/>
      <c r="EIS6" s="50"/>
      <c r="EIT6" s="50"/>
      <c r="EIU6" s="50"/>
      <c r="EIV6" s="50"/>
      <c r="EIW6" s="50"/>
      <c r="EIX6" s="50"/>
      <c r="EIY6" s="50"/>
      <c r="EIZ6" s="50"/>
      <c r="EJA6" s="50"/>
      <c r="EJB6" s="50"/>
      <c r="EJC6" s="50"/>
      <c r="EJD6" s="50"/>
      <c r="EJE6" s="50"/>
      <c r="EJF6" s="50"/>
      <c r="EJG6" s="50"/>
      <c r="EJH6" s="50"/>
      <c r="EJI6" s="50"/>
      <c r="EJJ6" s="50"/>
      <c r="EJK6" s="50"/>
      <c r="EJL6" s="50"/>
      <c r="EJM6" s="50"/>
      <c r="EJN6" s="50"/>
      <c r="EJO6" s="50"/>
      <c r="EJP6" s="50"/>
      <c r="EJQ6" s="50"/>
      <c r="EJR6" s="50"/>
      <c r="EJS6" s="50"/>
      <c r="EJT6" s="50"/>
      <c r="EJU6" s="50"/>
      <c r="EJV6" s="50"/>
      <c r="EJW6" s="50"/>
      <c r="EJX6" s="50"/>
      <c r="EJY6" s="50"/>
      <c r="EJZ6" s="50"/>
      <c r="EKA6" s="50"/>
      <c r="EKB6" s="50"/>
      <c r="EKC6" s="50"/>
      <c r="EKD6" s="50"/>
      <c r="EKE6" s="50"/>
      <c r="EKF6" s="50"/>
      <c r="EKG6" s="50"/>
      <c r="EKH6" s="50"/>
      <c r="EKI6" s="50"/>
      <c r="EKJ6" s="50"/>
      <c r="EKK6" s="50"/>
      <c r="EKL6" s="50"/>
      <c r="EKM6" s="50"/>
      <c r="EKN6" s="50"/>
      <c r="EKO6" s="50"/>
      <c r="EKP6" s="50"/>
      <c r="EKQ6" s="50"/>
      <c r="EKR6" s="50"/>
      <c r="EKS6" s="50"/>
      <c r="EKT6" s="50"/>
      <c r="EKU6" s="50"/>
      <c r="EKV6" s="50"/>
      <c r="EKW6" s="50"/>
      <c r="EKX6" s="50"/>
      <c r="EKY6" s="50"/>
      <c r="EKZ6" s="50"/>
      <c r="ELA6" s="50"/>
      <c r="ELB6" s="50"/>
      <c r="ELC6" s="50"/>
      <c r="ELD6" s="50"/>
      <c r="ELE6" s="50"/>
      <c r="ELF6" s="50"/>
      <c r="ELG6" s="50"/>
      <c r="ELH6" s="50"/>
      <c r="ELI6" s="50"/>
      <c r="ELJ6" s="50"/>
      <c r="ELK6" s="50"/>
      <c r="ELL6" s="50"/>
      <c r="ELM6" s="50"/>
      <c r="ELN6" s="50"/>
      <c r="ELO6" s="50"/>
      <c r="ELP6" s="50"/>
      <c r="ELQ6" s="50"/>
      <c r="ELR6" s="50"/>
      <c r="ELS6" s="50"/>
      <c r="ELT6" s="50"/>
      <c r="ELU6" s="50"/>
      <c r="ELV6" s="50"/>
      <c r="ELW6" s="50"/>
      <c r="ELX6" s="50"/>
      <c r="ELY6" s="50"/>
      <c r="ELZ6" s="50"/>
      <c r="EMA6" s="50"/>
      <c r="EMB6" s="50"/>
      <c r="EMC6" s="50"/>
      <c r="EMD6" s="50"/>
      <c r="EME6" s="50"/>
      <c r="EMF6" s="50"/>
      <c r="EMG6" s="50"/>
      <c r="EMH6" s="50"/>
      <c r="EMI6" s="50"/>
      <c r="EMJ6" s="50"/>
      <c r="EMK6" s="50"/>
      <c r="EML6" s="50"/>
      <c r="EMM6" s="50"/>
      <c r="EMN6" s="50"/>
      <c r="EMO6" s="50"/>
      <c r="EMP6" s="50"/>
      <c r="EMQ6" s="50"/>
      <c r="EMR6" s="50"/>
      <c r="EMS6" s="50"/>
      <c r="EMT6" s="50"/>
      <c r="EMU6" s="50"/>
      <c r="EMV6" s="50"/>
      <c r="EMW6" s="50"/>
      <c r="EMX6" s="50"/>
      <c r="EMY6" s="50"/>
      <c r="EMZ6" s="50"/>
      <c r="ENA6" s="50"/>
      <c r="ENB6" s="50"/>
      <c r="ENC6" s="50"/>
      <c r="END6" s="50"/>
      <c r="ENE6" s="50"/>
      <c r="ENF6" s="50"/>
      <c r="ENG6" s="50"/>
      <c r="ENH6" s="50"/>
      <c r="ENI6" s="50"/>
      <c r="ENJ6" s="50"/>
      <c r="ENK6" s="50"/>
      <c r="ENL6" s="50"/>
      <c r="ENM6" s="50"/>
      <c r="ENN6" s="50"/>
      <c r="ENO6" s="50"/>
      <c r="ENP6" s="50"/>
      <c r="ENQ6" s="50"/>
      <c r="ENR6" s="50"/>
      <c r="ENS6" s="50"/>
      <c r="ENT6" s="50"/>
      <c r="ENU6" s="50"/>
      <c r="ENV6" s="50"/>
      <c r="ENW6" s="50"/>
      <c r="ENX6" s="50"/>
      <c r="ENY6" s="50"/>
      <c r="ENZ6" s="50"/>
      <c r="EOA6" s="50"/>
      <c r="EOB6" s="50"/>
      <c r="EOC6" s="50"/>
      <c r="EOD6" s="50"/>
      <c r="EOE6" s="50"/>
      <c r="EOF6" s="50"/>
      <c r="EOG6" s="50"/>
      <c r="EOH6" s="50"/>
      <c r="EOI6" s="50"/>
      <c r="EOJ6" s="50"/>
      <c r="EOK6" s="50"/>
      <c r="EOL6" s="50"/>
      <c r="EOM6" s="50"/>
      <c r="EON6" s="50"/>
      <c r="EOO6" s="50"/>
      <c r="EOP6" s="50"/>
      <c r="EOQ6" s="50"/>
      <c r="EOR6" s="50"/>
      <c r="EOS6" s="50"/>
      <c r="EOT6" s="50"/>
      <c r="EOU6" s="50"/>
      <c r="EOV6" s="50"/>
      <c r="EOW6" s="50"/>
      <c r="EOX6" s="50"/>
      <c r="EOY6" s="50"/>
      <c r="EOZ6" s="50"/>
      <c r="EPA6" s="50"/>
      <c r="EPB6" s="50"/>
      <c r="EPC6" s="50"/>
      <c r="EPD6" s="50"/>
      <c r="EPE6" s="50"/>
      <c r="EPF6" s="50"/>
      <c r="EPG6" s="50"/>
      <c r="EPH6" s="50"/>
      <c r="EPI6" s="50"/>
      <c r="EPJ6" s="50"/>
      <c r="EPK6" s="50"/>
      <c r="EPL6" s="50"/>
      <c r="EPM6" s="50"/>
      <c r="EPN6" s="50"/>
      <c r="EPO6" s="50"/>
      <c r="EPP6" s="50"/>
      <c r="EPQ6" s="50"/>
      <c r="EPR6" s="50"/>
      <c r="EPS6" s="50"/>
      <c r="EPT6" s="50"/>
      <c r="EPU6" s="50"/>
      <c r="EPV6" s="50"/>
      <c r="EPW6" s="50"/>
      <c r="EPX6" s="50"/>
      <c r="EPY6" s="50"/>
      <c r="EPZ6" s="50"/>
      <c r="EQA6" s="50"/>
      <c r="EQB6" s="50"/>
      <c r="EQC6" s="50"/>
      <c r="EQD6" s="50"/>
      <c r="EQE6" s="50"/>
      <c r="EQF6" s="50"/>
      <c r="EQG6" s="50"/>
      <c r="EQH6" s="50"/>
      <c r="EQI6" s="50"/>
      <c r="EQJ6" s="50"/>
      <c r="EQK6" s="50"/>
      <c r="EQL6" s="50"/>
      <c r="EQM6" s="50"/>
      <c r="EQN6" s="50"/>
      <c r="EQO6" s="50"/>
      <c r="EQP6" s="50"/>
      <c r="EQQ6" s="50"/>
      <c r="EQR6" s="50"/>
      <c r="EQS6" s="50"/>
      <c r="EQT6" s="50"/>
      <c r="EQU6" s="50"/>
      <c r="EQV6" s="50"/>
      <c r="EQW6" s="50"/>
      <c r="EQX6" s="50"/>
      <c r="EQY6" s="50"/>
      <c r="EQZ6" s="50"/>
      <c r="ERA6" s="50"/>
      <c r="ERB6" s="50"/>
      <c r="ERC6" s="50"/>
      <c r="ERD6" s="50"/>
      <c r="ERE6" s="50"/>
      <c r="ERF6" s="50"/>
      <c r="ERG6" s="50"/>
      <c r="ERH6" s="50"/>
      <c r="ERI6" s="50"/>
      <c r="ERJ6" s="50"/>
      <c r="ERK6" s="50"/>
      <c r="ERL6" s="50"/>
      <c r="ERM6" s="50"/>
      <c r="ERN6" s="50"/>
      <c r="ERO6" s="50"/>
      <c r="ERP6" s="50"/>
      <c r="ERQ6" s="50"/>
      <c r="ERR6" s="50"/>
      <c r="ERS6" s="50"/>
      <c r="ERT6" s="50"/>
      <c r="ERU6" s="50"/>
      <c r="ERV6" s="50"/>
      <c r="ERW6" s="50"/>
      <c r="ERX6" s="50"/>
      <c r="ERY6" s="50"/>
      <c r="ERZ6" s="50"/>
      <c r="ESA6" s="50"/>
      <c r="ESB6" s="50"/>
      <c r="ESC6" s="50"/>
      <c r="ESD6" s="50"/>
      <c r="ESE6" s="50"/>
      <c r="ESF6" s="50"/>
      <c r="ESG6" s="50"/>
      <c r="ESH6" s="50"/>
      <c r="ESI6" s="50"/>
      <c r="ESJ6" s="50"/>
      <c r="ESK6" s="50"/>
      <c r="ESL6" s="50"/>
      <c r="ESM6" s="50"/>
      <c r="ESN6" s="50"/>
      <c r="ESO6" s="50"/>
      <c r="ESP6" s="50"/>
      <c r="ESQ6" s="50"/>
      <c r="ESR6" s="50"/>
      <c r="ESS6" s="50"/>
      <c r="EST6" s="50"/>
      <c r="ESU6" s="50"/>
      <c r="ESV6" s="50"/>
      <c r="ESW6" s="50"/>
      <c r="ESX6" s="50"/>
      <c r="ESY6" s="50"/>
      <c r="ESZ6" s="50"/>
      <c r="ETA6" s="50"/>
      <c r="ETB6" s="50"/>
      <c r="ETC6" s="50"/>
      <c r="ETD6" s="50"/>
      <c r="ETE6" s="50"/>
      <c r="ETF6" s="50"/>
      <c r="ETG6" s="50"/>
      <c r="ETH6" s="50"/>
      <c r="ETI6" s="50"/>
      <c r="ETJ6" s="50"/>
      <c r="ETK6" s="50"/>
      <c r="ETL6" s="50"/>
      <c r="ETM6" s="50"/>
      <c r="ETN6" s="50"/>
      <c r="ETO6" s="50"/>
      <c r="ETP6" s="50"/>
      <c r="ETQ6" s="50"/>
      <c r="ETR6" s="50"/>
      <c r="ETS6" s="50"/>
      <c r="ETT6" s="50"/>
      <c r="ETU6" s="50"/>
      <c r="ETV6" s="50"/>
      <c r="ETW6" s="50"/>
      <c r="ETX6" s="50"/>
      <c r="ETY6" s="50"/>
      <c r="ETZ6" s="50"/>
      <c r="EUA6" s="50"/>
      <c r="EUB6" s="50"/>
      <c r="EUC6" s="50"/>
      <c r="EUD6" s="50"/>
      <c r="EUE6" s="50"/>
      <c r="EUF6" s="50"/>
      <c r="EUG6" s="50"/>
      <c r="EUH6" s="50"/>
      <c r="EUI6" s="50"/>
      <c r="EUJ6" s="50"/>
      <c r="EUK6" s="50"/>
      <c r="EUL6" s="50"/>
      <c r="EUM6" s="50"/>
      <c r="EUN6" s="50"/>
      <c r="EUO6" s="50"/>
      <c r="EUP6" s="50"/>
      <c r="EUQ6" s="50"/>
      <c r="EUR6" s="50"/>
      <c r="EUS6" s="50"/>
      <c r="EUT6" s="50"/>
      <c r="EUU6" s="50"/>
      <c r="EUV6" s="50"/>
      <c r="EUW6" s="50"/>
      <c r="EUX6" s="50"/>
      <c r="EUY6" s="50"/>
      <c r="EUZ6" s="50"/>
      <c r="EVA6" s="50"/>
      <c r="EVB6" s="50"/>
      <c r="EVC6" s="50"/>
      <c r="EVD6" s="50"/>
      <c r="EVE6" s="50"/>
      <c r="EVF6" s="50"/>
      <c r="EVG6" s="50"/>
      <c r="EVH6" s="50"/>
      <c r="EVI6" s="50"/>
      <c r="EVJ6" s="50"/>
      <c r="EVK6" s="50"/>
      <c r="EVL6" s="50"/>
      <c r="EVM6" s="50"/>
      <c r="EVN6" s="50"/>
      <c r="EVO6" s="50"/>
      <c r="EVP6" s="50"/>
      <c r="EVQ6" s="50"/>
      <c r="EVR6" s="50"/>
      <c r="EVS6" s="50"/>
      <c r="EVT6" s="50"/>
      <c r="EVU6" s="50"/>
      <c r="EVV6" s="50"/>
      <c r="EVW6" s="50"/>
      <c r="EVX6" s="50"/>
      <c r="EVY6" s="50"/>
      <c r="EVZ6" s="50"/>
      <c r="EWA6" s="50"/>
      <c r="EWB6" s="50"/>
      <c r="EWC6" s="50"/>
      <c r="EWD6" s="50"/>
      <c r="EWE6" s="50"/>
      <c r="EWF6" s="50"/>
      <c r="EWG6" s="50"/>
      <c r="EWH6" s="50"/>
      <c r="EWI6" s="50"/>
      <c r="EWJ6" s="50"/>
      <c r="EWK6" s="50"/>
      <c r="EWL6" s="50"/>
      <c r="EWM6" s="50"/>
      <c r="EWN6" s="50"/>
      <c r="EWO6" s="50"/>
      <c r="EWP6" s="50"/>
      <c r="EWQ6" s="50"/>
      <c r="EWR6" s="50"/>
      <c r="EWS6" s="50"/>
      <c r="EWT6" s="50"/>
      <c r="EWU6" s="50"/>
      <c r="EWV6" s="50"/>
      <c r="EWW6" s="50"/>
      <c r="EWX6" s="50"/>
      <c r="EWY6" s="50"/>
      <c r="EWZ6" s="50"/>
      <c r="EXA6" s="50"/>
      <c r="EXB6" s="50"/>
      <c r="EXC6" s="50"/>
      <c r="EXD6" s="50"/>
      <c r="EXE6" s="50"/>
      <c r="EXF6" s="50"/>
      <c r="EXG6" s="50"/>
      <c r="EXH6" s="50"/>
      <c r="EXI6" s="50"/>
      <c r="EXJ6" s="50"/>
      <c r="EXK6" s="50"/>
      <c r="EXL6" s="50"/>
      <c r="EXM6" s="50"/>
      <c r="EXN6" s="50"/>
      <c r="EXO6" s="50"/>
      <c r="EXP6" s="50"/>
      <c r="EXQ6" s="50"/>
      <c r="EXR6" s="50"/>
      <c r="EXS6" s="50"/>
      <c r="EXT6" s="50"/>
      <c r="EXU6" s="50"/>
      <c r="EXV6" s="50"/>
      <c r="EXW6" s="50"/>
      <c r="EXX6" s="50"/>
      <c r="EXY6" s="50"/>
      <c r="EXZ6" s="50"/>
      <c r="EYA6" s="50"/>
      <c r="EYB6" s="50"/>
      <c r="EYC6" s="50"/>
      <c r="EYD6" s="50"/>
      <c r="EYE6" s="50"/>
      <c r="EYF6" s="50"/>
      <c r="EYG6" s="50"/>
      <c r="EYH6" s="50"/>
      <c r="EYI6" s="50"/>
      <c r="EYJ6" s="50"/>
      <c r="EYK6" s="50"/>
      <c r="EYL6" s="50"/>
      <c r="EYM6" s="50"/>
      <c r="EYN6" s="50"/>
      <c r="EYO6" s="50"/>
      <c r="EYP6" s="50"/>
      <c r="EYQ6" s="50"/>
      <c r="EYR6" s="50"/>
      <c r="EYS6" s="50"/>
      <c r="EYT6" s="50"/>
      <c r="EYU6" s="50"/>
      <c r="EYV6" s="50"/>
      <c r="EYW6" s="50"/>
      <c r="EYX6" s="50"/>
      <c r="EYY6" s="50"/>
      <c r="EYZ6" s="50"/>
      <c r="EZA6" s="50"/>
      <c r="EZB6" s="50"/>
      <c r="EZC6" s="50"/>
      <c r="EZD6" s="50"/>
      <c r="EZE6" s="50"/>
      <c r="EZF6" s="50"/>
      <c r="EZG6" s="50"/>
      <c r="EZH6" s="50"/>
      <c r="EZI6" s="50"/>
      <c r="EZJ6" s="50"/>
      <c r="EZK6" s="50"/>
      <c r="EZL6" s="50"/>
      <c r="EZM6" s="50"/>
      <c r="EZN6" s="50"/>
      <c r="EZO6" s="50"/>
      <c r="EZP6" s="50"/>
      <c r="EZQ6" s="50"/>
      <c r="EZR6" s="50"/>
      <c r="EZS6" s="50"/>
      <c r="EZT6" s="50"/>
      <c r="EZU6" s="50"/>
      <c r="EZV6" s="50"/>
      <c r="EZW6" s="50"/>
      <c r="EZX6" s="50"/>
      <c r="EZY6" s="50"/>
      <c r="EZZ6" s="50"/>
      <c r="FAA6" s="50"/>
      <c r="FAB6" s="50"/>
      <c r="FAC6" s="50"/>
      <c r="FAD6" s="50"/>
      <c r="FAE6" s="50"/>
      <c r="FAF6" s="50"/>
      <c r="FAG6" s="50"/>
      <c r="FAH6" s="50"/>
      <c r="FAI6" s="50"/>
      <c r="FAJ6" s="50"/>
      <c r="FAK6" s="50"/>
      <c r="FAL6" s="50"/>
      <c r="FAM6" s="50"/>
      <c r="FAN6" s="50"/>
      <c r="FAO6" s="50"/>
      <c r="FAP6" s="50"/>
      <c r="FAQ6" s="50"/>
      <c r="FAR6" s="50"/>
      <c r="FAS6" s="50"/>
      <c r="FAT6" s="50"/>
      <c r="FAU6" s="50"/>
      <c r="FAV6" s="50"/>
      <c r="FAW6" s="50"/>
      <c r="FAX6" s="50"/>
      <c r="FAY6" s="50"/>
      <c r="FAZ6" s="50"/>
      <c r="FBA6" s="50"/>
      <c r="FBB6" s="50"/>
      <c r="FBC6" s="50"/>
      <c r="FBD6" s="50"/>
      <c r="FBE6" s="50"/>
      <c r="FBF6" s="50"/>
      <c r="FBG6" s="50"/>
      <c r="FBH6" s="50"/>
      <c r="FBI6" s="50"/>
      <c r="FBJ6" s="50"/>
      <c r="FBK6" s="50"/>
      <c r="FBL6" s="50"/>
      <c r="FBM6" s="50"/>
      <c r="FBN6" s="50"/>
      <c r="FBO6" s="50"/>
      <c r="FBP6" s="50"/>
      <c r="FBQ6" s="50"/>
      <c r="FBR6" s="50"/>
      <c r="FBS6" s="50"/>
      <c r="FBT6" s="50"/>
      <c r="FBU6" s="50"/>
      <c r="FBV6" s="50"/>
      <c r="FBW6" s="50"/>
      <c r="FBX6" s="50"/>
      <c r="FBY6" s="50"/>
      <c r="FBZ6" s="50"/>
      <c r="FCA6" s="50"/>
      <c r="FCB6" s="50"/>
      <c r="FCC6" s="50"/>
      <c r="FCD6" s="50"/>
      <c r="FCE6" s="50"/>
      <c r="FCF6" s="50"/>
      <c r="FCG6" s="50"/>
      <c r="FCH6" s="50"/>
      <c r="FCI6" s="50"/>
      <c r="FCJ6" s="50"/>
      <c r="FCK6" s="50"/>
      <c r="FCL6" s="50"/>
      <c r="FCM6" s="50"/>
      <c r="FCN6" s="50"/>
      <c r="FCO6" s="50"/>
      <c r="FCP6" s="50"/>
      <c r="FCQ6" s="50"/>
      <c r="FCR6" s="50"/>
      <c r="FCS6" s="50"/>
      <c r="FCT6" s="50"/>
      <c r="FCU6" s="50"/>
      <c r="FCV6" s="50"/>
      <c r="FCW6" s="50"/>
      <c r="FCX6" s="50"/>
      <c r="FCY6" s="50"/>
      <c r="FCZ6" s="50"/>
      <c r="FDA6" s="50"/>
      <c r="FDB6" s="50"/>
      <c r="FDC6" s="50"/>
      <c r="FDD6" s="50"/>
      <c r="FDE6" s="50"/>
      <c r="FDF6" s="50"/>
      <c r="FDG6" s="50"/>
      <c r="FDH6" s="50"/>
      <c r="FDI6" s="50"/>
      <c r="FDJ6" s="50"/>
      <c r="FDK6" s="50"/>
      <c r="FDL6" s="50"/>
      <c r="FDM6" s="50"/>
      <c r="FDN6" s="50"/>
      <c r="FDO6" s="50"/>
      <c r="FDP6" s="50"/>
      <c r="FDQ6" s="50"/>
      <c r="FDR6" s="50"/>
      <c r="FDS6" s="50"/>
      <c r="FDT6" s="50"/>
      <c r="FDU6" s="50"/>
      <c r="FDV6" s="50"/>
      <c r="FDW6" s="50"/>
      <c r="FDX6" s="50"/>
      <c r="FDY6" s="50"/>
      <c r="FDZ6" s="50"/>
      <c r="FEA6" s="50"/>
      <c r="FEB6" s="50"/>
      <c r="FEC6" s="50"/>
      <c r="FED6" s="50"/>
      <c r="FEE6" s="50"/>
      <c r="FEF6" s="50"/>
      <c r="FEG6" s="50"/>
      <c r="FEH6" s="50"/>
      <c r="FEI6" s="50"/>
      <c r="FEJ6" s="50"/>
      <c r="FEK6" s="50"/>
      <c r="FEL6" s="50"/>
      <c r="FEM6" s="50"/>
      <c r="FEN6" s="50"/>
      <c r="FEO6" s="50"/>
      <c r="FEP6" s="50"/>
      <c r="FEQ6" s="50"/>
      <c r="FER6" s="50"/>
      <c r="FES6" s="50"/>
      <c r="FET6" s="50"/>
      <c r="FEU6" s="50"/>
      <c r="FEV6" s="50"/>
      <c r="FEW6" s="50"/>
      <c r="FEX6" s="50"/>
      <c r="FEY6" s="50"/>
      <c r="FEZ6" s="50"/>
      <c r="FFA6" s="50"/>
      <c r="FFB6" s="50"/>
      <c r="FFC6" s="50"/>
      <c r="FFD6" s="50"/>
      <c r="FFE6" s="50"/>
      <c r="FFF6" s="50"/>
      <c r="FFG6" s="50"/>
      <c r="FFH6" s="50"/>
      <c r="FFI6" s="50"/>
      <c r="FFJ6" s="50"/>
      <c r="FFK6" s="50"/>
      <c r="FFL6" s="50"/>
      <c r="FFM6" s="50"/>
      <c r="FFN6" s="50"/>
      <c r="FFO6" s="50"/>
      <c r="FFP6" s="50"/>
      <c r="FFQ6" s="50"/>
      <c r="FFR6" s="50"/>
      <c r="FFS6" s="50"/>
      <c r="FFT6" s="50"/>
      <c r="FFU6" s="50"/>
      <c r="FFV6" s="50"/>
      <c r="FFW6" s="50"/>
      <c r="FFX6" s="50"/>
      <c r="FFY6" s="50"/>
      <c r="FFZ6" s="50"/>
      <c r="FGA6" s="50"/>
      <c r="FGB6" s="50"/>
      <c r="FGC6" s="50"/>
      <c r="FGD6" s="50"/>
      <c r="FGE6" s="50"/>
      <c r="FGF6" s="50"/>
      <c r="FGG6" s="50"/>
      <c r="FGH6" s="50"/>
      <c r="FGI6" s="50"/>
      <c r="FGJ6" s="50"/>
      <c r="FGK6" s="50"/>
      <c r="FGL6" s="50"/>
      <c r="FGM6" s="50"/>
      <c r="FGN6" s="50"/>
      <c r="FGO6" s="50"/>
      <c r="FGP6" s="50"/>
      <c r="FGQ6" s="50"/>
      <c r="FGR6" s="50"/>
      <c r="FGS6" s="50"/>
      <c r="FGT6" s="50"/>
      <c r="FGU6" s="50"/>
      <c r="FGV6" s="50"/>
      <c r="FGW6" s="50"/>
      <c r="FGX6" s="50"/>
      <c r="FGY6" s="50"/>
      <c r="FGZ6" s="50"/>
      <c r="FHA6" s="50"/>
      <c r="FHB6" s="50"/>
      <c r="FHC6" s="50"/>
      <c r="FHD6" s="50"/>
      <c r="FHE6" s="50"/>
      <c r="FHF6" s="50"/>
      <c r="FHG6" s="50"/>
      <c r="FHH6" s="50"/>
      <c r="FHI6" s="50"/>
      <c r="FHJ6" s="50"/>
      <c r="FHK6" s="50"/>
      <c r="FHL6" s="50"/>
      <c r="FHM6" s="50"/>
      <c r="FHN6" s="50"/>
      <c r="FHO6" s="50"/>
      <c r="FHP6" s="50"/>
      <c r="FHQ6" s="50"/>
      <c r="FHR6" s="50"/>
      <c r="FHS6" s="50"/>
      <c r="FHT6" s="50"/>
      <c r="FHU6" s="50"/>
      <c r="FHV6" s="50"/>
      <c r="FHW6" s="50"/>
      <c r="FHX6" s="50"/>
      <c r="FHY6" s="50"/>
      <c r="FHZ6" s="50"/>
      <c r="FIA6" s="50"/>
      <c r="FIB6" s="50"/>
      <c r="FIC6" s="50"/>
      <c r="FID6" s="50"/>
      <c r="FIE6" s="50"/>
      <c r="FIF6" s="50"/>
      <c r="FIG6" s="50"/>
      <c r="FIH6" s="50"/>
      <c r="FII6" s="50"/>
      <c r="FIJ6" s="50"/>
      <c r="FIK6" s="50"/>
      <c r="FIL6" s="50"/>
      <c r="FIM6" s="50"/>
      <c r="FIN6" s="50"/>
      <c r="FIO6" s="50"/>
      <c r="FIP6" s="50"/>
      <c r="FIQ6" s="50"/>
      <c r="FIR6" s="50"/>
      <c r="FIS6" s="50"/>
      <c r="FIT6" s="50"/>
      <c r="FIU6" s="50"/>
      <c r="FIV6" s="50"/>
      <c r="FIW6" s="50"/>
      <c r="FIX6" s="50"/>
      <c r="FIY6" s="50"/>
      <c r="FIZ6" s="50"/>
      <c r="FJA6" s="50"/>
      <c r="FJB6" s="50"/>
      <c r="FJC6" s="50"/>
      <c r="FJD6" s="50"/>
      <c r="FJE6" s="50"/>
      <c r="FJF6" s="50"/>
      <c r="FJG6" s="50"/>
      <c r="FJH6" s="50"/>
      <c r="FJI6" s="50"/>
      <c r="FJJ6" s="50"/>
      <c r="FJK6" s="50"/>
      <c r="FJL6" s="50"/>
      <c r="FJM6" s="50"/>
      <c r="FJN6" s="50"/>
      <c r="FJO6" s="50"/>
      <c r="FJP6" s="50"/>
      <c r="FJQ6" s="50"/>
      <c r="FJR6" s="50"/>
      <c r="FJS6" s="50"/>
      <c r="FJT6" s="50"/>
      <c r="FJU6" s="50"/>
      <c r="FJV6" s="50"/>
      <c r="FJW6" s="50"/>
      <c r="FJX6" s="50"/>
      <c r="FJY6" s="50"/>
      <c r="FJZ6" s="50"/>
      <c r="FKA6" s="50"/>
      <c r="FKB6" s="50"/>
      <c r="FKC6" s="50"/>
      <c r="FKD6" s="50"/>
      <c r="FKE6" s="50"/>
      <c r="FKF6" s="50"/>
      <c r="FKG6" s="50"/>
      <c r="FKH6" s="50"/>
      <c r="FKI6" s="50"/>
      <c r="FKJ6" s="50"/>
      <c r="FKK6" s="50"/>
      <c r="FKL6" s="50"/>
      <c r="FKM6" s="50"/>
      <c r="FKN6" s="50"/>
      <c r="FKO6" s="50"/>
      <c r="FKP6" s="50"/>
      <c r="FKQ6" s="50"/>
      <c r="FKR6" s="50"/>
      <c r="FKS6" s="50"/>
      <c r="FKT6" s="50"/>
      <c r="FKU6" s="50"/>
      <c r="FKV6" s="50"/>
      <c r="FKW6" s="50"/>
      <c r="FKX6" s="50"/>
      <c r="FKY6" s="50"/>
      <c r="FKZ6" s="50"/>
      <c r="FLA6" s="50"/>
      <c r="FLB6" s="50"/>
      <c r="FLC6" s="50"/>
      <c r="FLD6" s="50"/>
      <c r="FLE6" s="50"/>
      <c r="FLF6" s="50"/>
      <c r="FLG6" s="50"/>
      <c r="FLH6" s="50"/>
      <c r="FLI6" s="50"/>
      <c r="FLJ6" s="50"/>
      <c r="FLK6" s="50"/>
      <c r="FLL6" s="50"/>
      <c r="FLM6" s="50"/>
      <c r="FLN6" s="50"/>
      <c r="FLO6" s="50"/>
      <c r="FLP6" s="50"/>
      <c r="FLQ6" s="50"/>
      <c r="FLR6" s="50"/>
      <c r="FLS6" s="50"/>
      <c r="FLT6" s="50"/>
      <c r="FLU6" s="50"/>
      <c r="FLV6" s="50"/>
      <c r="FLW6" s="50"/>
      <c r="FLX6" s="50"/>
      <c r="FLY6" s="50"/>
      <c r="FLZ6" s="50"/>
      <c r="FMA6" s="50"/>
      <c r="FMB6" s="50"/>
      <c r="FMC6" s="50"/>
      <c r="FMD6" s="50"/>
      <c r="FME6" s="50"/>
      <c r="FMF6" s="50"/>
      <c r="FMG6" s="50"/>
      <c r="FMH6" s="50"/>
      <c r="FMI6" s="50"/>
      <c r="FMJ6" s="50"/>
      <c r="FMK6" s="50"/>
      <c r="FML6" s="50"/>
      <c r="FMM6" s="50"/>
      <c r="FMN6" s="50"/>
      <c r="FMO6" s="50"/>
      <c r="FMP6" s="50"/>
      <c r="FMQ6" s="50"/>
      <c r="FMR6" s="50"/>
      <c r="FMS6" s="50"/>
      <c r="FMT6" s="50"/>
      <c r="FMU6" s="50"/>
      <c r="FMV6" s="50"/>
      <c r="FMW6" s="50"/>
      <c r="FMX6" s="50"/>
      <c r="FMY6" s="50"/>
      <c r="FMZ6" s="50"/>
      <c r="FNA6" s="50"/>
      <c r="FNB6" s="50"/>
      <c r="FNC6" s="50"/>
      <c r="FND6" s="50"/>
      <c r="FNE6" s="50"/>
      <c r="FNF6" s="50"/>
      <c r="FNG6" s="50"/>
      <c r="FNH6" s="50"/>
      <c r="FNI6" s="50"/>
      <c r="FNJ6" s="50"/>
      <c r="FNK6" s="50"/>
      <c r="FNL6" s="50"/>
      <c r="FNM6" s="50"/>
      <c r="FNN6" s="50"/>
      <c r="FNO6" s="50"/>
      <c r="FNP6" s="50"/>
      <c r="FNQ6" s="50"/>
      <c r="FNR6" s="50"/>
      <c r="FNS6" s="50"/>
      <c r="FNT6" s="50"/>
      <c r="FNU6" s="50"/>
      <c r="FNV6" s="50"/>
      <c r="FNW6" s="50"/>
      <c r="FNX6" s="50"/>
      <c r="FNY6" s="50"/>
      <c r="FNZ6" s="50"/>
      <c r="FOA6" s="50"/>
      <c r="FOB6" s="50"/>
      <c r="FOC6" s="50"/>
      <c r="FOD6" s="50"/>
      <c r="FOE6" s="50"/>
      <c r="FOF6" s="50"/>
      <c r="FOG6" s="50"/>
      <c r="FOH6" s="50"/>
      <c r="FOI6" s="50"/>
      <c r="FOJ6" s="50"/>
      <c r="FOK6" s="50"/>
      <c r="FOL6" s="50"/>
      <c r="FOM6" s="50"/>
      <c r="FON6" s="50"/>
      <c r="FOO6" s="50"/>
      <c r="FOP6" s="50"/>
      <c r="FOQ6" s="50"/>
      <c r="FOR6" s="50"/>
      <c r="FOS6" s="50"/>
      <c r="FOT6" s="50"/>
      <c r="FOU6" s="50"/>
      <c r="FOV6" s="50"/>
      <c r="FOW6" s="50"/>
      <c r="FOX6" s="50"/>
      <c r="FOY6" s="50"/>
      <c r="FOZ6" s="50"/>
      <c r="FPA6" s="50"/>
      <c r="FPB6" s="50"/>
      <c r="FPC6" s="50"/>
      <c r="FPD6" s="50"/>
      <c r="FPE6" s="50"/>
      <c r="FPF6" s="50"/>
      <c r="FPG6" s="50"/>
      <c r="FPH6" s="50"/>
      <c r="FPI6" s="50"/>
      <c r="FPJ6" s="50"/>
      <c r="FPK6" s="50"/>
      <c r="FPL6" s="50"/>
      <c r="FPM6" s="50"/>
      <c r="FPN6" s="50"/>
      <c r="FPO6" s="50"/>
      <c r="FPP6" s="50"/>
      <c r="FPQ6" s="50"/>
      <c r="FPR6" s="50"/>
      <c r="FPS6" s="50"/>
      <c r="FPT6" s="50"/>
      <c r="FPU6" s="50"/>
      <c r="FPV6" s="50"/>
      <c r="FPW6" s="50"/>
      <c r="FPX6" s="50"/>
      <c r="FPY6" s="50"/>
      <c r="FPZ6" s="50"/>
      <c r="FQA6" s="50"/>
      <c r="FQB6" s="50"/>
      <c r="FQC6" s="50"/>
      <c r="FQD6" s="50"/>
      <c r="FQE6" s="50"/>
      <c r="FQF6" s="50"/>
      <c r="FQG6" s="50"/>
      <c r="FQH6" s="50"/>
      <c r="FQI6" s="50"/>
      <c r="FQJ6" s="50"/>
      <c r="FQK6" s="50"/>
      <c r="FQL6" s="50"/>
      <c r="FQM6" s="50"/>
      <c r="FQN6" s="50"/>
      <c r="FQO6" s="50"/>
      <c r="FQP6" s="50"/>
      <c r="FQQ6" s="50"/>
      <c r="FQR6" s="50"/>
      <c r="FQS6" s="50"/>
      <c r="FQT6" s="50"/>
      <c r="FQU6" s="50"/>
      <c r="FQV6" s="50"/>
      <c r="FQW6" s="50"/>
      <c r="FQX6" s="50"/>
      <c r="FQY6" s="50"/>
      <c r="FQZ6" s="50"/>
      <c r="FRA6" s="50"/>
      <c r="FRB6" s="50"/>
      <c r="FRC6" s="50"/>
      <c r="FRD6" s="50"/>
      <c r="FRE6" s="50"/>
      <c r="FRF6" s="50"/>
      <c r="FRG6" s="50"/>
      <c r="FRH6" s="50"/>
      <c r="FRI6" s="50"/>
      <c r="FRJ6" s="50"/>
      <c r="FRK6" s="50"/>
      <c r="FRL6" s="50"/>
      <c r="FRM6" s="50"/>
      <c r="FRN6" s="50"/>
      <c r="FRO6" s="50"/>
      <c r="FRP6" s="50"/>
      <c r="FRQ6" s="50"/>
      <c r="FRR6" s="50"/>
      <c r="FRS6" s="50"/>
      <c r="FRT6" s="50"/>
      <c r="FRU6" s="50"/>
      <c r="FRV6" s="50"/>
      <c r="FRW6" s="50"/>
      <c r="FRX6" s="50"/>
      <c r="FRY6" s="50"/>
      <c r="FRZ6" s="50"/>
      <c r="FSA6" s="50"/>
      <c r="FSB6" s="50"/>
      <c r="FSC6" s="50"/>
      <c r="FSD6" s="50"/>
      <c r="FSE6" s="50"/>
      <c r="FSF6" s="50"/>
      <c r="FSG6" s="50"/>
      <c r="FSH6" s="50"/>
      <c r="FSI6" s="50"/>
      <c r="FSJ6" s="50"/>
      <c r="FSK6" s="50"/>
      <c r="FSL6" s="50"/>
      <c r="FSM6" s="50"/>
      <c r="FSN6" s="50"/>
      <c r="FSO6" s="50"/>
      <c r="FSP6" s="50"/>
      <c r="FSQ6" s="50"/>
      <c r="FSR6" s="50"/>
      <c r="FSS6" s="50"/>
      <c r="FST6" s="50"/>
      <c r="FSU6" s="50"/>
      <c r="FSV6" s="50"/>
      <c r="FSW6" s="50"/>
      <c r="FSX6" s="50"/>
      <c r="FSY6" s="50"/>
      <c r="FSZ6" s="50"/>
      <c r="FTA6" s="50"/>
      <c r="FTB6" s="50"/>
      <c r="FTC6" s="50"/>
      <c r="FTD6" s="50"/>
      <c r="FTE6" s="50"/>
      <c r="FTF6" s="50"/>
      <c r="FTG6" s="50"/>
      <c r="FTH6" s="50"/>
      <c r="FTI6" s="50"/>
      <c r="FTJ6" s="50"/>
      <c r="FTK6" s="50"/>
      <c r="FTL6" s="50"/>
      <c r="FTM6" s="50"/>
      <c r="FTN6" s="50"/>
      <c r="FTO6" s="50"/>
      <c r="FTP6" s="50"/>
      <c r="FTQ6" s="50"/>
      <c r="FTR6" s="50"/>
      <c r="FTS6" s="50"/>
      <c r="FTT6" s="50"/>
      <c r="FTU6" s="50"/>
      <c r="FTV6" s="50"/>
      <c r="FTW6" s="50"/>
      <c r="FTX6" s="50"/>
      <c r="FTY6" s="50"/>
      <c r="FTZ6" s="50"/>
      <c r="FUA6" s="50"/>
      <c r="FUB6" s="50"/>
      <c r="FUC6" s="50"/>
      <c r="FUD6" s="50"/>
      <c r="FUE6" s="50"/>
      <c r="FUF6" s="50"/>
      <c r="FUG6" s="50"/>
      <c r="FUH6" s="50"/>
      <c r="FUI6" s="50"/>
      <c r="FUJ6" s="50"/>
      <c r="FUK6" s="50"/>
      <c r="FUL6" s="50"/>
      <c r="FUM6" s="50"/>
      <c r="FUN6" s="50"/>
      <c r="FUO6" s="50"/>
      <c r="FUP6" s="50"/>
      <c r="FUQ6" s="50"/>
      <c r="FUR6" s="50"/>
      <c r="FUS6" s="50"/>
      <c r="FUT6" s="50"/>
      <c r="FUU6" s="50"/>
      <c r="FUV6" s="50"/>
      <c r="FUW6" s="50"/>
      <c r="FUX6" s="50"/>
      <c r="FUY6" s="50"/>
      <c r="FUZ6" s="50"/>
      <c r="FVA6" s="50"/>
      <c r="FVB6" s="50"/>
      <c r="FVC6" s="50"/>
      <c r="FVD6" s="50"/>
      <c r="FVE6" s="50"/>
      <c r="FVF6" s="50"/>
      <c r="FVG6" s="50"/>
      <c r="FVH6" s="50"/>
      <c r="FVI6" s="50"/>
      <c r="FVJ6" s="50"/>
      <c r="FVK6" s="50"/>
      <c r="FVL6" s="50"/>
      <c r="FVM6" s="50"/>
      <c r="FVN6" s="50"/>
      <c r="FVO6" s="50"/>
      <c r="FVP6" s="50"/>
      <c r="FVQ6" s="50"/>
      <c r="FVR6" s="50"/>
      <c r="FVS6" s="50"/>
      <c r="FVT6" s="50"/>
      <c r="FVU6" s="50"/>
      <c r="FVV6" s="50"/>
      <c r="FVW6" s="50"/>
      <c r="FVX6" s="50"/>
      <c r="FVY6" s="50"/>
      <c r="FVZ6" s="50"/>
      <c r="FWA6" s="50"/>
      <c r="FWB6" s="50"/>
      <c r="FWC6" s="50"/>
      <c r="FWD6" s="50"/>
      <c r="FWE6" s="50"/>
      <c r="FWF6" s="50"/>
      <c r="FWG6" s="50"/>
      <c r="FWH6" s="50"/>
      <c r="FWI6" s="50"/>
      <c r="FWJ6" s="50"/>
      <c r="FWK6" s="50"/>
      <c r="FWL6" s="50"/>
      <c r="FWM6" s="50"/>
      <c r="FWN6" s="50"/>
      <c r="FWO6" s="50"/>
      <c r="FWP6" s="50"/>
      <c r="FWQ6" s="50"/>
      <c r="FWR6" s="50"/>
      <c r="FWS6" s="50"/>
      <c r="FWT6" s="50"/>
      <c r="FWU6" s="50"/>
      <c r="FWV6" s="50"/>
      <c r="FWW6" s="50"/>
      <c r="FWX6" s="50"/>
      <c r="FWY6" s="50"/>
      <c r="FWZ6" s="50"/>
      <c r="FXA6" s="50"/>
      <c r="FXB6" s="50"/>
      <c r="FXC6" s="50"/>
      <c r="FXD6" s="50"/>
      <c r="FXE6" s="50"/>
      <c r="FXF6" s="50"/>
      <c r="FXG6" s="50"/>
      <c r="FXH6" s="50"/>
      <c r="FXI6" s="50"/>
      <c r="FXJ6" s="50"/>
      <c r="FXK6" s="50"/>
      <c r="FXL6" s="50"/>
      <c r="FXM6" s="50"/>
      <c r="FXN6" s="50"/>
      <c r="FXO6" s="50"/>
      <c r="FXP6" s="50"/>
      <c r="FXQ6" s="50"/>
      <c r="FXR6" s="50"/>
      <c r="FXS6" s="50"/>
      <c r="FXT6" s="50"/>
      <c r="FXU6" s="50"/>
      <c r="FXV6" s="50"/>
      <c r="FXW6" s="50"/>
      <c r="FXX6" s="50"/>
      <c r="FXY6" s="50"/>
      <c r="FXZ6" s="50"/>
      <c r="FYA6" s="50"/>
      <c r="FYB6" s="50"/>
      <c r="FYC6" s="50"/>
      <c r="FYD6" s="50"/>
      <c r="FYE6" s="50"/>
      <c r="FYF6" s="50"/>
      <c r="FYG6" s="50"/>
      <c r="FYH6" s="50"/>
      <c r="FYI6" s="50"/>
      <c r="FYJ6" s="50"/>
      <c r="FYK6" s="50"/>
      <c r="FYL6" s="50"/>
      <c r="FYM6" s="50"/>
      <c r="FYN6" s="50"/>
      <c r="FYO6" s="50"/>
      <c r="FYP6" s="50"/>
      <c r="FYQ6" s="50"/>
      <c r="FYR6" s="50"/>
      <c r="FYS6" s="50"/>
      <c r="FYT6" s="50"/>
      <c r="FYU6" s="50"/>
      <c r="FYV6" s="50"/>
      <c r="FYW6" s="50"/>
      <c r="FYX6" s="50"/>
      <c r="FYY6" s="50"/>
      <c r="FYZ6" s="50"/>
      <c r="FZA6" s="50"/>
      <c r="FZB6" s="50"/>
      <c r="FZC6" s="50"/>
      <c r="FZD6" s="50"/>
      <c r="FZE6" s="50"/>
      <c r="FZF6" s="50"/>
      <c r="FZG6" s="50"/>
      <c r="FZH6" s="50"/>
      <c r="FZI6" s="50"/>
      <c r="FZJ6" s="50"/>
      <c r="FZK6" s="50"/>
      <c r="FZL6" s="50"/>
      <c r="FZM6" s="50"/>
      <c r="FZN6" s="50"/>
      <c r="FZO6" s="50"/>
      <c r="FZP6" s="50"/>
      <c r="FZQ6" s="50"/>
      <c r="FZR6" s="50"/>
      <c r="FZS6" s="50"/>
      <c r="FZT6" s="50"/>
      <c r="FZU6" s="50"/>
      <c r="FZV6" s="50"/>
      <c r="FZW6" s="50"/>
      <c r="FZX6" s="50"/>
      <c r="FZY6" s="50"/>
      <c r="FZZ6" s="50"/>
      <c r="GAA6" s="50"/>
      <c r="GAB6" s="50"/>
      <c r="GAC6" s="50"/>
      <c r="GAD6" s="50"/>
      <c r="GAE6" s="50"/>
      <c r="GAF6" s="50"/>
      <c r="GAG6" s="50"/>
      <c r="GAH6" s="50"/>
      <c r="GAI6" s="50"/>
      <c r="GAJ6" s="50"/>
      <c r="GAK6" s="50"/>
      <c r="GAL6" s="50"/>
      <c r="GAM6" s="50"/>
      <c r="GAN6" s="50"/>
      <c r="GAO6" s="50"/>
      <c r="GAP6" s="50"/>
      <c r="GAQ6" s="50"/>
      <c r="GAR6" s="50"/>
      <c r="GAS6" s="50"/>
      <c r="GAT6" s="50"/>
      <c r="GAU6" s="50"/>
      <c r="GAV6" s="50"/>
      <c r="GAW6" s="50"/>
      <c r="GAX6" s="50"/>
      <c r="GAY6" s="50"/>
      <c r="GAZ6" s="50"/>
      <c r="GBA6" s="50"/>
      <c r="GBB6" s="50"/>
      <c r="GBC6" s="50"/>
      <c r="GBD6" s="50"/>
      <c r="GBE6" s="50"/>
      <c r="GBF6" s="50"/>
      <c r="GBG6" s="50"/>
      <c r="GBH6" s="50"/>
      <c r="GBI6" s="50"/>
      <c r="GBJ6" s="50"/>
      <c r="GBK6" s="50"/>
      <c r="GBL6" s="50"/>
      <c r="GBM6" s="50"/>
      <c r="GBN6" s="50"/>
      <c r="GBO6" s="50"/>
      <c r="GBP6" s="50"/>
      <c r="GBQ6" s="50"/>
      <c r="GBR6" s="50"/>
      <c r="GBS6" s="50"/>
      <c r="GBT6" s="50"/>
      <c r="GBU6" s="50"/>
      <c r="GBV6" s="50"/>
      <c r="GBW6" s="50"/>
      <c r="GBX6" s="50"/>
      <c r="GBY6" s="50"/>
      <c r="GBZ6" s="50"/>
      <c r="GCA6" s="50"/>
      <c r="GCB6" s="50"/>
      <c r="GCC6" s="50"/>
      <c r="GCD6" s="50"/>
      <c r="GCE6" s="50"/>
      <c r="GCF6" s="50"/>
      <c r="GCG6" s="50"/>
      <c r="GCH6" s="50"/>
      <c r="GCI6" s="50"/>
      <c r="GCJ6" s="50"/>
      <c r="GCK6" s="50"/>
      <c r="GCL6" s="50"/>
      <c r="GCM6" s="50"/>
      <c r="GCN6" s="50"/>
      <c r="GCO6" s="50"/>
      <c r="GCP6" s="50"/>
      <c r="GCQ6" s="50"/>
      <c r="GCR6" s="50"/>
      <c r="GCS6" s="50"/>
      <c r="GCT6" s="50"/>
      <c r="GCU6" s="50"/>
      <c r="GCV6" s="50"/>
      <c r="GCW6" s="50"/>
      <c r="GCX6" s="50"/>
      <c r="GCY6" s="50"/>
      <c r="GCZ6" s="50"/>
      <c r="GDA6" s="50"/>
      <c r="GDB6" s="50"/>
      <c r="GDC6" s="50"/>
      <c r="GDD6" s="50"/>
      <c r="GDE6" s="50"/>
      <c r="GDF6" s="50"/>
      <c r="GDG6" s="50"/>
      <c r="GDH6" s="50"/>
      <c r="GDI6" s="50"/>
      <c r="GDJ6" s="50"/>
      <c r="GDK6" s="50"/>
      <c r="GDL6" s="50"/>
      <c r="GDM6" s="50"/>
      <c r="GDN6" s="50"/>
      <c r="GDO6" s="50"/>
      <c r="GDP6" s="50"/>
      <c r="GDQ6" s="50"/>
      <c r="GDR6" s="50"/>
      <c r="GDS6" s="50"/>
      <c r="GDT6" s="50"/>
      <c r="GDU6" s="50"/>
      <c r="GDV6" s="50"/>
      <c r="GDW6" s="50"/>
      <c r="GDX6" s="50"/>
      <c r="GDY6" s="50"/>
      <c r="GDZ6" s="50"/>
      <c r="GEA6" s="50"/>
      <c r="GEB6" s="50"/>
      <c r="GEC6" s="50"/>
      <c r="GED6" s="50"/>
      <c r="GEE6" s="50"/>
      <c r="GEF6" s="50"/>
      <c r="GEG6" s="50"/>
      <c r="GEH6" s="50"/>
      <c r="GEI6" s="50"/>
      <c r="GEJ6" s="50"/>
      <c r="GEK6" s="50"/>
      <c r="GEL6" s="50"/>
      <c r="GEM6" s="50"/>
      <c r="GEN6" s="50"/>
      <c r="GEO6" s="50"/>
      <c r="GEP6" s="50"/>
      <c r="GEQ6" s="50"/>
      <c r="GER6" s="50"/>
      <c r="GES6" s="50"/>
      <c r="GET6" s="50"/>
      <c r="GEU6" s="50"/>
      <c r="GEV6" s="50"/>
      <c r="GEW6" s="50"/>
      <c r="GEX6" s="50"/>
      <c r="GEY6" s="50"/>
      <c r="GEZ6" s="50"/>
      <c r="GFA6" s="50"/>
      <c r="GFB6" s="50"/>
      <c r="GFC6" s="50"/>
      <c r="GFD6" s="50"/>
      <c r="GFE6" s="50"/>
      <c r="GFF6" s="50"/>
      <c r="GFG6" s="50"/>
      <c r="GFH6" s="50"/>
      <c r="GFI6" s="50"/>
      <c r="GFJ6" s="50"/>
      <c r="GFK6" s="50"/>
      <c r="GFL6" s="50"/>
      <c r="GFM6" s="50"/>
      <c r="GFN6" s="50"/>
      <c r="GFO6" s="50"/>
      <c r="GFP6" s="50"/>
      <c r="GFQ6" s="50"/>
      <c r="GFR6" s="50"/>
      <c r="GFS6" s="50"/>
      <c r="GFT6" s="50"/>
      <c r="GFU6" s="50"/>
      <c r="GFV6" s="50"/>
      <c r="GFW6" s="50"/>
      <c r="GFX6" s="50"/>
      <c r="GFY6" s="50"/>
      <c r="GFZ6" s="50"/>
      <c r="GGA6" s="50"/>
      <c r="GGB6" s="50"/>
      <c r="GGC6" s="50"/>
      <c r="GGD6" s="50"/>
      <c r="GGE6" s="50"/>
      <c r="GGF6" s="50"/>
      <c r="GGG6" s="50"/>
      <c r="GGH6" s="50"/>
      <c r="GGI6" s="50"/>
      <c r="GGJ6" s="50"/>
      <c r="GGK6" s="50"/>
      <c r="GGL6" s="50"/>
      <c r="GGM6" s="50"/>
      <c r="GGN6" s="50"/>
      <c r="GGO6" s="50"/>
      <c r="GGP6" s="50"/>
      <c r="GGQ6" s="50"/>
      <c r="GGR6" s="50"/>
      <c r="GGS6" s="50"/>
      <c r="GGT6" s="50"/>
      <c r="GGU6" s="50"/>
      <c r="GGV6" s="50"/>
      <c r="GGW6" s="50"/>
      <c r="GGX6" s="50"/>
      <c r="GGY6" s="50"/>
      <c r="GGZ6" s="50"/>
      <c r="GHA6" s="50"/>
      <c r="GHB6" s="50"/>
      <c r="GHC6" s="50"/>
      <c r="GHD6" s="50"/>
      <c r="GHE6" s="50"/>
      <c r="GHF6" s="50"/>
      <c r="GHG6" s="50"/>
      <c r="GHH6" s="50"/>
      <c r="GHI6" s="50"/>
      <c r="GHJ6" s="50"/>
      <c r="GHK6" s="50"/>
      <c r="GHL6" s="50"/>
      <c r="GHM6" s="50"/>
      <c r="GHN6" s="50"/>
      <c r="GHO6" s="50"/>
      <c r="GHP6" s="50"/>
      <c r="GHQ6" s="50"/>
      <c r="GHR6" s="50"/>
      <c r="GHS6" s="50"/>
      <c r="GHT6" s="50"/>
      <c r="GHU6" s="50"/>
      <c r="GHV6" s="50"/>
      <c r="GHW6" s="50"/>
      <c r="GHX6" s="50"/>
      <c r="GHY6" s="50"/>
      <c r="GHZ6" s="50"/>
      <c r="GIA6" s="50"/>
      <c r="GIB6" s="50"/>
      <c r="GIC6" s="50"/>
      <c r="GID6" s="50"/>
      <c r="GIE6" s="50"/>
      <c r="GIF6" s="50"/>
      <c r="GIG6" s="50"/>
      <c r="GIH6" s="50"/>
      <c r="GII6" s="50"/>
      <c r="GIJ6" s="50"/>
      <c r="GIK6" s="50"/>
      <c r="GIL6" s="50"/>
      <c r="GIM6" s="50"/>
      <c r="GIN6" s="50"/>
      <c r="GIO6" s="50"/>
      <c r="GIP6" s="50"/>
      <c r="GIQ6" s="50"/>
      <c r="GIR6" s="50"/>
      <c r="GIS6" s="50"/>
      <c r="GIT6" s="50"/>
      <c r="GIU6" s="50"/>
      <c r="GIV6" s="50"/>
      <c r="GIW6" s="50"/>
      <c r="GIX6" s="50"/>
      <c r="GIY6" s="50"/>
      <c r="GIZ6" s="50"/>
      <c r="GJA6" s="50"/>
      <c r="GJB6" s="50"/>
      <c r="GJC6" s="50"/>
      <c r="GJD6" s="50"/>
      <c r="GJE6" s="50"/>
      <c r="GJF6" s="50"/>
      <c r="GJG6" s="50"/>
      <c r="GJH6" s="50"/>
      <c r="GJI6" s="50"/>
      <c r="GJJ6" s="50"/>
      <c r="GJK6" s="50"/>
      <c r="GJL6" s="50"/>
      <c r="GJM6" s="50"/>
      <c r="GJN6" s="50"/>
      <c r="GJO6" s="50"/>
      <c r="GJP6" s="50"/>
      <c r="GJQ6" s="50"/>
      <c r="GJR6" s="50"/>
      <c r="GJS6" s="50"/>
      <c r="GJT6" s="50"/>
      <c r="GJU6" s="50"/>
      <c r="GJV6" s="50"/>
      <c r="GJW6" s="50"/>
      <c r="GJX6" s="50"/>
      <c r="GJY6" s="50"/>
      <c r="GJZ6" s="50"/>
      <c r="GKA6" s="50"/>
      <c r="GKB6" s="50"/>
      <c r="GKC6" s="50"/>
      <c r="GKD6" s="50"/>
      <c r="GKE6" s="50"/>
      <c r="GKF6" s="50"/>
      <c r="GKG6" s="50"/>
      <c r="GKH6" s="50"/>
      <c r="GKI6" s="50"/>
      <c r="GKJ6" s="50"/>
      <c r="GKK6" s="50"/>
      <c r="GKL6" s="50"/>
      <c r="GKM6" s="50"/>
      <c r="GKN6" s="50"/>
      <c r="GKO6" s="50"/>
      <c r="GKP6" s="50"/>
      <c r="GKQ6" s="50"/>
      <c r="GKR6" s="50"/>
      <c r="GKS6" s="50"/>
      <c r="GKT6" s="50"/>
      <c r="GKU6" s="50"/>
      <c r="GKV6" s="50"/>
      <c r="GKW6" s="50"/>
      <c r="GKX6" s="50"/>
      <c r="GKY6" s="50"/>
      <c r="GKZ6" s="50"/>
      <c r="GLA6" s="50"/>
      <c r="GLB6" s="50"/>
      <c r="GLC6" s="50"/>
      <c r="GLD6" s="50"/>
      <c r="GLE6" s="50"/>
      <c r="GLF6" s="50"/>
      <c r="GLG6" s="50"/>
      <c r="GLH6" s="50"/>
      <c r="GLI6" s="50"/>
      <c r="GLJ6" s="50"/>
      <c r="GLK6" s="50"/>
      <c r="GLL6" s="50"/>
      <c r="GLM6" s="50"/>
      <c r="GLN6" s="50"/>
      <c r="GLO6" s="50"/>
      <c r="GLP6" s="50"/>
      <c r="GLQ6" s="50"/>
      <c r="GLR6" s="50"/>
      <c r="GLS6" s="50"/>
      <c r="GLT6" s="50"/>
      <c r="GLU6" s="50"/>
      <c r="GLV6" s="50"/>
      <c r="GLW6" s="50"/>
      <c r="GLX6" s="50"/>
      <c r="GLY6" s="50"/>
      <c r="GLZ6" s="50"/>
      <c r="GMA6" s="50"/>
      <c r="GMB6" s="50"/>
      <c r="GMC6" s="50"/>
      <c r="GMD6" s="50"/>
      <c r="GME6" s="50"/>
      <c r="GMF6" s="50"/>
      <c r="GMG6" s="50"/>
      <c r="GMH6" s="50"/>
      <c r="GMI6" s="50"/>
      <c r="GMJ6" s="50"/>
      <c r="GMK6" s="50"/>
      <c r="GML6" s="50"/>
      <c r="GMM6" s="50"/>
      <c r="GMN6" s="50"/>
      <c r="GMO6" s="50"/>
      <c r="GMP6" s="50"/>
      <c r="GMQ6" s="50"/>
      <c r="GMR6" s="50"/>
      <c r="GMS6" s="50"/>
      <c r="GMT6" s="50"/>
      <c r="GMU6" s="50"/>
      <c r="GMV6" s="50"/>
      <c r="GMW6" s="50"/>
      <c r="GMX6" s="50"/>
      <c r="GMY6" s="50"/>
      <c r="GMZ6" s="50"/>
      <c r="GNA6" s="50"/>
      <c r="GNB6" s="50"/>
      <c r="GNC6" s="50"/>
      <c r="GND6" s="50"/>
      <c r="GNE6" s="50"/>
      <c r="GNF6" s="50"/>
      <c r="GNG6" s="50"/>
      <c r="GNH6" s="50"/>
      <c r="GNI6" s="50"/>
      <c r="GNJ6" s="50"/>
      <c r="GNK6" s="50"/>
      <c r="GNL6" s="50"/>
      <c r="GNM6" s="50"/>
      <c r="GNN6" s="50"/>
      <c r="GNO6" s="50"/>
      <c r="GNP6" s="50"/>
      <c r="GNQ6" s="50"/>
      <c r="GNR6" s="50"/>
      <c r="GNS6" s="50"/>
      <c r="GNT6" s="50"/>
      <c r="GNU6" s="50"/>
      <c r="GNV6" s="50"/>
      <c r="GNW6" s="50"/>
      <c r="GNX6" s="50"/>
      <c r="GNY6" s="50"/>
      <c r="GNZ6" s="50"/>
      <c r="GOA6" s="50"/>
      <c r="GOB6" s="50"/>
      <c r="GOC6" s="50"/>
      <c r="GOD6" s="50"/>
      <c r="GOE6" s="50"/>
      <c r="GOF6" s="50"/>
      <c r="GOG6" s="50"/>
      <c r="GOH6" s="50"/>
      <c r="GOI6" s="50"/>
      <c r="GOJ6" s="50"/>
      <c r="GOK6" s="50"/>
      <c r="GOL6" s="50"/>
      <c r="GOM6" s="50"/>
      <c r="GON6" s="50"/>
      <c r="GOO6" s="50"/>
      <c r="GOP6" s="50"/>
      <c r="GOQ6" s="50"/>
      <c r="GOR6" s="50"/>
      <c r="GOS6" s="50"/>
      <c r="GOT6" s="50"/>
      <c r="GOU6" s="50"/>
      <c r="GOV6" s="50"/>
      <c r="GOW6" s="50"/>
      <c r="GOX6" s="50"/>
      <c r="GOY6" s="50"/>
      <c r="GOZ6" s="50"/>
      <c r="GPA6" s="50"/>
      <c r="GPB6" s="50"/>
      <c r="GPC6" s="50"/>
      <c r="GPD6" s="50"/>
      <c r="GPE6" s="50"/>
      <c r="GPF6" s="50"/>
      <c r="GPG6" s="50"/>
      <c r="GPH6" s="50"/>
      <c r="GPI6" s="50"/>
      <c r="GPJ6" s="50"/>
      <c r="GPK6" s="50"/>
      <c r="GPL6" s="50"/>
      <c r="GPM6" s="50"/>
      <c r="GPN6" s="50"/>
      <c r="GPO6" s="50"/>
      <c r="GPP6" s="50"/>
      <c r="GPQ6" s="50"/>
      <c r="GPR6" s="50"/>
      <c r="GPS6" s="50"/>
      <c r="GPT6" s="50"/>
      <c r="GPU6" s="50"/>
      <c r="GPV6" s="50"/>
      <c r="GPW6" s="50"/>
      <c r="GPX6" s="50"/>
      <c r="GPY6" s="50"/>
      <c r="GPZ6" s="50"/>
      <c r="GQA6" s="50"/>
      <c r="GQB6" s="50"/>
      <c r="GQC6" s="50"/>
      <c r="GQD6" s="50"/>
      <c r="GQE6" s="50"/>
      <c r="GQF6" s="50"/>
      <c r="GQG6" s="50"/>
      <c r="GQH6" s="50"/>
      <c r="GQI6" s="50"/>
      <c r="GQJ6" s="50"/>
      <c r="GQK6" s="50"/>
      <c r="GQL6" s="50"/>
      <c r="GQM6" s="50"/>
      <c r="GQN6" s="50"/>
      <c r="GQO6" s="50"/>
      <c r="GQP6" s="50"/>
      <c r="GQQ6" s="50"/>
      <c r="GQR6" s="50"/>
      <c r="GQS6" s="50"/>
      <c r="GQT6" s="50"/>
      <c r="GQU6" s="50"/>
      <c r="GQV6" s="50"/>
      <c r="GQW6" s="50"/>
      <c r="GQX6" s="50"/>
      <c r="GQY6" s="50"/>
      <c r="GQZ6" s="50"/>
      <c r="GRA6" s="50"/>
      <c r="GRB6" s="50"/>
      <c r="GRC6" s="50"/>
      <c r="GRD6" s="50"/>
      <c r="GRE6" s="50"/>
      <c r="GRF6" s="50"/>
      <c r="GRG6" s="50"/>
      <c r="GRH6" s="50"/>
      <c r="GRI6" s="50"/>
      <c r="GRJ6" s="50"/>
      <c r="GRK6" s="50"/>
      <c r="GRL6" s="50"/>
      <c r="GRM6" s="50"/>
      <c r="GRN6" s="50"/>
      <c r="GRO6" s="50"/>
      <c r="GRP6" s="50"/>
      <c r="GRQ6" s="50"/>
      <c r="GRR6" s="50"/>
      <c r="GRS6" s="50"/>
      <c r="GRT6" s="50"/>
      <c r="GRU6" s="50"/>
      <c r="GRV6" s="50"/>
      <c r="GRW6" s="50"/>
      <c r="GRX6" s="50"/>
      <c r="GRY6" s="50"/>
      <c r="GRZ6" s="50"/>
      <c r="GSA6" s="50"/>
      <c r="GSB6" s="50"/>
      <c r="GSC6" s="50"/>
      <c r="GSD6" s="50"/>
      <c r="GSE6" s="50"/>
      <c r="GSF6" s="50"/>
      <c r="GSG6" s="50"/>
      <c r="GSH6" s="50"/>
      <c r="GSI6" s="50"/>
      <c r="GSJ6" s="50"/>
      <c r="GSK6" s="50"/>
      <c r="GSL6" s="50"/>
      <c r="GSM6" s="50"/>
      <c r="GSN6" s="50"/>
      <c r="GSO6" s="50"/>
      <c r="GSP6" s="50"/>
      <c r="GSQ6" s="50"/>
      <c r="GSR6" s="50"/>
      <c r="GSS6" s="50"/>
      <c r="GST6" s="50"/>
      <c r="GSU6" s="50"/>
      <c r="GSV6" s="50"/>
      <c r="GSW6" s="50"/>
      <c r="GSX6" s="50"/>
      <c r="GSY6" s="50"/>
      <c r="GSZ6" s="50"/>
      <c r="GTA6" s="50"/>
      <c r="GTB6" s="50"/>
      <c r="GTC6" s="50"/>
      <c r="GTD6" s="50"/>
      <c r="GTE6" s="50"/>
      <c r="GTF6" s="50"/>
      <c r="GTG6" s="50"/>
      <c r="GTH6" s="50"/>
      <c r="GTI6" s="50"/>
      <c r="GTJ6" s="50"/>
      <c r="GTK6" s="50"/>
      <c r="GTL6" s="50"/>
      <c r="GTM6" s="50"/>
      <c r="GTN6" s="50"/>
      <c r="GTO6" s="50"/>
      <c r="GTP6" s="50"/>
      <c r="GTQ6" s="50"/>
      <c r="GTR6" s="50"/>
      <c r="GTS6" s="50"/>
      <c r="GTT6" s="50"/>
      <c r="GTU6" s="50"/>
      <c r="GTV6" s="50"/>
      <c r="GTW6" s="50"/>
      <c r="GTX6" s="50"/>
      <c r="GTY6" s="50"/>
      <c r="GTZ6" s="50"/>
      <c r="GUA6" s="50"/>
      <c r="GUB6" s="50"/>
      <c r="GUC6" s="50"/>
      <c r="GUD6" s="50"/>
      <c r="GUE6" s="50"/>
      <c r="GUF6" s="50"/>
      <c r="GUG6" s="50"/>
      <c r="GUH6" s="50"/>
      <c r="GUI6" s="50"/>
      <c r="GUJ6" s="50"/>
      <c r="GUK6" s="50"/>
      <c r="GUL6" s="50"/>
      <c r="GUM6" s="50"/>
      <c r="GUN6" s="50"/>
      <c r="GUO6" s="50"/>
      <c r="GUP6" s="50"/>
      <c r="GUQ6" s="50"/>
      <c r="GUR6" s="50"/>
      <c r="GUS6" s="50"/>
      <c r="GUT6" s="50"/>
      <c r="GUU6" s="50"/>
      <c r="GUV6" s="50"/>
      <c r="GUW6" s="50"/>
      <c r="GUX6" s="50"/>
      <c r="GUY6" s="50"/>
      <c r="GUZ6" s="50"/>
      <c r="GVA6" s="50"/>
      <c r="GVB6" s="50"/>
      <c r="GVC6" s="50"/>
      <c r="GVD6" s="50"/>
      <c r="GVE6" s="50"/>
      <c r="GVF6" s="50"/>
      <c r="GVG6" s="50"/>
      <c r="GVH6" s="50"/>
      <c r="GVI6" s="50"/>
      <c r="GVJ6" s="50"/>
      <c r="GVK6" s="50"/>
      <c r="GVL6" s="50"/>
      <c r="GVM6" s="50"/>
      <c r="GVN6" s="50"/>
      <c r="GVO6" s="50"/>
      <c r="GVP6" s="50"/>
      <c r="GVQ6" s="50"/>
      <c r="GVR6" s="50"/>
      <c r="GVS6" s="50"/>
      <c r="GVT6" s="50"/>
      <c r="GVU6" s="50"/>
      <c r="GVV6" s="50"/>
      <c r="GVW6" s="50"/>
      <c r="GVX6" s="50"/>
      <c r="GVY6" s="50"/>
      <c r="GVZ6" s="50"/>
      <c r="GWA6" s="50"/>
      <c r="GWB6" s="50"/>
      <c r="GWC6" s="50"/>
      <c r="GWD6" s="50"/>
      <c r="GWE6" s="50"/>
      <c r="GWF6" s="50"/>
      <c r="GWG6" s="50"/>
      <c r="GWH6" s="50"/>
      <c r="GWI6" s="50"/>
      <c r="GWJ6" s="50"/>
      <c r="GWK6" s="50"/>
      <c r="GWL6" s="50"/>
      <c r="GWM6" s="50"/>
      <c r="GWN6" s="50"/>
      <c r="GWO6" s="50"/>
      <c r="GWP6" s="50"/>
      <c r="GWQ6" s="50"/>
      <c r="GWR6" s="50"/>
      <c r="GWS6" s="50"/>
      <c r="GWT6" s="50"/>
      <c r="GWU6" s="50"/>
      <c r="GWV6" s="50"/>
      <c r="GWW6" s="50"/>
      <c r="GWX6" s="50"/>
      <c r="GWY6" s="50"/>
      <c r="GWZ6" s="50"/>
      <c r="GXA6" s="50"/>
      <c r="GXB6" s="50"/>
      <c r="GXC6" s="50"/>
      <c r="GXD6" s="50"/>
      <c r="GXE6" s="50"/>
      <c r="GXF6" s="50"/>
      <c r="GXG6" s="50"/>
      <c r="GXH6" s="50"/>
      <c r="GXI6" s="50"/>
      <c r="GXJ6" s="50"/>
      <c r="GXK6" s="50"/>
      <c r="GXL6" s="50"/>
      <c r="GXM6" s="50"/>
      <c r="GXN6" s="50"/>
      <c r="GXO6" s="50"/>
      <c r="GXP6" s="50"/>
      <c r="GXQ6" s="50"/>
      <c r="GXR6" s="50"/>
      <c r="GXS6" s="50"/>
      <c r="GXT6" s="50"/>
      <c r="GXU6" s="50"/>
      <c r="GXV6" s="50"/>
      <c r="GXW6" s="50"/>
      <c r="GXX6" s="50"/>
      <c r="GXY6" s="50"/>
      <c r="GXZ6" s="50"/>
      <c r="GYA6" s="50"/>
      <c r="GYB6" s="50"/>
      <c r="GYC6" s="50"/>
      <c r="GYD6" s="50"/>
      <c r="GYE6" s="50"/>
      <c r="GYF6" s="50"/>
      <c r="GYG6" s="50"/>
      <c r="GYH6" s="50"/>
      <c r="GYI6" s="50"/>
      <c r="GYJ6" s="50"/>
      <c r="GYK6" s="50"/>
      <c r="GYL6" s="50"/>
      <c r="GYM6" s="50"/>
      <c r="GYN6" s="50"/>
      <c r="GYO6" s="50"/>
      <c r="GYP6" s="50"/>
      <c r="GYQ6" s="50"/>
      <c r="GYR6" s="50"/>
      <c r="GYS6" s="50"/>
      <c r="GYT6" s="50"/>
      <c r="GYU6" s="50"/>
      <c r="GYV6" s="50"/>
      <c r="GYW6" s="50"/>
      <c r="GYX6" s="50"/>
      <c r="GYY6" s="50"/>
      <c r="GYZ6" s="50"/>
      <c r="GZA6" s="50"/>
      <c r="GZB6" s="50"/>
      <c r="GZC6" s="50"/>
      <c r="GZD6" s="50"/>
      <c r="GZE6" s="50"/>
      <c r="GZF6" s="50"/>
      <c r="GZG6" s="50"/>
      <c r="GZH6" s="50"/>
      <c r="GZI6" s="50"/>
      <c r="GZJ6" s="50"/>
      <c r="GZK6" s="50"/>
      <c r="GZL6" s="50"/>
      <c r="GZM6" s="50"/>
      <c r="GZN6" s="50"/>
      <c r="GZO6" s="50"/>
      <c r="GZP6" s="50"/>
      <c r="GZQ6" s="50"/>
      <c r="GZR6" s="50"/>
      <c r="GZS6" s="50"/>
      <c r="GZT6" s="50"/>
      <c r="GZU6" s="50"/>
      <c r="GZV6" s="50"/>
      <c r="GZW6" s="50"/>
      <c r="GZX6" s="50"/>
      <c r="GZY6" s="50"/>
      <c r="GZZ6" s="50"/>
      <c r="HAA6" s="50"/>
      <c r="HAB6" s="50"/>
      <c r="HAC6" s="50"/>
      <c r="HAD6" s="50"/>
      <c r="HAE6" s="50"/>
      <c r="HAF6" s="50"/>
      <c r="HAG6" s="50"/>
      <c r="HAH6" s="50"/>
      <c r="HAI6" s="50"/>
      <c r="HAJ6" s="50"/>
      <c r="HAK6" s="50"/>
      <c r="HAL6" s="50"/>
      <c r="HAM6" s="50"/>
      <c r="HAN6" s="50"/>
      <c r="HAO6" s="50"/>
      <c r="HAP6" s="50"/>
      <c r="HAQ6" s="50"/>
      <c r="HAR6" s="50"/>
      <c r="HAS6" s="50"/>
      <c r="HAT6" s="50"/>
      <c r="HAU6" s="50"/>
      <c r="HAV6" s="50"/>
      <c r="HAW6" s="50"/>
      <c r="HAX6" s="50"/>
      <c r="HAY6" s="50"/>
      <c r="HAZ6" s="50"/>
      <c r="HBA6" s="50"/>
      <c r="HBB6" s="50"/>
      <c r="HBC6" s="50"/>
      <c r="HBD6" s="50"/>
      <c r="HBE6" s="50"/>
      <c r="HBF6" s="50"/>
      <c r="HBG6" s="50"/>
      <c r="HBH6" s="50"/>
      <c r="HBI6" s="50"/>
      <c r="HBJ6" s="50"/>
      <c r="HBK6" s="50"/>
      <c r="HBL6" s="50"/>
      <c r="HBM6" s="50"/>
      <c r="HBN6" s="50"/>
      <c r="HBO6" s="50"/>
      <c r="HBP6" s="50"/>
      <c r="HBQ6" s="50"/>
      <c r="HBR6" s="50"/>
      <c r="HBS6" s="50"/>
      <c r="HBT6" s="50"/>
      <c r="HBU6" s="50"/>
      <c r="HBV6" s="50"/>
      <c r="HBW6" s="50"/>
      <c r="HBX6" s="50"/>
      <c r="HBY6" s="50"/>
      <c r="HBZ6" s="50"/>
      <c r="HCA6" s="50"/>
      <c r="HCB6" s="50"/>
      <c r="HCC6" s="50"/>
      <c r="HCD6" s="50"/>
      <c r="HCE6" s="50"/>
      <c r="HCF6" s="50"/>
      <c r="HCG6" s="50"/>
      <c r="HCH6" s="50"/>
      <c r="HCI6" s="50"/>
      <c r="HCJ6" s="50"/>
      <c r="HCK6" s="50"/>
      <c r="HCL6" s="50"/>
      <c r="HCM6" s="50"/>
      <c r="HCN6" s="50"/>
      <c r="HCO6" s="50"/>
      <c r="HCP6" s="50"/>
      <c r="HCQ6" s="50"/>
      <c r="HCR6" s="50"/>
      <c r="HCS6" s="50"/>
      <c r="HCT6" s="50"/>
      <c r="HCU6" s="50"/>
      <c r="HCV6" s="50"/>
      <c r="HCW6" s="50"/>
      <c r="HCX6" s="50"/>
      <c r="HCY6" s="50"/>
      <c r="HCZ6" s="50"/>
      <c r="HDA6" s="50"/>
      <c r="HDB6" s="50"/>
      <c r="HDC6" s="50"/>
      <c r="HDD6" s="50"/>
      <c r="HDE6" s="50"/>
      <c r="HDF6" s="50"/>
      <c r="HDG6" s="50"/>
      <c r="HDH6" s="50"/>
      <c r="HDI6" s="50"/>
      <c r="HDJ6" s="50"/>
      <c r="HDK6" s="50"/>
      <c r="HDL6" s="50"/>
      <c r="HDM6" s="50"/>
      <c r="HDN6" s="50"/>
      <c r="HDO6" s="50"/>
      <c r="HDP6" s="50"/>
      <c r="HDQ6" s="50"/>
      <c r="HDR6" s="50"/>
      <c r="HDS6" s="50"/>
      <c r="HDT6" s="50"/>
      <c r="HDU6" s="50"/>
      <c r="HDV6" s="50"/>
      <c r="HDW6" s="50"/>
      <c r="HDX6" s="50"/>
      <c r="HDY6" s="50"/>
      <c r="HDZ6" s="50"/>
      <c r="HEA6" s="50"/>
      <c r="HEB6" s="50"/>
      <c r="HEC6" s="50"/>
      <c r="HED6" s="50"/>
      <c r="HEE6" s="50"/>
      <c r="HEF6" s="50"/>
      <c r="HEG6" s="50"/>
      <c r="HEH6" s="50"/>
      <c r="HEI6" s="50"/>
      <c r="HEJ6" s="50"/>
      <c r="HEK6" s="50"/>
      <c r="HEL6" s="50"/>
      <c r="HEM6" s="50"/>
      <c r="HEN6" s="50"/>
      <c r="HEO6" s="50"/>
      <c r="HEP6" s="50"/>
      <c r="HEQ6" s="50"/>
      <c r="HER6" s="50"/>
      <c r="HES6" s="50"/>
      <c r="HET6" s="50"/>
      <c r="HEU6" s="50"/>
      <c r="HEV6" s="50"/>
      <c r="HEW6" s="50"/>
      <c r="HEX6" s="50"/>
      <c r="HEY6" s="50"/>
      <c r="HEZ6" s="50"/>
      <c r="HFA6" s="50"/>
      <c r="HFB6" s="50"/>
      <c r="HFC6" s="50"/>
      <c r="HFD6" s="50"/>
      <c r="HFE6" s="50"/>
      <c r="HFF6" s="50"/>
      <c r="HFG6" s="50"/>
      <c r="HFH6" s="50"/>
      <c r="HFI6" s="50"/>
      <c r="HFJ6" s="50"/>
      <c r="HFK6" s="50"/>
      <c r="HFL6" s="50"/>
      <c r="HFM6" s="50"/>
      <c r="HFN6" s="50"/>
      <c r="HFO6" s="50"/>
      <c r="HFP6" s="50"/>
      <c r="HFQ6" s="50"/>
      <c r="HFR6" s="50"/>
      <c r="HFS6" s="50"/>
      <c r="HFT6" s="50"/>
      <c r="HFU6" s="50"/>
      <c r="HFV6" s="50"/>
      <c r="HFW6" s="50"/>
      <c r="HFX6" s="50"/>
      <c r="HFY6" s="50"/>
      <c r="HFZ6" s="50"/>
      <c r="HGA6" s="50"/>
      <c r="HGB6" s="50"/>
      <c r="HGC6" s="50"/>
      <c r="HGD6" s="50"/>
      <c r="HGE6" s="50"/>
      <c r="HGF6" s="50"/>
      <c r="HGG6" s="50"/>
      <c r="HGH6" s="50"/>
      <c r="HGI6" s="50"/>
      <c r="HGJ6" s="50"/>
      <c r="HGK6" s="50"/>
      <c r="HGL6" s="50"/>
      <c r="HGM6" s="50"/>
      <c r="HGN6" s="50"/>
      <c r="HGO6" s="50"/>
      <c r="HGP6" s="50"/>
      <c r="HGQ6" s="50"/>
      <c r="HGR6" s="50"/>
      <c r="HGS6" s="50"/>
      <c r="HGT6" s="50"/>
      <c r="HGU6" s="50"/>
      <c r="HGV6" s="50"/>
      <c r="HGW6" s="50"/>
      <c r="HGX6" s="50"/>
      <c r="HGY6" s="50"/>
      <c r="HGZ6" s="50"/>
      <c r="HHA6" s="50"/>
      <c r="HHB6" s="50"/>
      <c r="HHC6" s="50"/>
      <c r="HHD6" s="50"/>
      <c r="HHE6" s="50"/>
      <c r="HHF6" s="50"/>
      <c r="HHG6" s="50"/>
      <c r="HHH6" s="50"/>
      <c r="HHI6" s="50"/>
      <c r="HHJ6" s="50"/>
      <c r="HHK6" s="50"/>
      <c r="HHL6" s="50"/>
      <c r="HHM6" s="50"/>
      <c r="HHN6" s="50"/>
      <c r="HHO6" s="50"/>
      <c r="HHP6" s="50"/>
      <c r="HHQ6" s="50"/>
      <c r="HHR6" s="50"/>
      <c r="HHS6" s="50"/>
      <c r="HHT6" s="50"/>
      <c r="HHU6" s="50"/>
      <c r="HHV6" s="50"/>
      <c r="HHW6" s="50"/>
      <c r="HHX6" s="50"/>
      <c r="HHY6" s="50"/>
      <c r="HHZ6" s="50"/>
      <c r="HIA6" s="50"/>
      <c r="HIB6" s="50"/>
      <c r="HIC6" s="50"/>
      <c r="HID6" s="50"/>
      <c r="HIE6" s="50"/>
      <c r="HIF6" s="50"/>
      <c r="HIG6" s="50"/>
      <c r="HIH6" s="50"/>
      <c r="HII6" s="50"/>
      <c r="HIJ6" s="50"/>
      <c r="HIK6" s="50"/>
      <c r="HIL6" s="50"/>
      <c r="HIM6" s="50"/>
      <c r="HIN6" s="50"/>
      <c r="HIO6" s="50"/>
      <c r="HIP6" s="50"/>
      <c r="HIQ6" s="50"/>
      <c r="HIR6" s="50"/>
      <c r="HIS6" s="50"/>
      <c r="HIT6" s="50"/>
      <c r="HIU6" s="50"/>
      <c r="HIV6" s="50"/>
      <c r="HIW6" s="50"/>
      <c r="HIX6" s="50"/>
      <c r="HIY6" s="50"/>
      <c r="HIZ6" s="50"/>
      <c r="HJA6" s="50"/>
      <c r="HJB6" s="50"/>
      <c r="HJC6" s="50"/>
      <c r="HJD6" s="50"/>
      <c r="HJE6" s="50"/>
      <c r="HJF6" s="50"/>
      <c r="HJG6" s="50"/>
      <c r="HJH6" s="50"/>
      <c r="HJI6" s="50"/>
      <c r="HJJ6" s="50"/>
      <c r="HJK6" s="50"/>
      <c r="HJL6" s="50"/>
      <c r="HJM6" s="50"/>
      <c r="HJN6" s="50"/>
      <c r="HJO6" s="50"/>
      <c r="HJP6" s="50"/>
      <c r="HJQ6" s="50"/>
      <c r="HJR6" s="50"/>
      <c r="HJS6" s="50"/>
      <c r="HJT6" s="50"/>
      <c r="HJU6" s="50"/>
      <c r="HJV6" s="50"/>
      <c r="HJW6" s="50"/>
      <c r="HJX6" s="50"/>
      <c r="HJY6" s="50"/>
      <c r="HJZ6" s="50"/>
      <c r="HKA6" s="50"/>
      <c r="HKB6" s="50"/>
      <c r="HKC6" s="50"/>
      <c r="HKD6" s="50"/>
      <c r="HKE6" s="50"/>
      <c r="HKF6" s="50"/>
      <c r="HKG6" s="50"/>
      <c r="HKH6" s="50"/>
      <c r="HKI6" s="50"/>
      <c r="HKJ6" s="50"/>
      <c r="HKK6" s="50"/>
      <c r="HKL6" s="50"/>
      <c r="HKM6" s="50"/>
      <c r="HKN6" s="50"/>
      <c r="HKO6" s="50"/>
      <c r="HKP6" s="50"/>
      <c r="HKQ6" s="50"/>
      <c r="HKR6" s="50"/>
      <c r="HKS6" s="50"/>
      <c r="HKT6" s="50"/>
      <c r="HKU6" s="50"/>
      <c r="HKV6" s="50"/>
      <c r="HKW6" s="50"/>
      <c r="HKX6" s="50"/>
      <c r="HKY6" s="50"/>
      <c r="HKZ6" s="50"/>
      <c r="HLA6" s="50"/>
      <c r="HLB6" s="50"/>
      <c r="HLC6" s="50"/>
      <c r="HLD6" s="50"/>
      <c r="HLE6" s="50"/>
      <c r="HLF6" s="50"/>
      <c r="HLG6" s="50"/>
      <c r="HLH6" s="50"/>
      <c r="HLI6" s="50"/>
      <c r="HLJ6" s="50"/>
      <c r="HLK6" s="50"/>
      <c r="HLL6" s="50"/>
      <c r="HLM6" s="50"/>
      <c r="HLN6" s="50"/>
      <c r="HLO6" s="50"/>
      <c r="HLP6" s="50"/>
      <c r="HLQ6" s="50"/>
      <c r="HLR6" s="50"/>
      <c r="HLS6" s="50"/>
      <c r="HLT6" s="50"/>
      <c r="HLU6" s="50"/>
      <c r="HLV6" s="50"/>
      <c r="HLW6" s="50"/>
      <c r="HLX6" s="50"/>
      <c r="HLY6" s="50"/>
      <c r="HLZ6" s="50"/>
      <c r="HMA6" s="50"/>
      <c r="HMB6" s="50"/>
      <c r="HMC6" s="50"/>
      <c r="HMD6" s="50"/>
      <c r="HME6" s="50"/>
      <c r="HMF6" s="50"/>
      <c r="HMG6" s="50"/>
      <c r="HMH6" s="50"/>
      <c r="HMI6" s="50"/>
      <c r="HMJ6" s="50"/>
      <c r="HMK6" s="50"/>
      <c r="HML6" s="50"/>
      <c r="HMM6" s="50"/>
      <c r="HMN6" s="50"/>
      <c r="HMO6" s="50"/>
      <c r="HMP6" s="50"/>
      <c r="HMQ6" s="50"/>
      <c r="HMR6" s="50"/>
      <c r="HMS6" s="50"/>
      <c r="HMT6" s="50"/>
      <c r="HMU6" s="50"/>
      <c r="HMV6" s="50"/>
      <c r="HMW6" s="50"/>
      <c r="HMX6" s="50"/>
      <c r="HMY6" s="50"/>
      <c r="HMZ6" s="50"/>
      <c r="HNA6" s="50"/>
      <c r="HNB6" s="50"/>
      <c r="HNC6" s="50"/>
      <c r="HND6" s="50"/>
      <c r="HNE6" s="50"/>
      <c r="HNF6" s="50"/>
      <c r="HNG6" s="50"/>
      <c r="HNH6" s="50"/>
      <c r="HNI6" s="50"/>
      <c r="HNJ6" s="50"/>
      <c r="HNK6" s="50"/>
      <c r="HNL6" s="50"/>
      <c r="HNM6" s="50"/>
      <c r="HNN6" s="50"/>
      <c r="HNO6" s="50"/>
      <c r="HNP6" s="50"/>
      <c r="HNQ6" s="50"/>
      <c r="HNR6" s="50"/>
      <c r="HNS6" s="50"/>
      <c r="HNT6" s="50"/>
      <c r="HNU6" s="50"/>
      <c r="HNV6" s="50"/>
      <c r="HNW6" s="50"/>
      <c r="HNX6" s="50"/>
      <c r="HNY6" s="50"/>
      <c r="HNZ6" s="50"/>
      <c r="HOA6" s="50"/>
      <c r="HOB6" s="50"/>
      <c r="HOC6" s="50"/>
      <c r="HOD6" s="50"/>
      <c r="HOE6" s="50"/>
      <c r="HOF6" s="50"/>
      <c r="HOG6" s="50"/>
      <c r="HOH6" s="50"/>
      <c r="HOI6" s="50"/>
      <c r="HOJ6" s="50"/>
      <c r="HOK6" s="50"/>
      <c r="HOL6" s="50"/>
      <c r="HOM6" s="50"/>
      <c r="HON6" s="50"/>
      <c r="HOO6" s="50"/>
      <c r="HOP6" s="50"/>
      <c r="HOQ6" s="50"/>
      <c r="HOR6" s="50"/>
      <c r="HOS6" s="50"/>
      <c r="HOT6" s="50"/>
      <c r="HOU6" s="50"/>
      <c r="HOV6" s="50"/>
      <c r="HOW6" s="50"/>
      <c r="HOX6" s="50"/>
      <c r="HOY6" s="50"/>
      <c r="HOZ6" s="50"/>
      <c r="HPA6" s="50"/>
      <c r="HPB6" s="50"/>
      <c r="HPC6" s="50"/>
      <c r="HPD6" s="50"/>
      <c r="HPE6" s="50"/>
      <c r="HPF6" s="50"/>
      <c r="HPG6" s="50"/>
      <c r="HPH6" s="50"/>
      <c r="HPI6" s="50"/>
      <c r="HPJ6" s="50"/>
      <c r="HPK6" s="50"/>
      <c r="HPL6" s="50"/>
      <c r="HPM6" s="50"/>
      <c r="HPN6" s="50"/>
      <c r="HPO6" s="50"/>
      <c r="HPP6" s="50"/>
      <c r="HPQ6" s="50"/>
      <c r="HPR6" s="50"/>
      <c r="HPS6" s="50"/>
      <c r="HPT6" s="50"/>
      <c r="HPU6" s="50"/>
      <c r="HPV6" s="50"/>
      <c r="HPW6" s="50"/>
      <c r="HPX6" s="50"/>
      <c r="HPY6" s="50"/>
      <c r="HPZ6" s="50"/>
      <c r="HQA6" s="50"/>
      <c r="HQB6" s="50"/>
      <c r="HQC6" s="50"/>
      <c r="HQD6" s="50"/>
      <c r="HQE6" s="50"/>
      <c r="HQF6" s="50"/>
      <c r="HQG6" s="50"/>
      <c r="HQH6" s="50"/>
      <c r="HQI6" s="50"/>
      <c r="HQJ6" s="50"/>
      <c r="HQK6" s="50"/>
      <c r="HQL6" s="50"/>
      <c r="HQM6" s="50"/>
      <c r="HQN6" s="50"/>
      <c r="HQO6" s="50"/>
      <c r="HQP6" s="50"/>
      <c r="HQQ6" s="50"/>
      <c r="HQR6" s="50"/>
      <c r="HQS6" s="50"/>
      <c r="HQT6" s="50"/>
      <c r="HQU6" s="50"/>
      <c r="HQV6" s="50"/>
      <c r="HQW6" s="50"/>
      <c r="HQX6" s="50"/>
      <c r="HQY6" s="50"/>
      <c r="HQZ6" s="50"/>
      <c r="HRA6" s="50"/>
      <c r="HRB6" s="50"/>
      <c r="HRC6" s="50"/>
      <c r="HRD6" s="50"/>
      <c r="HRE6" s="50"/>
      <c r="HRF6" s="50"/>
      <c r="HRG6" s="50"/>
      <c r="HRH6" s="50"/>
      <c r="HRI6" s="50"/>
      <c r="HRJ6" s="50"/>
      <c r="HRK6" s="50"/>
      <c r="HRL6" s="50"/>
      <c r="HRM6" s="50"/>
      <c r="HRN6" s="50"/>
      <c r="HRO6" s="50"/>
      <c r="HRP6" s="50"/>
      <c r="HRQ6" s="50"/>
      <c r="HRR6" s="50"/>
      <c r="HRS6" s="50"/>
      <c r="HRT6" s="50"/>
      <c r="HRU6" s="50"/>
      <c r="HRV6" s="50"/>
      <c r="HRW6" s="50"/>
      <c r="HRX6" s="50"/>
      <c r="HRY6" s="50"/>
      <c r="HRZ6" s="50"/>
      <c r="HSA6" s="50"/>
      <c r="HSB6" s="50"/>
      <c r="HSC6" s="50"/>
      <c r="HSD6" s="50"/>
      <c r="HSE6" s="50"/>
      <c r="HSF6" s="50"/>
      <c r="HSG6" s="50"/>
      <c r="HSH6" s="50"/>
      <c r="HSI6" s="50"/>
      <c r="HSJ6" s="50"/>
      <c r="HSK6" s="50"/>
      <c r="HSL6" s="50"/>
      <c r="HSM6" s="50"/>
      <c r="HSN6" s="50"/>
      <c r="HSO6" s="50"/>
      <c r="HSP6" s="50"/>
      <c r="HSQ6" s="50"/>
      <c r="HSR6" s="50"/>
      <c r="HSS6" s="50"/>
      <c r="HST6" s="50"/>
      <c r="HSU6" s="50"/>
      <c r="HSV6" s="50"/>
      <c r="HSW6" s="50"/>
      <c r="HSX6" s="50"/>
      <c r="HSY6" s="50"/>
      <c r="HSZ6" s="50"/>
      <c r="HTA6" s="50"/>
      <c r="HTB6" s="50"/>
      <c r="HTC6" s="50"/>
      <c r="HTD6" s="50"/>
      <c r="HTE6" s="50"/>
      <c r="HTF6" s="50"/>
      <c r="HTG6" s="50"/>
      <c r="HTH6" s="50"/>
      <c r="HTI6" s="50"/>
      <c r="HTJ6" s="50"/>
      <c r="HTK6" s="50"/>
      <c r="HTL6" s="50"/>
      <c r="HTM6" s="50"/>
      <c r="HTN6" s="50"/>
      <c r="HTO6" s="50"/>
      <c r="HTP6" s="50"/>
      <c r="HTQ6" s="50"/>
      <c r="HTR6" s="50"/>
      <c r="HTS6" s="50"/>
      <c r="HTT6" s="50"/>
      <c r="HTU6" s="50"/>
      <c r="HTV6" s="50"/>
      <c r="HTW6" s="50"/>
      <c r="HTX6" s="50"/>
      <c r="HTY6" s="50"/>
      <c r="HTZ6" s="50"/>
      <c r="HUA6" s="50"/>
      <c r="HUB6" s="50"/>
      <c r="HUC6" s="50"/>
      <c r="HUD6" s="50"/>
      <c r="HUE6" s="50"/>
      <c r="HUF6" s="50"/>
      <c r="HUG6" s="50"/>
      <c r="HUH6" s="50"/>
      <c r="HUI6" s="50"/>
      <c r="HUJ6" s="50"/>
      <c r="HUK6" s="50"/>
      <c r="HUL6" s="50"/>
      <c r="HUM6" s="50"/>
      <c r="HUN6" s="50"/>
      <c r="HUO6" s="50"/>
      <c r="HUP6" s="50"/>
      <c r="HUQ6" s="50"/>
      <c r="HUR6" s="50"/>
      <c r="HUS6" s="50"/>
      <c r="HUT6" s="50"/>
      <c r="HUU6" s="50"/>
      <c r="HUV6" s="50"/>
      <c r="HUW6" s="50"/>
      <c r="HUX6" s="50"/>
      <c r="HUY6" s="50"/>
      <c r="HUZ6" s="50"/>
      <c r="HVA6" s="50"/>
      <c r="HVB6" s="50"/>
      <c r="HVC6" s="50"/>
      <c r="HVD6" s="50"/>
      <c r="HVE6" s="50"/>
      <c r="HVF6" s="50"/>
      <c r="HVG6" s="50"/>
      <c r="HVH6" s="50"/>
      <c r="HVI6" s="50"/>
      <c r="HVJ6" s="50"/>
      <c r="HVK6" s="50"/>
      <c r="HVL6" s="50"/>
      <c r="HVM6" s="50"/>
      <c r="HVN6" s="50"/>
      <c r="HVO6" s="50"/>
      <c r="HVP6" s="50"/>
      <c r="HVQ6" s="50"/>
      <c r="HVR6" s="50"/>
      <c r="HVS6" s="50"/>
      <c r="HVT6" s="50"/>
      <c r="HVU6" s="50"/>
      <c r="HVV6" s="50"/>
      <c r="HVW6" s="50"/>
      <c r="HVX6" s="50"/>
      <c r="HVY6" s="50"/>
      <c r="HVZ6" s="50"/>
      <c r="HWA6" s="50"/>
      <c r="HWB6" s="50"/>
      <c r="HWC6" s="50"/>
      <c r="HWD6" s="50"/>
      <c r="HWE6" s="50"/>
      <c r="HWF6" s="50"/>
      <c r="HWG6" s="50"/>
      <c r="HWH6" s="50"/>
      <c r="HWI6" s="50"/>
      <c r="HWJ6" s="50"/>
      <c r="HWK6" s="50"/>
      <c r="HWL6" s="50"/>
      <c r="HWM6" s="50"/>
      <c r="HWN6" s="50"/>
      <c r="HWO6" s="50"/>
      <c r="HWP6" s="50"/>
      <c r="HWQ6" s="50"/>
      <c r="HWR6" s="50"/>
      <c r="HWS6" s="50"/>
      <c r="HWT6" s="50"/>
      <c r="HWU6" s="50"/>
      <c r="HWV6" s="50"/>
      <c r="HWW6" s="50"/>
      <c r="HWX6" s="50"/>
      <c r="HWY6" s="50"/>
      <c r="HWZ6" s="50"/>
      <c r="HXA6" s="50"/>
      <c r="HXB6" s="50"/>
      <c r="HXC6" s="50"/>
      <c r="HXD6" s="50"/>
      <c r="HXE6" s="50"/>
      <c r="HXF6" s="50"/>
      <c r="HXG6" s="50"/>
      <c r="HXH6" s="50"/>
      <c r="HXI6" s="50"/>
      <c r="HXJ6" s="50"/>
      <c r="HXK6" s="50"/>
      <c r="HXL6" s="50"/>
      <c r="HXM6" s="50"/>
      <c r="HXN6" s="50"/>
      <c r="HXO6" s="50"/>
      <c r="HXP6" s="50"/>
      <c r="HXQ6" s="50"/>
      <c r="HXR6" s="50"/>
      <c r="HXS6" s="50"/>
      <c r="HXT6" s="50"/>
      <c r="HXU6" s="50"/>
      <c r="HXV6" s="50"/>
      <c r="HXW6" s="50"/>
      <c r="HXX6" s="50"/>
      <c r="HXY6" s="50"/>
      <c r="HXZ6" s="50"/>
      <c r="HYA6" s="50"/>
      <c r="HYB6" s="50"/>
      <c r="HYC6" s="50"/>
      <c r="HYD6" s="50"/>
      <c r="HYE6" s="50"/>
      <c r="HYF6" s="50"/>
      <c r="HYG6" s="50"/>
      <c r="HYH6" s="50"/>
      <c r="HYI6" s="50"/>
      <c r="HYJ6" s="50"/>
      <c r="HYK6" s="50"/>
      <c r="HYL6" s="50"/>
      <c r="HYM6" s="50"/>
      <c r="HYN6" s="50"/>
      <c r="HYO6" s="50"/>
      <c r="HYP6" s="50"/>
      <c r="HYQ6" s="50"/>
      <c r="HYR6" s="50"/>
      <c r="HYS6" s="50"/>
      <c r="HYT6" s="50"/>
      <c r="HYU6" s="50"/>
      <c r="HYV6" s="50"/>
      <c r="HYW6" s="50"/>
      <c r="HYX6" s="50"/>
      <c r="HYY6" s="50"/>
      <c r="HYZ6" s="50"/>
      <c r="HZA6" s="50"/>
      <c r="HZB6" s="50"/>
      <c r="HZC6" s="50"/>
      <c r="HZD6" s="50"/>
      <c r="HZE6" s="50"/>
      <c r="HZF6" s="50"/>
      <c r="HZG6" s="50"/>
      <c r="HZH6" s="50"/>
      <c r="HZI6" s="50"/>
      <c r="HZJ6" s="50"/>
      <c r="HZK6" s="50"/>
      <c r="HZL6" s="50"/>
      <c r="HZM6" s="50"/>
      <c r="HZN6" s="50"/>
      <c r="HZO6" s="50"/>
      <c r="HZP6" s="50"/>
      <c r="HZQ6" s="50"/>
      <c r="HZR6" s="50"/>
      <c r="HZS6" s="50"/>
      <c r="HZT6" s="50"/>
      <c r="HZU6" s="50"/>
      <c r="HZV6" s="50"/>
      <c r="HZW6" s="50"/>
      <c r="HZX6" s="50"/>
      <c r="HZY6" s="50"/>
      <c r="HZZ6" s="50"/>
      <c r="IAA6" s="50"/>
      <c r="IAB6" s="50"/>
      <c r="IAC6" s="50"/>
      <c r="IAD6" s="50"/>
      <c r="IAE6" s="50"/>
      <c r="IAF6" s="50"/>
      <c r="IAG6" s="50"/>
      <c r="IAH6" s="50"/>
      <c r="IAI6" s="50"/>
      <c r="IAJ6" s="50"/>
      <c r="IAK6" s="50"/>
      <c r="IAL6" s="50"/>
      <c r="IAM6" s="50"/>
      <c r="IAN6" s="50"/>
      <c r="IAO6" s="50"/>
      <c r="IAP6" s="50"/>
      <c r="IAQ6" s="50"/>
      <c r="IAR6" s="50"/>
      <c r="IAS6" s="50"/>
      <c r="IAT6" s="50"/>
      <c r="IAU6" s="50"/>
      <c r="IAV6" s="50"/>
      <c r="IAW6" s="50"/>
      <c r="IAX6" s="50"/>
      <c r="IAY6" s="50"/>
      <c r="IAZ6" s="50"/>
      <c r="IBA6" s="50"/>
      <c r="IBB6" s="50"/>
      <c r="IBC6" s="50"/>
      <c r="IBD6" s="50"/>
      <c r="IBE6" s="50"/>
      <c r="IBF6" s="50"/>
      <c r="IBG6" s="50"/>
      <c r="IBH6" s="50"/>
      <c r="IBI6" s="50"/>
      <c r="IBJ6" s="50"/>
      <c r="IBK6" s="50"/>
      <c r="IBL6" s="50"/>
      <c r="IBM6" s="50"/>
      <c r="IBN6" s="50"/>
      <c r="IBO6" s="50"/>
      <c r="IBP6" s="50"/>
      <c r="IBQ6" s="50"/>
      <c r="IBR6" s="50"/>
      <c r="IBS6" s="50"/>
      <c r="IBT6" s="50"/>
      <c r="IBU6" s="50"/>
      <c r="IBV6" s="50"/>
      <c r="IBW6" s="50"/>
      <c r="IBX6" s="50"/>
      <c r="IBY6" s="50"/>
      <c r="IBZ6" s="50"/>
      <c r="ICA6" s="50"/>
      <c r="ICB6" s="50"/>
      <c r="ICC6" s="50"/>
      <c r="ICD6" s="50"/>
      <c r="ICE6" s="50"/>
      <c r="ICF6" s="50"/>
      <c r="ICG6" s="50"/>
      <c r="ICH6" s="50"/>
      <c r="ICI6" s="50"/>
      <c r="ICJ6" s="50"/>
      <c r="ICK6" s="50"/>
      <c r="ICL6" s="50"/>
      <c r="ICM6" s="50"/>
      <c r="ICN6" s="50"/>
      <c r="ICO6" s="50"/>
      <c r="ICP6" s="50"/>
      <c r="ICQ6" s="50"/>
      <c r="ICR6" s="50"/>
      <c r="ICS6" s="50"/>
      <c r="ICT6" s="50"/>
      <c r="ICU6" s="50"/>
      <c r="ICV6" s="50"/>
      <c r="ICW6" s="50"/>
      <c r="ICX6" s="50"/>
      <c r="ICY6" s="50"/>
      <c r="ICZ6" s="50"/>
      <c r="IDA6" s="50"/>
      <c r="IDB6" s="50"/>
      <c r="IDC6" s="50"/>
      <c r="IDD6" s="50"/>
      <c r="IDE6" s="50"/>
      <c r="IDF6" s="50"/>
      <c r="IDG6" s="50"/>
      <c r="IDH6" s="50"/>
      <c r="IDI6" s="50"/>
      <c r="IDJ6" s="50"/>
      <c r="IDK6" s="50"/>
      <c r="IDL6" s="50"/>
      <c r="IDM6" s="50"/>
      <c r="IDN6" s="50"/>
      <c r="IDO6" s="50"/>
      <c r="IDP6" s="50"/>
      <c r="IDQ6" s="50"/>
      <c r="IDR6" s="50"/>
      <c r="IDS6" s="50"/>
      <c r="IDT6" s="50"/>
      <c r="IDU6" s="50"/>
      <c r="IDV6" s="50"/>
      <c r="IDW6" s="50"/>
      <c r="IDX6" s="50"/>
      <c r="IDY6" s="50"/>
      <c r="IDZ6" s="50"/>
      <c r="IEA6" s="50"/>
      <c r="IEB6" s="50"/>
      <c r="IEC6" s="50"/>
      <c r="IED6" s="50"/>
      <c r="IEE6" s="50"/>
      <c r="IEF6" s="50"/>
      <c r="IEG6" s="50"/>
      <c r="IEH6" s="50"/>
      <c r="IEI6" s="50"/>
      <c r="IEJ6" s="50"/>
      <c r="IEK6" s="50"/>
      <c r="IEL6" s="50"/>
      <c r="IEM6" s="50"/>
      <c r="IEN6" s="50"/>
      <c r="IEO6" s="50"/>
      <c r="IEP6" s="50"/>
      <c r="IEQ6" s="50"/>
      <c r="IER6" s="50"/>
      <c r="IES6" s="50"/>
      <c r="IET6" s="50"/>
      <c r="IEU6" s="50"/>
      <c r="IEV6" s="50"/>
      <c r="IEW6" s="50"/>
      <c r="IEX6" s="50"/>
      <c r="IEY6" s="50"/>
      <c r="IEZ6" s="50"/>
      <c r="IFA6" s="50"/>
      <c r="IFB6" s="50"/>
      <c r="IFC6" s="50"/>
      <c r="IFD6" s="50"/>
      <c r="IFE6" s="50"/>
      <c r="IFF6" s="50"/>
      <c r="IFG6" s="50"/>
      <c r="IFH6" s="50"/>
      <c r="IFI6" s="50"/>
      <c r="IFJ6" s="50"/>
      <c r="IFK6" s="50"/>
      <c r="IFL6" s="50"/>
      <c r="IFM6" s="50"/>
      <c r="IFN6" s="50"/>
      <c r="IFO6" s="50"/>
      <c r="IFP6" s="50"/>
      <c r="IFQ6" s="50"/>
      <c r="IFR6" s="50"/>
      <c r="IFS6" s="50"/>
      <c r="IFT6" s="50"/>
      <c r="IFU6" s="50"/>
      <c r="IFV6" s="50"/>
      <c r="IFW6" s="50"/>
      <c r="IFX6" s="50"/>
      <c r="IFY6" s="50"/>
      <c r="IFZ6" s="50"/>
      <c r="IGA6" s="50"/>
      <c r="IGB6" s="50"/>
      <c r="IGC6" s="50"/>
      <c r="IGD6" s="50"/>
      <c r="IGE6" s="50"/>
      <c r="IGF6" s="50"/>
      <c r="IGG6" s="50"/>
      <c r="IGH6" s="50"/>
      <c r="IGI6" s="50"/>
      <c r="IGJ6" s="50"/>
      <c r="IGK6" s="50"/>
      <c r="IGL6" s="50"/>
      <c r="IGM6" s="50"/>
      <c r="IGN6" s="50"/>
      <c r="IGO6" s="50"/>
      <c r="IGP6" s="50"/>
      <c r="IGQ6" s="50"/>
      <c r="IGR6" s="50"/>
      <c r="IGS6" s="50"/>
      <c r="IGT6" s="50"/>
      <c r="IGU6" s="50"/>
      <c r="IGV6" s="50"/>
      <c r="IGW6" s="50"/>
      <c r="IGX6" s="50"/>
      <c r="IGY6" s="50"/>
      <c r="IGZ6" s="50"/>
      <c r="IHA6" s="50"/>
      <c r="IHB6" s="50"/>
      <c r="IHC6" s="50"/>
      <c r="IHD6" s="50"/>
      <c r="IHE6" s="50"/>
      <c r="IHF6" s="50"/>
      <c r="IHG6" s="50"/>
      <c r="IHH6" s="50"/>
      <c r="IHI6" s="50"/>
      <c r="IHJ6" s="50"/>
      <c r="IHK6" s="50"/>
      <c r="IHL6" s="50"/>
      <c r="IHM6" s="50"/>
      <c r="IHN6" s="50"/>
      <c r="IHO6" s="50"/>
      <c r="IHP6" s="50"/>
      <c r="IHQ6" s="50"/>
      <c r="IHR6" s="50"/>
      <c r="IHS6" s="50"/>
      <c r="IHT6" s="50"/>
      <c r="IHU6" s="50"/>
      <c r="IHV6" s="50"/>
      <c r="IHW6" s="50"/>
      <c r="IHX6" s="50"/>
      <c r="IHY6" s="50"/>
      <c r="IHZ6" s="50"/>
      <c r="IIA6" s="50"/>
      <c r="IIB6" s="50"/>
      <c r="IIC6" s="50"/>
      <c r="IID6" s="50"/>
      <c r="IIE6" s="50"/>
      <c r="IIF6" s="50"/>
      <c r="IIG6" s="50"/>
      <c r="IIH6" s="50"/>
      <c r="III6" s="50"/>
      <c r="IIJ6" s="50"/>
      <c r="IIK6" s="50"/>
      <c r="IIL6" s="50"/>
      <c r="IIM6" s="50"/>
      <c r="IIN6" s="50"/>
      <c r="IIO6" s="50"/>
      <c r="IIP6" s="50"/>
      <c r="IIQ6" s="50"/>
      <c r="IIR6" s="50"/>
      <c r="IIS6" s="50"/>
      <c r="IIT6" s="50"/>
      <c r="IIU6" s="50"/>
      <c r="IIV6" s="50"/>
      <c r="IIW6" s="50"/>
      <c r="IIX6" s="50"/>
      <c r="IIY6" s="50"/>
      <c r="IIZ6" s="50"/>
      <c r="IJA6" s="50"/>
      <c r="IJB6" s="50"/>
      <c r="IJC6" s="50"/>
      <c r="IJD6" s="50"/>
      <c r="IJE6" s="50"/>
      <c r="IJF6" s="50"/>
      <c r="IJG6" s="50"/>
      <c r="IJH6" s="50"/>
      <c r="IJI6" s="50"/>
      <c r="IJJ6" s="50"/>
      <c r="IJK6" s="50"/>
      <c r="IJL6" s="50"/>
      <c r="IJM6" s="50"/>
      <c r="IJN6" s="50"/>
      <c r="IJO6" s="50"/>
      <c r="IJP6" s="50"/>
      <c r="IJQ6" s="50"/>
      <c r="IJR6" s="50"/>
      <c r="IJS6" s="50"/>
      <c r="IJT6" s="50"/>
      <c r="IJU6" s="50"/>
      <c r="IJV6" s="50"/>
      <c r="IJW6" s="50"/>
      <c r="IJX6" s="50"/>
      <c r="IJY6" s="50"/>
      <c r="IJZ6" s="50"/>
      <c r="IKA6" s="50"/>
      <c r="IKB6" s="50"/>
      <c r="IKC6" s="50"/>
      <c r="IKD6" s="50"/>
      <c r="IKE6" s="50"/>
      <c r="IKF6" s="50"/>
      <c r="IKG6" s="50"/>
      <c r="IKH6" s="50"/>
      <c r="IKI6" s="50"/>
      <c r="IKJ6" s="50"/>
      <c r="IKK6" s="50"/>
      <c r="IKL6" s="50"/>
      <c r="IKM6" s="50"/>
      <c r="IKN6" s="50"/>
      <c r="IKO6" s="50"/>
      <c r="IKP6" s="50"/>
      <c r="IKQ6" s="50"/>
      <c r="IKR6" s="50"/>
      <c r="IKS6" s="50"/>
      <c r="IKT6" s="50"/>
      <c r="IKU6" s="50"/>
      <c r="IKV6" s="50"/>
      <c r="IKW6" s="50"/>
      <c r="IKX6" s="50"/>
      <c r="IKY6" s="50"/>
      <c r="IKZ6" s="50"/>
      <c r="ILA6" s="50"/>
      <c r="ILB6" s="50"/>
      <c r="ILC6" s="50"/>
      <c r="ILD6" s="50"/>
      <c r="ILE6" s="50"/>
      <c r="ILF6" s="50"/>
      <c r="ILG6" s="50"/>
      <c r="ILH6" s="50"/>
      <c r="ILI6" s="50"/>
      <c r="ILJ6" s="50"/>
      <c r="ILK6" s="50"/>
      <c r="ILL6" s="50"/>
      <c r="ILM6" s="50"/>
      <c r="ILN6" s="50"/>
      <c r="ILO6" s="50"/>
      <c r="ILP6" s="50"/>
      <c r="ILQ6" s="50"/>
      <c r="ILR6" s="50"/>
      <c r="ILS6" s="50"/>
      <c r="ILT6" s="50"/>
      <c r="ILU6" s="50"/>
      <c r="ILV6" s="50"/>
      <c r="ILW6" s="50"/>
      <c r="ILX6" s="50"/>
      <c r="ILY6" s="50"/>
      <c r="ILZ6" s="50"/>
      <c r="IMA6" s="50"/>
      <c r="IMB6" s="50"/>
      <c r="IMC6" s="50"/>
      <c r="IMD6" s="50"/>
      <c r="IME6" s="50"/>
      <c r="IMF6" s="50"/>
      <c r="IMG6" s="50"/>
      <c r="IMH6" s="50"/>
      <c r="IMI6" s="50"/>
      <c r="IMJ6" s="50"/>
      <c r="IMK6" s="50"/>
      <c r="IML6" s="50"/>
      <c r="IMM6" s="50"/>
      <c r="IMN6" s="50"/>
      <c r="IMO6" s="50"/>
      <c r="IMP6" s="50"/>
      <c r="IMQ6" s="50"/>
      <c r="IMR6" s="50"/>
      <c r="IMS6" s="50"/>
      <c r="IMT6" s="50"/>
      <c r="IMU6" s="50"/>
      <c r="IMV6" s="50"/>
      <c r="IMW6" s="50"/>
      <c r="IMX6" s="50"/>
      <c r="IMY6" s="50"/>
      <c r="IMZ6" s="50"/>
      <c r="INA6" s="50"/>
      <c r="INB6" s="50"/>
      <c r="INC6" s="50"/>
      <c r="IND6" s="50"/>
      <c r="INE6" s="50"/>
      <c r="INF6" s="50"/>
      <c r="ING6" s="50"/>
      <c r="INH6" s="50"/>
      <c r="INI6" s="50"/>
      <c r="INJ6" s="50"/>
      <c r="INK6" s="50"/>
      <c r="INL6" s="50"/>
      <c r="INM6" s="50"/>
      <c r="INN6" s="50"/>
      <c r="INO6" s="50"/>
      <c r="INP6" s="50"/>
      <c r="INQ6" s="50"/>
      <c r="INR6" s="50"/>
      <c r="INS6" s="50"/>
      <c r="INT6" s="50"/>
      <c r="INU6" s="50"/>
      <c r="INV6" s="50"/>
      <c r="INW6" s="50"/>
      <c r="INX6" s="50"/>
      <c r="INY6" s="50"/>
      <c r="INZ6" s="50"/>
      <c r="IOA6" s="50"/>
      <c r="IOB6" s="50"/>
      <c r="IOC6" s="50"/>
      <c r="IOD6" s="50"/>
      <c r="IOE6" s="50"/>
      <c r="IOF6" s="50"/>
      <c r="IOG6" s="50"/>
      <c r="IOH6" s="50"/>
      <c r="IOI6" s="50"/>
      <c r="IOJ6" s="50"/>
      <c r="IOK6" s="50"/>
      <c r="IOL6" s="50"/>
      <c r="IOM6" s="50"/>
      <c r="ION6" s="50"/>
      <c r="IOO6" s="50"/>
      <c r="IOP6" s="50"/>
      <c r="IOQ6" s="50"/>
      <c r="IOR6" s="50"/>
      <c r="IOS6" s="50"/>
      <c r="IOT6" s="50"/>
      <c r="IOU6" s="50"/>
      <c r="IOV6" s="50"/>
      <c r="IOW6" s="50"/>
      <c r="IOX6" s="50"/>
      <c r="IOY6" s="50"/>
      <c r="IOZ6" s="50"/>
      <c r="IPA6" s="50"/>
      <c r="IPB6" s="50"/>
      <c r="IPC6" s="50"/>
      <c r="IPD6" s="50"/>
      <c r="IPE6" s="50"/>
      <c r="IPF6" s="50"/>
      <c r="IPG6" s="50"/>
      <c r="IPH6" s="50"/>
      <c r="IPI6" s="50"/>
      <c r="IPJ6" s="50"/>
      <c r="IPK6" s="50"/>
      <c r="IPL6" s="50"/>
      <c r="IPM6" s="50"/>
      <c r="IPN6" s="50"/>
      <c r="IPO6" s="50"/>
      <c r="IPP6" s="50"/>
      <c r="IPQ6" s="50"/>
      <c r="IPR6" s="50"/>
      <c r="IPS6" s="50"/>
      <c r="IPT6" s="50"/>
      <c r="IPU6" s="50"/>
      <c r="IPV6" s="50"/>
      <c r="IPW6" s="50"/>
      <c r="IPX6" s="50"/>
      <c r="IPY6" s="50"/>
      <c r="IPZ6" s="50"/>
      <c r="IQA6" s="50"/>
      <c r="IQB6" s="50"/>
      <c r="IQC6" s="50"/>
      <c r="IQD6" s="50"/>
      <c r="IQE6" s="50"/>
      <c r="IQF6" s="50"/>
      <c r="IQG6" s="50"/>
      <c r="IQH6" s="50"/>
      <c r="IQI6" s="50"/>
      <c r="IQJ6" s="50"/>
      <c r="IQK6" s="50"/>
      <c r="IQL6" s="50"/>
      <c r="IQM6" s="50"/>
      <c r="IQN6" s="50"/>
      <c r="IQO6" s="50"/>
      <c r="IQP6" s="50"/>
      <c r="IQQ6" s="50"/>
      <c r="IQR6" s="50"/>
      <c r="IQS6" s="50"/>
      <c r="IQT6" s="50"/>
      <c r="IQU6" s="50"/>
      <c r="IQV6" s="50"/>
      <c r="IQW6" s="50"/>
      <c r="IQX6" s="50"/>
      <c r="IQY6" s="50"/>
      <c r="IQZ6" s="50"/>
      <c r="IRA6" s="50"/>
      <c r="IRB6" s="50"/>
      <c r="IRC6" s="50"/>
      <c r="IRD6" s="50"/>
      <c r="IRE6" s="50"/>
      <c r="IRF6" s="50"/>
      <c r="IRG6" s="50"/>
      <c r="IRH6" s="50"/>
      <c r="IRI6" s="50"/>
      <c r="IRJ6" s="50"/>
      <c r="IRK6" s="50"/>
      <c r="IRL6" s="50"/>
      <c r="IRM6" s="50"/>
      <c r="IRN6" s="50"/>
      <c r="IRO6" s="50"/>
      <c r="IRP6" s="50"/>
      <c r="IRQ6" s="50"/>
      <c r="IRR6" s="50"/>
      <c r="IRS6" s="50"/>
      <c r="IRT6" s="50"/>
      <c r="IRU6" s="50"/>
      <c r="IRV6" s="50"/>
      <c r="IRW6" s="50"/>
      <c r="IRX6" s="50"/>
      <c r="IRY6" s="50"/>
      <c r="IRZ6" s="50"/>
      <c r="ISA6" s="50"/>
      <c r="ISB6" s="50"/>
      <c r="ISC6" s="50"/>
      <c r="ISD6" s="50"/>
      <c r="ISE6" s="50"/>
      <c r="ISF6" s="50"/>
      <c r="ISG6" s="50"/>
      <c r="ISH6" s="50"/>
      <c r="ISI6" s="50"/>
      <c r="ISJ6" s="50"/>
      <c r="ISK6" s="50"/>
      <c r="ISL6" s="50"/>
      <c r="ISM6" s="50"/>
      <c r="ISN6" s="50"/>
      <c r="ISO6" s="50"/>
      <c r="ISP6" s="50"/>
      <c r="ISQ6" s="50"/>
      <c r="ISR6" s="50"/>
      <c r="ISS6" s="50"/>
      <c r="IST6" s="50"/>
      <c r="ISU6" s="50"/>
      <c r="ISV6" s="50"/>
      <c r="ISW6" s="50"/>
      <c r="ISX6" s="50"/>
      <c r="ISY6" s="50"/>
      <c r="ISZ6" s="50"/>
      <c r="ITA6" s="50"/>
      <c r="ITB6" s="50"/>
      <c r="ITC6" s="50"/>
      <c r="ITD6" s="50"/>
      <c r="ITE6" s="50"/>
      <c r="ITF6" s="50"/>
      <c r="ITG6" s="50"/>
      <c r="ITH6" s="50"/>
      <c r="ITI6" s="50"/>
      <c r="ITJ6" s="50"/>
      <c r="ITK6" s="50"/>
      <c r="ITL6" s="50"/>
      <c r="ITM6" s="50"/>
      <c r="ITN6" s="50"/>
      <c r="ITO6" s="50"/>
      <c r="ITP6" s="50"/>
      <c r="ITQ6" s="50"/>
      <c r="ITR6" s="50"/>
      <c r="ITS6" s="50"/>
      <c r="ITT6" s="50"/>
      <c r="ITU6" s="50"/>
      <c r="ITV6" s="50"/>
      <c r="ITW6" s="50"/>
      <c r="ITX6" s="50"/>
      <c r="ITY6" s="50"/>
      <c r="ITZ6" s="50"/>
      <c r="IUA6" s="50"/>
      <c r="IUB6" s="50"/>
      <c r="IUC6" s="50"/>
      <c r="IUD6" s="50"/>
      <c r="IUE6" s="50"/>
      <c r="IUF6" s="50"/>
      <c r="IUG6" s="50"/>
      <c r="IUH6" s="50"/>
      <c r="IUI6" s="50"/>
      <c r="IUJ6" s="50"/>
      <c r="IUK6" s="50"/>
      <c r="IUL6" s="50"/>
      <c r="IUM6" s="50"/>
      <c r="IUN6" s="50"/>
      <c r="IUO6" s="50"/>
      <c r="IUP6" s="50"/>
      <c r="IUQ6" s="50"/>
      <c r="IUR6" s="50"/>
      <c r="IUS6" s="50"/>
      <c r="IUT6" s="50"/>
      <c r="IUU6" s="50"/>
      <c r="IUV6" s="50"/>
      <c r="IUW6" s="50"/>
      <c r="IUX6" s="50"/>
      <c r="IUY6" s="50"/>
      <c r="IUZ6" s="50"/>
      <c r="IVA6" s="50"/>
      <c r="IVB6" s="50"/>
      <c r="IVC6" s="50"/>
      <c r="IVD6" s="50"/>
      <c r="IVE6" s="50"/>
      <c r="IVF6" s="50"/>
      <c r="IVG6" s="50"/>
      <c r="IVH6" s="50"/>
      <c r="IVI6" s="50"/>
      <c r="IVJ6" s="50"/>
      <c r="IVK6" s="50"/>
      <c r="IVL6" s="50"/>
      <c r="IVM6" s="50"/>
      <c r="IVN6" s="50"/>
      <c r="IVO6" s="50"/>
      <c r="IVP6" s="50"/>
      <c r="IVQ6" s="50"/>
      <c r="IVR6" s="50"/>
      <c r="IVS6" s="50"/>
      <c r="IVT6" s="50"/>
      <c r="IVU6" s="50"/>
      <c r="IVV6" s="50"/>
      <c r="IVW6" s="50"/>
      <c r="IVX6" s="50"/>
      <c r="IVY6" s="50"/>
      <c r="IVZ6" s="50"/>
      <c r="IWA6" s="50"/>
      <c r="IWB6" s="50"/>
      <c r="IWC6" s="50"/>
      <c r="IWD6" s="50"/>
      <c r="IWE6" s="50"/>
      <c r="IWF6" s="50"/>
      <c r="IWG6" s="50"/>
      <c r="IWH6" s="50"/>
      <c r="IWI6" s="50"/>
      <c r="IWJ6" s="50"/>
      <c r="IWK6" s="50"/>
      <c r="IWL6" s="50"/>
      <c r="IWM6" s="50"/>
      <c r="IWN6" s="50"/>
      <c r="IWO6" s="50"/>
      <c r="IWP6" s="50"/>
      <c r="IWQ6" s="50"/>
      <c r="IWR6" s="50"/>
      <c r="IWS6" s="50"/>
      <c r="IWT6" s="50"/>
      <c r="IWU6" s="50"/>
      <c r="IWV6" s="50"/>
      <c r="IWW6" s="50"/>
      <c r="IWX6" s="50"/>
      <c r="IWY6" s="50"/>
      <c r="IWZ6" s="50"/>
      <c r="IXA6" s="50"/>
      <c r="IXB6" s="50"/>
      <c r="IXC6" s="50"/>
      <c r="IXD6" s="50"/>
      <c r="IXE6" s="50"/>
      <c r="IXF6" s="50"/>
      <c r="IXG6" s="50"/>
      <c r="IXH6" s="50"/>
      <c r="IXI6" s="50"/>
      <c r="IXJ6" s="50"/>
      <c r="IXK6" s="50"/>
      <c r="IXL6" s="50"/>
      <c r="IXM6" s="50"/>
      <c r="IXN6" s="50"/>
      <c r="IXO6" s="50"/>
      <c r="IXP6" s="50"/>
      <c r="IXQ6" s="50"/>
      <c r="IXR6" s="50"/>
      <c r="IXS6" s="50"/>
      <c r="IXT6" s="50"/>
      <c r="IXU6" s="50"/>
      <c r="IXV6" s="50"/>
      <c r="IXW6" s="50"/>
      <c r="IXX6" s="50"/>
      <c r="IXY6" s="50"/>
      <c r="IXZ6" s="50"/>
      <c r="IYA6" s="50"/>
      <c r="IYB6" s="50"/>
      <c r="IYC6" s="50"/>
      <c r="IYD6" s="50"/>
      <c r="IYE6" s="50"/>
      <c r="IYF6" s="50"/>
      <c r="IYG6" s="50"/>
      <c r="IYH6" s="50"/>
      <c r="IYI6" s="50"/>
      <c r="IYJ6" s="50"/>
      <c r="IYK6" s="50"/>
      <c r="IYL6" s="50"/>
      <c r="IYM6" s="50"/>
      <c r="IYN6" s="50"/>
      <c r="IYO6" s="50"/>
      <c r="IYP6" s="50"/>
      <c r="IYQ6" s="50"/>
      <c r="IYR6" s="50"/>
      <c r="IYS6" s="50"/>
      <c r="IYT6" s="50"/>
      <c r="IYU6" s="50"/>
      <c r="IYV6" s="50"/>
      <c r="IYW6" s="50"/>
      <c r="IYX6" s="50"/>
      <c r="IYY6" s="50"/>
      <c r="IYZ6" s="50"/>
      <c r="IZA6" s="50"/>
      <c r="IZB6" s="50"/>
      <c r="IZC6" s="50"/>
      <c r="IZD6" s="50"/>
      <c r="IZE6" s="50"/>
      <c r="IZF6" s="50"/>
      <c r="IZG6" s="50"/>
      <c r="IZH6" s="50"/>
      <c r="IZI6" s="50"/>
      <c r="IZJ6" s="50"/>
      <c r="IZK6" s="50"/>
      <c r="IZL6" s="50"/>
      <c r="IZM6" s="50"/>
      <c r="IZN6" s="50"/>
      <c r="IZO6" s="50"/>
      <c r="IZP6" s="50"/>
      <c r="IZQ6" s="50"/>
      <c r="IZR6" s="50"/>
      <c r="IZS6" s="50"/>
      <c r="IZT6" s="50"/>
      <c r="IZU6" s="50"/>
      <c r="IZV6" s="50"/>
      <c r="IZW6" s="50"/>
      <c r="IZX6" s="50"/>
      <c r="IZY6" s="50"/>
      <c r="IZZ6" s="50"/>
      <c r="JAA6" s="50"/>
      <c r="JAB6" s="50"/>
      <c r="JAC6" s="50"/>
      <c r="JAD6" s="50"/>
      <c r="JAE6" s="50"/>
      <c r="JAF6" s="50"/>
      <c r="JAG6" s="50"/>
      <c r="JAH6" s="50"/>
      <c r="JAI6" s="50"/>
      <c r="JAJ6" s="50"/>
      <c r="JAK6" s="50"/>
      <c r="JAL6" s="50"/>
      <c r="JAM6" s="50"/>
      <c r="JAN6" s="50"/>
      <c r="JAO6" s="50"/>
      <c r="JAP6" s="50"/>
      <c r="JAQ6" s="50"/>
      <c r="JAR6" s="50"/>
      <c r="JAS6" s="50"/>
      <c r="JAT6" s="50"/>
      <c r="JAU6" s="50"/>
      <c r="JAV6" s="50"/>
      <c r="JAW6" s="50"/>
      <c r="JAX6" s="50"/>
      <c r="JAY6" s="50"/>
      <c r="JAZ6" s="50"/>
      <c r="JBA6" s="50"/>
      <c r="JBB6" s="50"/>
      <c r="JBC6" s="50"/>
      <c r="JBD6" s="50"/>
      <c r="JBE6" s="50"/>
      <c r="JBF6" s="50"/>
      <c r="JBG6" s="50"/>
      <c r="JBH6" s="50"/>
      <c r="JBI6" s="50"/>
      <c r="JBJ6" s="50"/>
      <c r="JBK6" s="50"/>
      <c r="JBL6" s="50"/>
      <c r="JBM6" s="50"/>
      <c r="JBN6" s="50"/>
      <c r="JBO6" s="50"/>
      <c r="JBP6" s="50"/>
      <c r="JBQ6" s="50"/>
      <c r="JBR6" s="50"/>
      <c r="JBS6" s="50"/>
      <c r="JBT6" s="50"/>
      <c r="JBU6" s="50"/>
      <c r="JBV6" s="50"/>
      <c r="JBW6" s="50"/>
      <c r="JBX6" s="50"/>
      <c r="JBY6" s="50"/>
      <c r="JBZ6" s="50"/>
      <c r="JCA6" s="50"/>
      <c r="JCB6" s="50"/>
      <c r="JCC6" s="50"/>
      <c r="JCD6" s="50"/>
      <c r="JCE6" s="50"/>
      <c r="JCF6" s="50"/>
      <c r="JCG6" s="50"/>
      <c r="JCH6" s="50"/>
      <c r="JCI6" s="50"/>
      <c r="JCJ6" s="50"/>
      <c r="JCK6" s="50"/>
      <c r="JCL6" s="50"/>
      <c r="JCM6" s="50"/>
      <c r="JCN6" s="50"/>
      <c r="JCO6" s="50"/>
      <c r="JCP6" s="50"/>
      <c r="JCQ6" s="50"/>
      <c r="JCR6" s="50"/>
      <c r="JCS6" s="50"/>
      <c r="JCT6" s="50"/>
      <c r="JCU6" s="50"/>
      <c r="JCV6" s="50"/>
      <c r="JCW6" s="50"/>
      <c r="JCX6" s="50"/>
      <c r="JCY6" s="50"/>
      <c r="JCZ6" s="50"/>
      <c r="JDA6" s="50"/>
      <c r="JDB6" s="50"/>
      <c r="JDC6" s="50"/>
      <c r="JDD6" s="50"/>
      <c r="JDE6" s="50"/>
      <c r="JDF6" s="50"/>
      <c r="JDG6" s="50"/>
      <c r="JDH6" s="50"/>
      <c r="JDI6" s="50"/>
      <c r="JDJ6" s="50"/>
      <c r="JDK6" s="50"/>
      <c r="JDL6" s="50"/>
      <c r="JDM6" s="50"/>
      <c r="JDN6" s="50"/>
      <c r="JDO6" s="50"/>
      <c r="JDP6" s="50"/>
      <c r="JDQ6" s="50"/>
      <c r="JDR6" s="50"/>
      <c r="JDS6" s="50"/>
      <c r="JDT6" s="50"/>
      <c r="JDU6" s="50"/>
      <c r="JDV6" s="50"/>
      <c r="JDW6" s="50"/>
      <c r="JDX6" s="50"/>
      <c r="JDY6" s="50"/>
      <c r="JDZ6" s="50"/>
      <c r="JEA6" s="50"/>
      <c r="JEB6" s="50"/>
      <c r="JEC6" s="50"/>
      <c r="JED6" s="50"/>
      <c r="JEE6" s="50"/>
      <c r="JEF6" s="50"/>
      <c r="JEG6" s="50"/>
      <c r="JEH6" s="50"/>
      <c r="JEI6" s="50"/>
      <c r="JEJ6" s="50"/>
      <c r="JEK6" s="50"/>
      <c r="JEL6" s="50"/>
      <c r="JEM6" s="50"/>
      <c r="JEN6" s="50"/>
      <c r="JEO6" s="50"/>
      <c r="JEP6" s="50"/>
      <c r="JEQ6" s="50"/>
      <c r="JER6" s="50"/>
      <c r="JES6" s="50"/>
      <c r="JET6" s="50"/>
      <c r="JEU6" s="50"/>
      <c r="JEV6" s="50"/>
      <c r="JEW6" s="50"/>
      <c r="JEX6" s="50"/>
      <c r="JEY6" s="50"/>
      <c r="JEZ6" s="50"/>
      <c r="JFA6" s="50"/>
      <c r="JFB6" s="50"/>
      <c r="JFC6" s="50"/>
      <c r="JFD6" s="50"/>
      <c r="JFE6" s="50"/>
      <c r="JFF6" s="50"/>
      <c r="JFG6" s="50"/>
      <c r="JFH6" s="50"/>
      <c r="JFI6" s="50"/>
      <c r="JFJ6" s="50"/>
      <c r="JFK6" s="50"/>
      <c r="JFL6" s="50"/>
      <c r="JFM6" s="50"/>
      <c r="JFN6" s="50"/>
      <c r="JFO6" s="50"/>
      <c r="JFP6" s="50"/>
      <c r="JFQ6" s="50"/>
      <c r="JFR6" s="50"/>
      <c r="JFS6" s="50"/>
      <c r="JFT6" s="50"/>
      <c r="JFU6" s="50"/>
      <c r="JFV6" s="50"/>
      <c r="JFW6" s="50"/>
      <c r="JFX6" s="50"/>
      <c r="JFY6" s="50"/>
      <c r="JFZ6" s="50"/>
      <c r="JGA6" s="50"/>
      <c r="JGB6" s="50"/>
      <c r="JGC6" s="50"/>
      <c r="JGD6" s="50"/>
      <c r="JGE6" s="50"/>
      <c r="JGF6" s="50"/>
      <c r="JGG6" s="50"/>
      <c r="JGH6" s="50"/>
      <c r="JGI6" s="50"/>
      <c r="JGJ6" s="50"/>
      <c r="JGK6" s="50"/>
      <c r="JGL6" s="50"/>
      <c r="JGM6" s="50"/>
      <c r="JGN6" s="50"/>
      <c r="JGO6" s="50"/>
      <c r="JGP6" s="50"/>
      <c r="JGQ6" s="50"/>
      <c r="JGR6" s="50"/>
      <c r="JGS6" s="50"/>
      <c r="JGT6" s="50"/>
      <c r="JGU6" s="50"/>
      <c r="JGV6" s="50"/>
      <c r="JGW6" s="50"/>
      <c r="JGX6" s="50"/>
      <c r="JGY6" s="50"/>
      <c r="JGZ6" s="50"/>
      <c r="JHA6" s="50"/>
      <c r="JHB6" s="50"/>
      <c r="JHC6" s="50"/>
      <c r="JHD6" s="50"/>
      <c r="JHE6" s="50"/>
      <c r="JHF6" s="50"/>
      <c r="JHG6" s="50"/>
      <c r="JHH6" s="50"/>
      <c r="JHI6" s="50"/>
      <c r="JHJ6" s="50"/>
      <c r="JHK6" s="50"/>
      <c r="JHL6" s="50"/>
      <c r="JHM6" s="50"/>
      <c r="JHN6" s="50"/>
      <c r="JHO6" s="50"/>
      <c r="JHP6" s="50"/>
      <c r="JHQ6" s="50"/>
      <c r="JHR6" s="50"/>
      <c r="JHS6" s="50"/>
      <c r="JHT6" s="50"/>
      <c r="JHU6" s="50"/>
      <c r="JHV6" s="50"/>
      <c r="JHW6" s="50"/>
      <c r="JHX6" s="50"/>
      <c r="JHY6" s="50"/>
      <c r="JHZ6" s="50"/>
      <c r="JIA6" s="50"/>
      <c r="JIB6" s="50"/>
      <c r="JIC6" s="50"/>
      <c r="JID6" s="50"/>
      <c r="JIE6" s="50"/>
      <c r="JIF6" s="50"/>
      <c r="JIG6" s="50"/>
      <c r="JIH6" s="50"/>
      <c r="JII6" s="50"/>
      <c r="JIJ6" s="50"/>
      <c r="JIK6" s="50"/>
      <c r="JIL6" s="50"/>
      <c r="JIM6" s="50"/>
      <c r="JIN6" s="50"/>
      <c r="JIO6" s="50"/>
      <c r="JIP6" s="50"/>
      <c r="JIQ6" s="50"/>
      <c r="JIR6" s="50"/>
      <c r="JIS6" s="50"/>
      <c r="JIT6" s="50"/>
      <c r="JIU6" s="50"/>
      <c r="JIV6" s="50"/>
      <c r="JIW6" s="50"/>
      <c r="JIX6" s="50"/>
      <c r="JIY6" s="50"/>
      <c r="JIZ6" s="50"/>
      <c r="JJA6" s="50"/>
      <c r="JJB6" s="50"/>
      <c r="JJC6" s="50"/>
      <c r="JJD6" s="50"/>
      <c r="JJE6" s="50"/>
      <c r="JJF6" s="50"/>
      <c r="JJG6" s="50"/>
      <c r="JJH6" s="50"/>
      <c r="JJI6" s="50"/>
      <c r="JJJ6" s="50"/>
      <c r="JJK6" s="50"/>
      <c r="JJL6" s="50"/>
      <c r="JJM6" s="50"/>
      <c r="JJN6" s="50"/>
      <c r="JJO6" s="50"/>
      <c r="JJP6" s="50"/>
      <c r="JJQ6" s="50"/>
      <c r="JJR6" s="50"/>
      <c r="JJS6" s="50"/>
      <c r="JJT6" s="50"/>
      <c r="JJU6" s="50"/>
      <c r="JJV6" s="50"/>
      <c r="JJW6" s="50"/>
      <c r="JJX6" s="50"/>
      <c r="JJY6" s="50"/>
      <c r="JJZ6" s="50"/>
      <c r="JKA6" s="50"/>
      <c r="JKB6" s="50"/>
      <c r="JKC6" s="50"/>
      <c r="JKD6" s="50"/>
      <c r="JKE6" s="50"/>
      <c r="JKF6" s="50"/>
      <c r="JKG6" s="50"/>
      <c r="JKH6" s="50"/>
      <c r="JKI6" s="50"/>
      <c r="JKJ6" s="50"/>
      <c r="JKK6" s="50"/>
      <c r="JKL6" s="50"/>
      <c r="JKM6" s="50"/>
      <c r="JKN6" s="50"/>
      <c r="JKO6" s="50"/>
      <c r="JKP6" s="50"/>
      <c r="JKQ6" s="50"/>
      <c r="JKR6" s="50"/>
      <c r="JKS6" s="50"/>
      <c r="JKT6" s="50"/>
      <c r="JKU6" s="50"/>
      <c r="JKV6" s="50"/>
      <c r="JKW6" s="50"/>
      <c r="JKX6" s="50"/>
      <c r="JKY6" s="50"/>
      <c r="JKZ6" s="50"/>
      <c r="JLA6" s="50"/>
      <c r="JLB6" s="50"/>
      <c r="JLC6" s="50"/>
      <c r="JLD6" s="50"/>
      <c r="JLE6" s="50"/>
      <c r="JLF6" s="50"/>
      <c r="JLG6" s="50"/>
      <c r="JLH6" s="50"/>
      <c r="JLI6" s="50"/>
      <c r="JLJ6" s="50"/>
      <c r="JLK6" s="50"/>
      <c r="JLL6" s="50"/>
      <c r="JLM6" s="50"/>
      <c r="JLN6" s="50"/>
      <c r="JLO6" s="50"/>
      <c r="JLP6" s="50"/>
      <c r="JLQ6" s="50"/>
      <c r="JLR6" s="50"/>
      <c r="JLS6" s="50"/>
      <c r="JLT6" s="50"/>
      <c r="JLU6" s="50"/>
      <c r="JLV6" s="50"/>
      <c r="JLW6" s="50"/>
      <c r="JLX6" s="50"/>
      <c r="JLY6" s="50"/>
      <c r="JLZ6" s="50"/>
      <c r="JMA6" s="50"/>
      <c r="JMB6" s="50"/>
      <c r="JMC6" s="50"/>
      <c r="JMD6" s="50"/>
      <c r="JME6" s="50"/>
      <c r="JMF6" s="50"/>
      <c r="JMG6" s="50"/>
      <c r="JMH6" s="50"/>
      <c r="JMI6" s="50"/>
      <c r="JMJ6" s="50"/>
      <c r="JMK6" s="50"/>
      <c r="JML6" s="50"/>
      <c r="JMM6" s="50"/>
      <c r="JMN6" s="50"/>
      <c r="JMO6" s="50"/>
      <c r="JMP6" s="50"/>
      <c r="JMQ6" s="50"/>
      <c r="JMR6" s="50"/>
      <c r="JMS6" s="50"/>
      <c r="JMT6" s="50"/>
      <c r="JMU6" s="50"/>
      <c r="JMV6" s="50"/>
      <c r="JMW6" s="50"/>
      <c r="JMX6" s="50"/>
      <c r="JMY6" s="50"/>
      <c r="JMZ6" s="50"/>
      <c r="JNA6" s="50"/>
      <c r="JNB6" s="50"/>
      <c r="JNC6" s="50"/>
      <c r="JND6" s="50"/>
      <c r="JNE6" s="50"/>
      <c r="JNF6" s="50"/>
      <c r="JNG6" s="50"/>
      <c r="JNH6" s="50"/>
      <c r="JNI6" s="50"/>
      <c r="JNJ6" s="50"/>
      <c r="JNK6" s="50"/>
      <c r="JNL6" s="50"/>
      <c r="JNM6" s="50"/>
      <c r="JNN6" s="50"/>
      <c r="JNO6" s="50"/>
      <c r="JNP6" s="50"/>
      <c r="JNQ6" s="50"/>
      <c r="JNR6" s="50"/>
      <c r="JNS6" s="50"/>
      <c r="JNT6" s="50"/>
      <c r="JNU6" s="50"/>
      <c r="JNV6" s="50"/>
      <c r="JNW6" s="50"/>
      <c r="JNX6" s="50"/>
      <c r="JNY6" s="50"/>
      <c r="JNZ6" s="50"/>
      <c r="JOA6" s="50"/>
      <c r="JOB6" s="50"/>
      <c r="JOC6" s="50"/>
      <c r="JOD6" s="50"/>
      <c r="JOE6" s="50"/>
      <c r="JOF6" s="50"/>
      <c r="JOG6" s="50"/>
      <c r="JOH6" s="50"/>
      <c r="JOI6" s="50"/>
      <c r="JOJ6" s="50"/>
      <c r="JOK6" s="50"/>
      <c r="JOL6" s="50"/>
      <c r="JOM6" s="50"/>
      <c r="JON6" s="50"/>
      <c r="JOO6" s="50"/>
      <c r="JOP6" s="50"/>
      <c r="JOQ6" s="50"/>
      <c r="JOR6" s="50"/>
      <c r="JOS6" s="50"/>
      <c r="JOT6" s="50"/>
      <c r="JOU6" s="50"/>
      <c r="JOV6" s="50"/>
      <c r="JOW6" s="50"/>
      <c r="JOX6" s="50"/>
      <c r="JOY6" s="50"/>
      <c r="JOZ6" s="50"/>
      <c r="JPA6" s="50"/>
      <c r="JPB6" s="50"/>
      <c r="JPC6" s="50"/>
      <c r="JPD6" s="50"/>
      <c r="JPE6" s="50"/>
      <c r="JPF6" s="50"/>
      <c r="JPG6" s="50"/>
      <c r="JPH6" s="50"/>
      <c r="JPI6" s="50"/>
      <c r="JPJ6" s="50"/>
      <c r="JPK6" s="50"/>
      <c r="JPL6" s="50"/>
      <c r="JPM6" s="50"/>
      <c r="JPN6" s="50"/>
      <c r="JPO6" s="50"/>
      <c r="JPP6" s="50"/>
      <c r="JPQ6" s="50"/>
      <c r="JPR6" s="50"/>
      <c r="JPS6" s="50"/>
      <c r="JPT6" s="50"/>
      <c r="JPU6" s="50"/>
      <c r="JPV6" s="50"/>
      <c r="JPW6" s="50"/>
      <c r="JPX6" s="50"/>
      <c r="JPY6" s="50"/>
      <c r="JPZ6" s="50"/>
      <c r="JQA6" s="50"/>
      <c r="JQB6" s="50"/>
      <c r="JQC6" s="50"/>
      <c r="JQD6" s="50"/>
      <c r="JQE6" s="50"/>
      <c r="JQF6" s="50"/>
      <c r="JQG6" s="50"/>
      <c r="JQH6" s="50"/>
      <c r="JQI6" s="50"/>
      <c r="JQJ6" s="50"/>
      <c r="JQK6" s="50"/>
      <c r="JQL6" s="50"/>
      <c r="JQM6" s="50"/>
      <c r="JQN6" s="50"/>
      <c r="JQO6" s="50"/>
      <c r="JQP6" s="50"/>
      <c r="JQQ6" s="50"/>
      <c r="JQR6" s="50"/>
      <c r="JQS6" s="50"/>
      <c r="JQT6" s="50"/>
      <c r="JQU6" s="50"/>
      <c r="JQV6" s="50"/>
      <c r="JQW6" s="50"/>
      <c r="JQX6" s="50"/>
      <c r="JQY6" s="50"/>
      <c r="JQZ6" s="50"/>
      <c r="JRA6" s="50"/>
      <c r="JRB6" s="50"/>
      <c r="JRC6" s="50"/>
      <c r="JRD6" s="50"/>
      <c r="JRE6" s="50"/>
      <c r="JRF6" s="50"/>
      <c r="JRG6" s="50"/>
      <c r="JRH6" s="50"/>
      <c r="JRI6" s="50"/>
      <c r="JRJ6" s="50"/>
      <c r="JRK6" s="50"/>
      <c r="JRL6" s="50"/>
      <c r="JRM6" s="50"/>
      <c r="JRN6" s="50"/>
      <c r="JRO6" s="50"/>
      <c r="JRP6" s="50"/>
      <c r="JRQ6" s="50"/>
      <c r="JRR6" s="50"/>
      <c r="JRS6" s="50"/>
      <c r="JRT6" s="50"/>
      <c r="JRU6" s="50"/>
      <c r="JRV6" s="50"/>
      <c r="JRW6" s="50"/>
      <c r="JRX6" s="50"/>
      <c r="JRY6" s="50"/>
      <c r="JRZ6" s="50"/>
      <c r="JSA6" s="50"/>
      <c r="JSB6" s="50"/>
      <c r="JSC6" s="50"/>
      <c r="JSD6" s="50"/>
      <c r="JSE6" s="50"/>
      <c r="JSF6" s="50"/>
      <c r="JSG6" s="50"/>
      <c r="JSH6" s="50"/>
      <c r="JSI6" s="50"/>
      <c r="JSJ6" s="50"/>
      <c r="JSK6" s="50"/>
      <c r="JSL6" s="50"/>
      <c r="JSM6" s="50"/>
      <c r="JSN6" s="50"/>
      <c r="JSO6" s="50"/>
      <c r="JSP6" s="50"/>
      <c r="JSQ6" s="50"/>
      <c r="JSR6" s="50"/>
      <c r="JSS6" s="50"/>
      <c r="JST6" s="50"/>
      <c r="JSU6" s="50"/>
      <c r="JSV6" s="50"/>
      <c r="JSW6" s="50"/>
      <c r="JSX6" s="50"/>
      <c r="JSY6" s="50"/>
      <c r="JSZ6" s="50"/>
      <c r="JTA6" s="50"/>
      <c r="JTB6" s="50"/>
      <c r="JTC6" s="50"/>
      <c r="JTD6" s="50"/>
      <c r="JTE6" s="50"/>
      <c r="JTF6" s="50"/>
      <c r="JTG6" s="50"/>
      <c r="JTH6" s="50"/>
      <c r="JTI6" s="50"/>
      <c r="JTJ6" s="50"/>
      <c r="JTK6" s="50"/>
      <c r="JTL6" s="50"/>
      <c r="JTM6" s="50"/>
      <c r="JTN6" s="50"/>
      <c r="JTO6" s="50"/>
      <c r="JTP6" s="50"/>
      <c r="JTQ6" s="50"/>
      <c r="JTR6" s="50"/>
      <c r="JTS6" s="50"/>
      <c r="JTT6" s="50"/>
      <c r="JTU6" s="50"/>
      <c r="JTV6" s="50"/>
      <c r="JTW6" s="50"/>
      <c r="JTX6" s="50"/>
      <c r="JTY6" s="50"/>
      <c r="JTZ6" s="50"/>
      <c r="JUA6" s="50"/>
      <c r="JUB6" s="50"/>
      <c r="JUC6" s="50"/>
      <c r="JUD6" s="50"/>
      <c r="JUE6" s="50"/>
      <c r="JUF6" s="50"/>
      <c r="JUG6" s="50"/>
      <c r="JUH6" s="50"/>
      <c r="JUI6" s="50"/>
      <c r="JUJ6" s="50"/>
      <c r="JUK6" s="50"/>
      <c r="JUL6" s="50"/>
      <c r="JUM6" s="50"/>
      <c r="JUN6" s="50"/>
      <c r="JUO6" s="50"/>
      <c r="JUP6" s="50"/>
      <c r="JUQ6" s="50"/>
      <c r="JUR6" s="50"/>
      <c r="JUS6" s="50"/>
      <c r="JUT6" s="50"/>
      <c r="JUU6" s="50"/>
      <c r="JUV6" s="50"/>
      <c r="JUW6" s="50"/>
      <c r="JUX6" s="50"/>
      <c r="JUY6" s="50"/>
      <c r="JUZ6" s="50"/>
      <c r="JVA6" s="50"/>
      <c r="JVB6" s="50"/>
      <c r="JVC6" s="50"/>
      <c r="JVD6" s="50"/>
      <c r="JVE6" s="50"/>
      <c r="JVF6" s="50"/>
      <c r="JVG6" s="50"/>
      <c r="JVH6" s="50"/>
      <c r="JVI6" s="50"/>
      <c r="JVJ6" s="50"/>
      <c r="JVK6" s="50"/>
      <c r="JVL6" s="50"/>
      <c r="JVM6" s="50"/>
      <c r="JVN6" s="50"/>
      <c r="JVO6" s="50"/>
      <c r="JVP6" s="50"/>
      <c r="JVQ6" s="50"/>
      <c r="JVR6" s="50"/>
      <c r="JVS6" s="50"/>
      <c r="JVT6" s="50"/>
      <c r="JVU6" s="50"/>
      <c r="JVV6" s="50"/>
      <c r="JVW6" s="50"/>
      <c r="JVX6" s="50"/>
      <c r="JVY6" s="50"/>
      <c r="JVZ6" s="50"/>
      <c r="JWA6" s="50"/>
      <c r="JWB6" s="50"/>
      <c r="JWC6" s="50"/>
      <c r="JWD6" s="50"/>
      <c r="JWE6" s="50"/>
      <c r="JWF6" s="50"/>
      <c r="JWG6" s="50"/>
      <c r="JWH6" s="50"/>
      <c r="JWI6" s="50"/>
      <c r="JWJ6" s="50"/>
      <c r="JWK6" s="50"/>
      <c r="JWL6" s="50"/>
      <c r="JWM6" s="50"/>
      <c r="JWN6" s="50"/>
      <c r="JWO6" s="50"/>
      <c r="JWP6" s="50"/>
      <c r="JWQ6" s="50"/>
      <c r="JWR6" s="50"/>
      <c r="JWS6" s="50"/>
      <c r="JWT6" s="50"/>
      <c r="JWU6" s="50"/>
      <c r="JWV6" s="50"/>
      <c r="JWW6" s="50"/>
      <c r="JWX6" s="50"/>
      <c r="JWY6" s="50"/>
      <c r="JWZ6" s="50"/>
      <c r="JXA6" s="50"/>
      <c r="JXB6" s="50"/>
      <c r="JXC6" s="50"/>
      <c r="JXD6" s="50"/>
      <c r="JXE6" s="50"/>
      <c r="JXF6" s="50"/>
      <c r="JXG6" s="50"/>
      <c r="JXH6" s="50"/>
      <c r="JXI6" s="50"/>
      <c r="JXJ6" s="50"/>
      <c r="JXK6" s="50"/>
      <c r="JXL6" s="50"/>
      <c r="JXM6" s="50"/>
      <c r="JXN6" s="50"/>
      <c r="JXO6" s="50"/>
      <c r="JXP6" s="50"/>
      <c r="JXQ6" s="50"/>
      <c r="JXR6" s="50"/>
      <c r="JXS6" s="50"/>
      <c r="JXT6" s="50"/>
      <c r="JXU6" s="50"/>
      <c r="JXV6" s="50"/>
      <c r="JXW6" s="50"/>
      <c r="JXX6" s="50"/>
      <c r="JXY6" s="50"/>
      <c r="JXZ6" s="50"/>
      <c r="JYA6" s="50"/>
      <c r="JYB6" s="50"/>
      <c r="JYC6" s="50"/>
      <c r="JYD6" s="50"/>
      <c r="JYE6" s="50"/>
      <c r="JYF6" s="50"/>
      <c r="JYG6" s="50"/>
      <c r="JYH6" s="50"/>
      <c r="JYI6" s="50"/>
      <c r="JYJ6" s="50"/>
      <c r="JYK6" s="50"/>
      <c r="JYL6" s="50"/>
      <c r="JYM6" s="50"/>
      <c r="JYN6" s="50"/>
      <c r="JYO6" s="50"/>
      <c r="JYP6" s="50"/>
      <c r="JYQ6" s="50"/>
      <c r="JYR6" s="50"/>
      <c r="JYS6" s="50"/>
      <c r="JYT6" s="50"/>
      <c r="JYU6" s="50"/>
      <c r="JYV6" s="50"/>
      <c r="JYW6" s="50"/>
      <c r="JYX6" s="50"/>
      <c r="JYY6" s="50"/>
      <c r="JYZ6" s="50"/>
      <c r="JZA6" s="50"/>
      <c r="JZB6" s="50"/>
      <c r="JZC6" s="50"/>
      <c r="JZD6" s="50"/>
      <c r="JZE6" s="50"/>
      <c r="JZF6" s="50"/>
      <c r="JZG6" s="50"/>
      <c r="JZH6" s="50"/>
      <c r="JZI6" s="50"/>
      <c r="JZJ6" s="50"/>
      <c r="JZK6" s="50"/>
      <c r="JZL6" s="50"/>
      <c r="JZM6" s="50"/>
      <c r="JZN6" s="50"/>
      <c r="JZO6" s="50"/>
      <c r="JZP6" s="50"/>
      <c r="JZQ6" s="50"/>
      <c r="JZR6" s="50"/>
      <c r="JZS6" s="50"/>
      <c r="JZT6" s="50"/>
      <c r="JZU6" s="50"/>
      <c r="JZV6" s="50"/>
      <c r="JZW6" s="50"/>
      <c r="JZX6" s="50"/>
      <c r="JZY6" s="50"/>
      <c r="JZZ6" s="50"/>
      <c r="KAA6" s="50"/>
      <c r="KAB6" s="50"/>
      <c r="KAC6" s="50"/>
      <c r="KAD6" s="50"/>
      <c r="KAE6" s="50"/>
      <c r="KAF6" s="50"/>
      <c r="KAG6" s="50"/>
      <c r="KAH6" s="50"/>
      <c r="KAI6" s="50"/>
      <c r="KAJ6" s="50"/>
      <c r="KAK6" s="50"/>
      <c r="KAL6" s="50"/>
      <c r="KAM6" s="50"/>
      <c r="KAN6" s="50"/>
      <c r="KAO6" s="50"/>
      <c r="KAP6" s="50"/>
      <c r="KAQ6" s="50"/>
      <c r="KAR6" s="50"/>
      <c r="KAS6" s="50"/>
      <c r="KAT6" s="50"/>
      <c r="KAU6" s="50"/>
      <c r="KAV6" s="50"/>
      <c r="KAW6" s="50"/>
      <c r="KAX6" s="50"/>
      <c r="KAY6" s="50"/>
      <c r="KAZ6" s="50"/>
      <c r="KBA6" s="50"/>
      <c r="KBB6" s="50"/>
      <c r="KBC6" s="50"/>
      <c r="KBD6" s="50"/>
      <c r="KBE6" s="50"/>
      <c r="KBF6" s="50"/>
      <c r="KBG6" s="50"/>
      <c r="KBH6" s="50"/>
      <c r="KBI6" s="50"/>
      <c r="KBJ6" s="50"/>
      <c r="KBK6" s="50"/>
      <c r="KBL6" s="50"/>
      <c r="KBM6" s="50"/>
      <c r="KBN6" s="50"/>
      <c r="KBO6" s="50"/>
      <c r="KBP6" s="50"/>
      <c r="KBQ6" s="50"/>
      <c r="KBR6" s="50"/>
      <c r="KBS6" s="50"/>
      <c r="KBT6" s="50"/>
      <c r="KBU6" s="50"/>
      <c r="KBV6" s="50"/>
      <c r="KBW6" s="50"/>
      <c r="KBX6" s="50"/>
      <c r="KBY6" s="50"/>
      <c r="KBZ6" s="50"/>
      <c r="KCA6" s="50"/>
      <c r="KCB6" s="50"/>
      <c r="KCC6" s="50"/>
      <c r="KCD6" s="50"/>
      <c r="KCE6" s="50"/>
      <c r="KCF6" s="50"/>
      <c r="KCG6" s="50"/>
      <c r="KCH6" s="50"/>
      <c r="KCI6" s="50"/>
      <c r="KCJ6" s="50"/>
      <c r="KCK6" s="50"/>
      <c r="KCL6" s="50"/>
      <c r="KCM6" s="50"/>
      <c r="KCN6" s="50"/>
      <c r="KCO6" s="50"/>
      <c r="KCP6" s="50"/>
      <c r="KCQ6" s="50"/>
      <c r="KCR6" s="50"/>
      <c r="KCS6" s="50"/>
      <c r="KCT6" s="50"/>
      <c r="KCU6" s="50"/>
      <c r="KCV6" s="50"/>
      <c r="KCW6" s="50"/>
      <c r="KCX6" s="50"/>
      <c r="KCY6" s="50"/>
      <c r="KCZ6" s="50"/>
      <c r="KDA6" s="50"/>
      <c r="KDB6" s="50"/>
      <c r="KDC6" s="50"/>
      <c r="KDD6" s="50"/>
      <c r="KDE6" s="50"/>
      <c r="KDF6" s="50"/>
      <c r="KDG6" s="50"/>
      <c r="KDH6" s="50"/>
      <c r="KDI6" s="50"/>
      <c r="KDJ6" s="50"/>
      <c r="KDK6" s="50"/>
      <c r="KDL6" s="50"/>
      <c r="KDM6" s="50"/>
      <c r="KDN6" s="50"/>
      <c r="KDO6" s="50"/>
      <c r="KDP6" s="50"/>
      <c r="KDQ6" s="50"/>
      <c r="KDR6" s="50"/>
      <c r="KDS6" s="50"/>
      <c r="KDT6" s="50"/>
      <c r="KDU6" s="50"/>
      <c r="KDV6" s="50"/>
      <c r="KDW6" s="50"/>
      <c r="KDX6" s="50"/>
      <c r="KDY6" s="50"/>
      <c r="KDZ6" s="50"/>
      <c r="KEA6" s="50"/>
      <c r="KEB6" s="50"/>
      <c r="KEC6" s="50"/>
      <c r="KED6" s="50"/>
      <c r="KEE6" s="50"/>
      <c r="KEF6" s="50"/>
      <c r="KEG6" s="50"/>
      <c r="KEH6" s="50"/>
      <c r="KEI6" s="50"/>
      <c r="KEJ6" s="50"/>
      <c r="KEK6" s="50"/>
      <c r="KEL6" s="50"/>
      <c r="KEM6" s="50"/>
      <c r="KEN6" s="50"/>
      <c r="KEO6" s="50"/>
      <c r="KEP6" s="50"/>
      <c r="KEQ6" s="50"/>
      <c r="KER6" s="50"/>
      <c r="KES6" s="50"/>
      <c r="KET6" s="50"/>
      <c r="KEU6" s="50"/>
      <c r="KEV6" s="50"/>
      <c r="KEW6" s="50"/>
      <c r="KEX6" s="50"/>
      <c r="KEY6" s="50"/>
      <c r="KEZ6" s="50"/>
      <c r="KFA6" s="50"/>
      <c r="KFB6" s="50"/>
      <c r="KFC6" s="50"/>
      <c r="KFD6" s="50"/>
      <c r="KFE6" s="50"/>
      <c r="KFF6" s="50"/>
      <c r="KFG6" s="50"/>
      <c r="KFH6" s="50"/>
      <c r="KFI6" s="50"/>
      <c r="KFJ6" s="50"/>
      <c r="KFK6" s="50"/>
      <c r="KFL6" s="50"/>
      <c r="KFM6" s="50"/>
      <c r="KFN6" s="50"/>
      <c r="KFO6" s="50"/>
      <c r="KFP6" s="50"/>
      <c r="KFQ6" s="50"/>
      <c r="KFR6" s="50"/>
      <c r="KFS6" s="50"/>
      <c r="KFT6" s="50"/>
      <c r="KFU6" s="50"/>
      <c r="KFV6" s="50"/>
      <c r="KFW6" s="50"/>
      <c r="KFX6" s="50"/>
      <c r="KFY6" s="50"/>
      <c r="KFZ6" s="50"/>
      <c r="KGA6" s="50"/>
      <c r="KGB6" s="50"/>
      <c r="KGC6" s="50"/>
      <c r="KGD6" s="50"/>
      <c r="KGE6" s="50"/>
      <c r="KGF6" s="50"/>
      <c r="KGG6" s="50"/>
      <c r="KGH6" s="50"/>
      <c r="KGI6" s="50"/>
      <c r="KGJ6" s="50"/>
      <c r="KGK6" s="50"/>
      <c r="KGL6" s="50"/>
      <c r="KGM6" s="50"/>
      <c r="KGN6" s="50"/>
      <c r="KGO6" s="50"/>
      <c r="KGP6" s="50"/>
      <c r="KGQ6" s="50"/>
      <c r="KGR6" s="50"/>
      <c r="KGS6" s="50"/>
      <c r="KGT6" s="50"/>
      <c r="KGU6" s="50"/>
      <c r="KGV6" s="50"/>
      <c r="KGW6" s="50"/>
      <c r="KGX6" s="50"/>
      <c r="KGY6" s="50"/>
      <c r="KGZ6" s="50"/>
      <c r="KHA6" s="50"/>
      <c r="KHB6" s="50"/>
      <c r="KHC6" s="50"/>
      <c r="KHD6" s="50"/>
      <c r="KHE6" s="50"/>
      <c r="KHF6" s="50"/>
      <c r="KHG6" s="50"/>
      <c r="KHH6" s="50"/>
      <c r="KHI6" s="50"/>
      <c r="KHJ6" s="50"/>
      <c r="KHK6" s="50"/>
      <c r="KHL6" s="50"/>
      <c r="KHM6" s="50"/>
      <c r="KHN6" s="50"/>
      <c r="KHO6" s="50"/>
      <c r="KHP6" s="50"/>
      <c r="KHQ6" s="50"/>
      <c r="KHR6" s="50"/>
      <c r="KHS6" s="50"/>
      <c r="KHT6" s="50"/>
      <c r="KHU6" s="50"/>
      <c r="KHV6" s="50"/>
      <c r="KHW6" s="50"/>
      <c r="KHX6" s="50"/>
      <c r="KHY6" s="50"/>
      <c r="KHZ6" s="50"/>
      <c r="KIA6" s="50"/>
      <c r="KIB6" s="50"/>
      <c r="KIC6" s="50"/>
      <c r="KID6" s="50"/>
      <c r="KIE6" s="50"/>
      <c r="KIF6" s="50"/>
      <c r="KIG6" s="50"/>
      <c r="KIH6" s="50"/>
      <c r="KII6" s="50"/>
      <c r="KIJ6" s="50"/>
      <c r="KIK6" s="50"/>
      <c r="KIL6" s="50"/>
      <c r="KIM6" s="50"/>
      <c r="KIN6" s="50"/>
      <c r="KIO6" s="50"/>
      <c r="KIP6" s="50"/>
      <c r="KIQ6" s="50"/>
      <c r="KIR6" s="50"/>
      <c r="KIS6" s="50"/>
      <c r="KIT6" s="50"/>
      <c r="KIU6" s="50"/>
      <c r="KIV6" s="50"/>
      <c r="KIW6" s="50"/>
      <c r="KIX6" s="50"/>
      <c r="KIY6" s="50"/>
      <c r="KIZ6" s="50"/>
      <c r="KJA6" s="50"/>
      <c r="KJB6" s="50"/>
      <c r="KJC6" s="50"/>
      <c r="KJD6" s="50"/>
      <c r="KJE6" s="50"/>
      <c r="KJF6" s="50"/>
      <c r="KJG6" s="50"/>
      <c r="KJH6" s="50"/>
      <c r="KJI6" s="50"/>
      <c r="KJJ6" s="50"/>
      <c r="KJK6" s="50"/>
      <c r="KJL6" s="50"/>
      <c r="KJM6" s="50"/>
      <c r="KJN6" s="50"/>
      <c r="KJO6" s="50"/>
      <c r="KJP6" s="50"/>
      <c r="KJQ6" s="50"/>
      <c r="KJR6" s="50"/>
      <c r="KJS6" s="50"/>
      <c r="KJT6" s="50"/>
      <c r="KJU6" s="50"/>
      <c r="KJV6" s="50"/>
      <c r="KJW6" s="50"/>
      <c r="KJX6" s="50"/>
      <c r="KJY6" s="50"/>
      <c r="KJZ6" s="50"/>
      <c r="KKA6" s="50"/>
      <c r="KKB6" s="50"/>
      <c r="KKC6" s="50"/>
      <c r="KKD6" s="50"/>
      <c r="KKE6" s="50"/>
      <c r="KKF6" s="50"/>
      <c r="KKG6" s="50"/>
      <c r="KKH6" s="50"/>
      <c r="KKI6" s="50"/>
      <c r="KKJ6" s="50"/>
      <c r="KKK6" s="50"/>
      <c r="KKL6" s="50"/>
      <c r="KKM6" s="50"/>
      <c r="KKN6" s="50"/>
      <c r="KKO6" s="50"/>
      <c r="KKP6" s="50"/>
      <c r="KKQ6" s="50"/>
      <c r="KKR6" s="50"/>
      <c r="KKS6" s="50"/>
      <c r="KKT6" s="50"/>
      <c r="KKU6" s="50"/>
      <c r="KKV6" s="50"/>
      <c r="KKW6" s="50"/>
      <c r="KKX6" s="50"/>
      <c r="KKY6" s="50"/>
      <c r="KKZ6" s="50"/>
      <c r="KLA6" s="50"/>
      <c r="KLB6" s="50"/>
      <c r="KLC6" s="50"/>
      <c r="KLD6" s="50"/>
      <c r="KLE6" s="50"/>
      <c r="KLF6" s="50"/>
      <c r="KLG6" s="50"/>
      <c r="KLH6" s="50"/>
      <c r="KLI6" s="50"/>
      <c r="KLJ6" s="50"/>
      <c r="KLK6" s="50"/>
      <c r="KLL6" s="50"/>
      <c r="KLM6" s="50"/>
      <c r="KLN6" s="50"/>
      <c r="KLO6" s="50"/>
      <c r="KLP6" s="50"/>
      <c r="KLQ6" s="50"/>
      <c r="KLR6" s="50"/>
      <c r="KLS6" s="50"/>
      <c r="KLT6" s="50"/>
      <c r="KLU6" s="50"/>
      <c r="KLV6" s="50"/>
      <c r="KLW6" s="50"/>
      <c r="KLX6" s="50"/>
      <c r="KLY6" s="50"/>
      <c r="KLZ6" s="50"/>
      <c r="KMA6" s="50"/>
      <c r="KMB6" s="50"/>
      <c r="KMC6" s="50"/>
      <c r="KMD6" s="50"/>
      <c r="KME6" s="50"/>
      <c r="KMF6" s="50"/>
      <c r="KMG6" s="50"/>
      <c r="KMH6" s="50"/>
      <c r="KMI6" s="50"/>
      <c r="KMJ6" s="50"/>
      <c r="KMK6" s="50"/>
      <c r="KML6" s="50"/>
      <c r="KMM6" s="50"/>
      <c r="KMN6" s="50"/>
      <c r="KMO6" s="50"/>
      <c r="KMP6" s="50"/>
      <c r="KMQ6" s="50"/>
      <c r="KMR6" s="50"/>
      <c r="KMS6" s="50"/>
      <c r="KMT6" s="50"/>
      <c r="KMU6" s="50"/>
      <c r="KMV6" s="50"/>
      <c r="KMW6" s="50"/>
      <c r="KMX6" s="50"/>
      <c r="KMY6" s="50"/>
      <c r="KMZ6" s="50"/>
      <c r="KNA6" s="50"/>
      <c r="KNB6" s="50"/>
      <c r="KNC6" s="50"/>
      <c r="KND6" s="50"/>
      <c r="KNE6" s="50"/>
      <c r="KNF6" s="50"/>
      <c r="KNG6" s="50"/>
      <c r="KNH6" s="50"/>
      <c r="KNI6" s="50"/>
      <c r="KNJ6" s="50"/>
      <c r="KNK6" s="50"/>
      <c r="KNL6" s="50"/>
      <c r="KNM6" s="50"/>
      <c r="KNN6" s="50"/>
      <c r="KNO6" s="50"/>
      <c r="KNP6" s="50"/>
      <c r="KNQ6" s="50"/>
      <c r="KNR6" s="50"/>
      <c r="KNS6" s="50"/>
      <c r="KNT6" s="50"/>
      <c r="KNU6" s="50"/>
      <c r="KNV6" s="50"/>
      <c r="KNW6" s="50"/>
      <c r="KNX6" s="50"/>
      <c r="KNY6" s="50"/>
      <c r="KNZ6" s="50"/>
      <c r="KOA6" s="50"/>
      <c r="KOB6" s="50"/>
      <c r="KOC6" s="50"/>
      <c r="KOD6" s="50"/>
      <c r="KOE6" s="50"/>
      <c r="KOF6" s="50"/>
      <c r="KOG6" s="50"/>
      <c r="KOH6" s="50"/>
      <c r="KOI6" s="50"/>
      <c r="KOJ6" s="50"/>
      <c r="KOK6" s="50"/>
      <c r="KOL6" s="50"/>
      <c r="KOM6" s="50"/>
      <c r="KON6" s="50"/>
      <c r="KOO6" s="50"/>
      <c r="KOP6" s="50"/>
      <c r="KOQ6" s="50"/>
      <c r="KOR6" s="50"/>
      <c r="KOS6" s="50"/>
      <c r="KOT6" s="50"/>
      <c r="KOU6" s="50"/>
      <c r="KOV6" s="50"/>
      <c r="KOW6" s="50"/>
      <c r="KOX6" s="50"/>
      <c r="KOY6" s="50"/>
      <c r="KOZ6" s="50"/>
      <c r="KPA6" s="50"/>
      <c r="KPB6" s="50"/>
      <c r="KPC6" s="50"/>
      <c r="KPD6" s="50"/>
      <c r="KPE6" s="50"/>
      <c r="KPF6" s="50"/>
      <c r="KPG6" s="50"/>
      <c r="KPH6" s="50"/>
      <c r="KPI6" s="50"/>
      <c r="KPJ6" s="50"/>
      <c r="KPK6" s="50"/>
      <c r="KPL6" s="50"/>
      <c r="KPM6" s="50"/>
      <c r="KPN6" s="50"/>
      <c r="KPO6" s="50"/>
      <c r="KPP6" s="50"/>
      <c r="KPQ6" s="50"/>
      <c r="KPR6" s="50"/>
      <c r="KPS6" s="50"/>
      <c r="KPT6" s="50"/>
      <c r="KPU6" s="50"/>
      <c r="KPV6" s="50"/>
      <c r="KPW6" s="50"/>
      <c r="KPX6" s="50"/>
      <c r="KPY6" s="50"/>
      <c r="KPZ6" s="50"/>
      <c r="KQA6" s="50"/>
      <c r="KQB6" s="50"/>
      <c r="KQC6" s="50"/>
      <c r="KQD6" s="50"/>
      <c r="KQE6" s="50"/>
      <c r="KQF6" s="50"/>
      <c r="KQG6" s="50"/>
      <c r="KQH6" s="50"/>
      <c r="KQI6" s="50"/>
      <c r="KQJ6" s="50"/>
      <c r="KQK6" s="50"/>
      <c r="KQL6" s="50"/>
      <c r="KQM6" s="50"/>
      <c r="KQN6" s="50"/>
      <c r="KQO6" s="50"/>
      <c r="KQP6" s="50"/>
      <c r="KQQ6" s="50"/>
      <c r="KQR6" s="50"/>
      <c r="KQS6" s="50"/>
      <c r="KQT6" s="50"/>
      <c r="KQU6" s="50"/>
      <c r="KQV6" s="50"/>
      <c r="KQW6" s="50"/>
      <c r="KQX6" s="50"/>
      <c r="KQY6" s="50"/>
      <c r="KQZ6" s="50"/>
      <c r="KRA6" s="50"/>
      <c r="KRB6" s="50"/>
      <c r="KRC6" s="50"/>
      <c r="KRD6" s="50"/>
      <c r="KRE6" s="50"/>
      <c r="KRF6" s="50"/>
      <c r="KRG6" s="50"/>
      <c r="KRH6" s="50"/>
      <c r="KRI6" s="50"/>
      <c r="KRJ6" s="50"/>
      <c r="KRK6" s="50"/>
      <c r="KRL6" s="50"/>
      <c r="KRM6" s="50"/>
      <c r="KRN6" s="50"/>
      <c r="KRO6" s="50"/>
      <c r="KRP6" s="50"/>
      <c r="KRQ6" s="50"/>
      <c r="KRR6" s="50"/>
      <c r="KRS6" s="50"/>
      <c r="KRT6" s="50"/>
      <c r="KRU6" s="50"/>
      <c r="KRV6" s="50"/>
      <c r="KRW6" s="50"/>
      <c r="KRX6" s="50"/>
      <c r="KRY6" s="50"/>
      <c r="KRZ6" s="50"/>
      <c r="KSA6" s="50"/>
      <c r="KSB6" s="50"/>
      <c r="KSC6" s="50"/>
      <c r="KSD6" s="50"/>
      <c r="KSE6" s="50"/>
      <c r="KSF6" s="50"/>
      <c r="KSG6" s="50"/>
      <c r="KSH6" s="50"/>
      <c r="KSI6" s="50"/>
      <c r="KSJ6" s="50"/>
      <c r="KSK6" s="50"/>
      <c r="KSL6" s="50"/>
      <c r="KSM6" s="50"/>
      <c r="KSN6" s="50"/>
      <c r="KSO6" s="50"/>
      <c r="KSP6" s="50"/>
      <c r="KSQ6" s="50"/>
      <c r="KSR6" s="50"/>
      <c r="KSS6" s="50"/>
      <c r="KST6" s="50"/>
      <c r="KSU6" s="50"/>
      <c r="KSV6" s="50"/>
      <c r="KSW6" s="50"/>
      <c r="KSX6" s="50"/>
      <c r="KSY6" s="50"/>
      <c r="KSZ6" s="50"/>
      <c r="KTA6" s="50"/>
      <c r="KTB6" s="50"/>
      <c r="KTC6" s="50"/>
      <c r="KTD6" s="50"/>
      <c r="KTE6" s="50"/>
      <c r="KTF6" s="50"/>
      <c r="KTG6" s="50"/>
      <c r="KTH6" s="50"/>
      <c r="KTI6" s="50"/>
      <c r="KTJ6" s="50"/>
      <c r="KTK6" s="50"/>
      <c r="KTL6" s="50"/>
      <c r="KTM6" s="50"/>
      <c r="KTN6" s="50"/>
      <c r="KTO6" s="50"/>
      <c r="KTP6" s="50"/>
      <c r="KTQ6" s="50"/>
      <c r="KTR6" s="50"/>
      <c r="KTS6" s="50"/>
      <c r="KTT6" s="50"/>
      <c r="KTU6" s="50"/>
      <c r="KTV6" s="50"/>
      <c r="KTW6" s="50"/>
      <c r="KTX6" s="50"/>
      <c r="KTY6" s="50"/>
      <c r="KTZ6" s="50"/>
      <c r="KUA6" s="50"/>
      <c r="KUB6" s="50"/>
      <c r="KUC6" s="50"/>
      <c r="KUD6" s="50"/>
      <c r="KUE6" s="50"/>
      <c r="KUF6" s="50"/>
      <c r="KUG6" s="50"/>
      <c r="KUH6" s="50"/>
      <c r="KUI6" s="50"/>
      <c r="KUJ6" s="50"/>
      <c r="KUK6" s="50"/>
      <c r="KUL6" s="50"/>
      <c r="KUM6" s="50"/>
      <c r="KUN6" s="50"/>
      <c r="KUO6" s="50"/>
      <c r="KUP6" s="50"/>
      <c r="KUQ6" s="50"/>
      <c r="KUR6" s="50"/>
      <c r="KUS6" s="50"/>
      <c r="KUT6" s="50"/>
      <c r="KUU6" s="50"/>
      <c r="KUV6" s="50"/>
      <c r="KUW6" s="50"/>
      <c r="KUX6" s="50"/>
      <c r="KUY6" s="50"/>
      <c r="KUZ6" s="50"/>
      <c r="KVA6" s="50"/>
      <c r="KVB6" s="50"/>
      <c r="KVC6" s="50"/>
      <c r="KVD6" s="50"/>
      <c r="KVE6" s="50"/>
      <c r="KVF6" s="50"/>
      <c r="KVG6" s="50"/>
      <c r="KVH6" s="50"/>
      <c r="KVI6" s="50"/>
      <c r="KVJ6" s="50"/>
      <c r="KVK6" s="50"/>
      <c r="KVL6" s="50"/>
      <c r="KVM6" s="50"/>
      <c r="KVN6" s="50"/>
      <c r="KVO6" s="50"/>
      <c r="KVP6" s="50"/>
      <c r="KVQ6" s="50"/>
      <c r="KVR6" s="50"/>
      <c r="KVS6" s="50"/>
      <c r="KVT6" s="50"/>
      <c r="KVU6" s="50"/>
      <c r="KVV6" s="50"/>
      <c r="KVW6" s="50"/>
      <c r="KVX6" s="50"/>
      <c r="KVY6" s="50"/>
      <c r="KVZ6" s="50"/>
      <c r="KWA6" s="50"/>
      <c r="KWB6" s="50"/>
      <c r="KWC6" s="50"/>
      <c r="KWD6" s="50"/>
      <c r="KWE6" s="50"/>
      <c r="KWF6" s="50"/>
      <c r="KWG6" s="50"/>
      <c r="KWH6" s="50"/>
      <c r="KWI6" s="50"/>
      <c r="KWJ6" s="50"/>
      <c r="KWK6" s="50"/>
      <c r="KWL6" s="50"/>
      <c r="KWM6" s="50"/>
      <c r="KWN6" s="50"/>
      <c r="KWO6" s="50"/>
      <c r="KWP6" s="50"/>
      <c r="KWQ6" s="50"/>
      <c r="KWR6" s="50"/>
      <c r="KWS6" s="50"/>
      <c r="KWT6" s="50"/>
      <c r="KWU6" s="50"/>
      <c r="KWV6" s="50"/>
      <c r="KWW6" s="50"/>
      <c r="KWX6" s="50"/>
      <c r="KWY6" s="50"/>
      <c r="KWZ6" s="50"/>
      <c r="KXA6" s="50"/>
      <c r="KXB6" s="50"/>
      <c r="KXC6" s="50"/>
      <c r="KXD6" s="50"/>
      <c r="KXE6" s="50"/>
      <c r="KXF6" s="50"/>
      <c r="KXG6" s="50"/>
      <c r="KXH6" s="50"/>
      <c r="KXI6" s="50"/>
      <c r="KXJ6" s="50"/>
      <c r="KXK6" s="50"/>
      <c r="KXL6" s="50"/>
      <c r="KXM6" s="50"/>
      <c r="KXN6" s="50"/>
      <c r="KXO6" s="50"/>
      <c r="KXP6" s="50"/>
      <c r="KXQ6" s="50"/>
      <c r="KXR6" s="50"/>
      <c r="KXS6" s="50"/>
      <c r="KXT6" s="50"/>
      <c r="KXU6" s="50"/>
      <c r="KXV6" s="50"/>
      <c r="KXW6" s="50"/>
      <c r="KXX6" s="50"/>
      <c r="KXY6" s="50"/>
      <c r="KXZ6" s="50"/>
      <c r="KYA6" s="50"/>
      <c r="KYB6" s="50"/>
      <c r="KYC6" s="50"/>
      <c r="KYD6" s="50"/>
      <c r="KYE6" s="50"/>
      <c r="KYF6" s="50"/>
      <c r="KYG6" s="50"/>
      <c r="KYH6" s="50"/>
      <c r="KYI6" s="50"/>
      <c r="KYJ6" s="50"/>
      <c r="KYK6" s="50"/>
      <c r="KYL6" s="50"/>
      <c r="KYM6" s="50"/>
      <c r="KYN6" s="50"/>
      <c r="KYO6" s="50"/>
      <c r="KYP6" s="50"/>
      <c r="KYQ6" s="50"/>
      <c r="KYR6" s="50"/>
      <c r="KYS6" s="50"/>
      <c r="KYT6" s="50"/>
      <c r="KYU6" s="50"/>
      <c r="KYV6" s="50"/>
      <c r="KYW6" s="50"/>
      <c r="KYX6" s="50"/>
      <c r="KYY6" s="50"/>
      <c r="KYZ6" s="50"/>
      <c r="KZA6" s="50"/>
      <c r="KZB6" s="50"/>
      <c r="KZC6" s="50"/>
      <c r="KZD6" s="50"/>
      <c r="KZE6" s="50"/>
      <c r="KZF6" s="50"/>
      <c r="KZG6" s="50"/>
      <c r="KZH6" s="50"/>
      <c r="KZI6" s="50"/>
      <c r="KZJ6" s="50"/>
      <c r="KZK6" s="50"/>
      <c r="KZL6" s="50"/>
      <c r="KZM6" s="50"/>
      <c r="KZN6" s="50"/>
      <c r="KZO6" s="50"/>
      <c r="KZP6" s="50"/>
      <c r="KZQ6" s="50"/>
      <c r="KZR6" s="50"/>
      <c r="KZS6" s="50"/>
      <c r="KZT6" s="50"/>
      <c r="KZU6" s="50"/>
      <c r="KZV6" s="50"/>
      <c r="KZW6" s="50"/>
      <c r="KZX6" s="50"/>
      <c r="KZY6" s="50"/>
      <c r="KZZ6" s="50"/>
      <c r="LAA6" s="50"/>
      <c r="LAB6" s="50"/>
      <c r="LAC6" s="50"/>
      <c r="LAD6" s="50"/>
      <c r="LAE6" s="50"/>
      <c r="LAF6" s="50"/>
      <c r="LAG6" s="50"/>
      <c r="LAH6" s="50"/>
      <c r="LAI6" s="50"/>
      <c r="LAJ6" s="50"/>
      <c r="LAK6" s="50"/>
      <c r="LAL6" s="50"/>
      <c r="LAM6" s="50"/>
      <c r="LAN6" s="50"/>
      <c r="LAO6" s="50"/>
      <c r="LAP6" s="50"/>
      <c r="LAQ6" s="50"/>
      <c r="LAR6" s="50"/>
      <c r="LAS6" s="50"/>
      <c r="LAT6" s="50"/>
      <c r="LAU6" s="50"/>
      <c r="LAV6" s="50"/>
      <c r="LAW6" s="50"/>
      <c r="LAX6" s="50"/>
      <c r="LAY6" s="50"/>
      <c r="LAZ6" s="50"/>
      <c r="LBA6" s="50"/>
      <c r="LBB6" s="50"/>
      <c r="LBC6" s="50"/>
      <c r="LBD6" s="50"/>
      <c r="LBE6" s="50"/>
      <c r="LBF6" s="50"/>
      <c r="LBG6" s="50"/>
      <c r="LBH6" s="50"/>
      <c r="LBI6" s="50"/>
      <c r="LBJ6" s="50"/>
      <c r="LBK6" s="50"/>
      <c r="LBL6" s="50"/>
      <c r="LBM6" s="50"/>
      <c r="LBN6" s="50"/>
      <c r="LBO6" s="50"/>
      <c r="LBP6" s="50"/>
      <c r="LBQ6" s="50"/>
      <c r="LBR6" s="50"/>
      <c r="LBS6" s="50"/>
      <c r="LBT6" s="50"/>
      <c r="LBU6" s="50"/>
      <c r="LBV6" s="50"/>
      <c r="LBW6" s="50"/>
      <c r="LBX6" s="50"/>
      <c r="LBY6" s="50"/>
      <c r="LBZ6" s="50"/>
      <c r="LCA6" s="50"/>
      <c r="LCB6" s="50"/>
      <c r="LCC6" s="50"/>
      <c r="LCD6" s="50"/>
      <c r="LCE6" s="50"/>
      <c r="LCF6" s="50"/>
      <c r="LCG6" s="50"/>
      <c r="LCH6" s="50"/>
      <c r="LCI6" s="50"/>
      <c r="LCJ6" s="50"/>
      <c r="LCK6" s="50"/>
      <c r="LCL6" s="50"/>
      <c r="LCM6" s="50"/>
      <c r="LCN6" s="50"/>
      <c r="LCO6" s="50"/>
      <c r="LCP6" s="50"/>
      <c r="LCQ6" s="50"/>
      <c r="LCR6" s="50"/>
      <c r="LCS6" s="50"/>
      <c r="LCT6" s="50"/>
      <c r="LCU6" s="50"/>
      <c r="LCV6" s="50"/>
      <c r="LCW6" s="50"/>
      <c r="LCX6" s="50"/>
      <c r="LCY6" s="50"/>
      <c r="LCZ6" s="50"/>
      <c r="LDA6" s="50"/>
      <c r="LDB6" s="50"/>
      <c r="LDC6" s="50"/>
      <c r="LDD6" s="50"/>
      <c r="LDE6" s="50"/>
      <c r="LDF6" s="50"/>
      <c r="LDG6" s="50"/>
      <c r="LDH6" s="50"/>
      <c r="LDI6" s="50"/>
      <c r="LDJ6" s="50"/>
      <c r="LDK6" s="50"/>
      <c r="LDL6" s="50"/>
      <c r="LDM6" s="50"/>
      <c r="LDN6" s="50"/>
      <c r="LDO6" s="50"/>
      <c r="LDP6" s="50"/>
      <c r="LDQ6" s="50"/>
      <c r="LDR6" s="50"/>
      <c r="LDS6" s="50"/>
      <c r="LDT6" s="50"/>
      <c r="LDU6" s="50"/>
      <c r="LDV6" s="50"/>
      <c r="LDW6" s="50"/>
      <c r="LDX6" s="50"/>
      <c r="LDY6" s="50"/>
      <c r="LDZ6" s="50"/>
      <c r="LEA6" s="50"/>
      <c r="LEB6" s="50"/>
      <c r="LEC6" s="50"/>
      <c r="LED6" s="50"/>
      <c r="LEE6" s="50"/>
      <c r="LEF6" s="50"/>
      <c r="LEG6" s="50"/>
      <c r="LEH6" s="50"/>
      <c r="LEI6" s="50"/>
      <c r="LEJ6" s="50"/>
      <c r="LEK6" s="50"/>
      <c r="LEL6" s="50"/>
      <c r="LEM6" s="50"/>
      <c r="LEN6" s="50"/>
      <c r="LEO6" s="50"/>
      <c r="LEP6" s="50"/>
      <c r="LEQ6" s="50"/>
      <c r="LER6" s="50"/>
      <c r="LES6" s="50"/>
      <c r="LET6" s="50"/>
      <c r="LEU6" s="50"/>
      <c r="LEV6" s="50"/>
      <c r="LEW6" s="50"/>
      <c r="LEX6" s="50"/>
      <c r="LEY6" s="50"/>
      <c r="LEZ6" s="50"/>
      <c r="LFA6" s="50"/>
      <c r="LFB6" s="50"/>
      <c r="LFC6" s="50"/>
      <c r="LFD6" s="50"/>
      <c r="LFE6" s="50"/>
      <c r="LFF6" s="50"/>
      <c r="LFG6" s="50"/>
      <c r="LFH6" s="50"/>
      <c r="LFI6" s="50"/>
      <c r="LFJ6" s="50"/>
      <c r="LFK6" s="50"/>
      <c r="LFL6" s="50"/>
      <c r="LFM6" s="50"/>
      <c r="LFN6" s="50"/>
      <c r="LFO6" s="50"/>
      <c r="LFP6" s="50"/>
      <c r="LFQ6" s="50"/>
      <c r="LFR6" s="50"/>
      <c r="LFS6" s="50"/>
      <c r="LFT6" s="50"/>
      <c r="LFU6" s="50"/>
      <c r="LFV6" s="50"/>
      <c r="LFW6" s="50"/>
      <c r="LFX6" s="50"/>
      <c r="LFY6" s="50"/>
      <c r="LFZ6" s="50"/>
      <c r="LGA6" s="50"/>
      <c r="LGB6" s="50"/>
      <c r="LGC6" s="50"/>
      <c r="LGD6" s="50"/>
      <c r="LGE6" s="50"/>
      <c r="LGF6" s="50"/>
      <c r="LGG6" s="50"/>
      <c r="LGH6" s="50"/>
      <c r="LGI6" s="50"/>
      <c r="LGJ6" s="50"/>
      <c r="LGK6" s="50"/>
      <c r="LGL6" s="50"/>
      <c r="LGM6" s="50"/>
      <c r="LGN6" s="50"/>
      <c r="LGO6" s="50"/>
      <c r="LGP6" s="50"/>
      <c r="LGQ6" s="50"/>
      <c r="LGR6" s="50"/>
      <c r="LGS6" s="50"/>
      <c r="LGT6" s="50"/>
      <c r="LGU6" s="50"/>
      <c r="LGV6" s="50"/>
      <c r="LGW6" s="50"/>
      <c r="LGX6" s="50"/>
      <c r="LGY6" s="50"/>
      <c r="LGZ6" s="50"/>
      <c r="LHA6" s="50"/>
      <c r="LHB6" s="50"/>
      <c r="LHC6" s="50"/>
      <c r="LHD6" s="50"/>
      <c r="LHE6" s="50"/>
      <c r="LHF6" s="50"/>
      <c r="LHG6" s="50"/>
      <c r="LHH6" s="50"/>
      <c r="LHI6" s="50"/>
      <c r="LHJ6" s="50"/>
      <c r="LHK6" s="50"/>
      <c r="LHL6" s="50"/>
      <c r="LHM6" s="50"/>
      <c r="LHN6" s="50"/>
      <c r="LHO6" s="50"/>
      <c r="LHP6" s="50"/>
      <c r="LHQ6" s="50"/>
      <c r="LHR6" s="50"/>
      <c r="LHS6" s="50"/>
      <c r="LHT6" s="50"/>
      <c r="LHU6" s="50"/>
      <c r="LHV6" s="50"/>
      <c r="LHW6" s="50"/>
      <c r="LHX6" s="50"/>
      <c r="LHY6" s="50"/>
      <c r="LHZ6" s="50"/>
      <c r="LIA6" s="50"/>
      <c r="LIB6" s="50"/>
      <c r="LIC6" s="50"/>
      <c r="LID6" s="50"/>
      <c r="LIE6" s="50"/>
      <c r="LIF6" s="50"/>
      <c r="LIG6" s="50"/>
      <c r="LIH6" s="50"/>
      <c r="LII6" s="50"/>
      <c r="LIJ6" s="50"/>
      <c r="LIK6" s="50"/>
      <c r="LIL6" s="50"/>
      <c r="LIM6" s="50"/>
      <c r="LIN6" s="50"/>
      <c r="LIO6" s="50"/>
      <c r="LIP6" s="50"/>
      <c r="LIQ6" s="50"/>
      <c r="LIR6" s="50"/>
      <c r="LIS6" s="50"/>
      <c r="LIT6" s="50"/>
      <c r="LIU6" s="50"/>
      <c r="LIV6" s="50"/>
      <c r="LIW6" s="50"/>
      <c r="LIX6" s="50"/>
      <c r="LIY6" s="50"/>
      <c r="LIZ6" s="50"/>
      <c r="LJA6" s="50"/>
      <c r="LJB6" s="50"/>
      <c r="LJC6" s="50"/>
      <c r="LJD6" s="50"/>
      <c r="LJE6" s="50"/>
      <c r="LJF6" s="50"/>
      <c r="LJG6" s="50"/>
      <c r="LJH6" s="50"/>
      <c r="LJI6" s="50"/>
      <c r="LJJ6" s="50"/>
      <c r="LJK6" s="50"/>
      <c r="LJL6" s="50"/>
      <c r="LJM6" s="50"/>
      <c r="LJN6" s="50"/>
      <c r="LJO6" s="50"/>
      <c r="LJP6" s="50"/>
      <c r="LJQ6" s="50"/>
      <c r="LJR6" s="50"/>
      <c r="LJS6" s="50"/>
      <c r="LJT6" s="50"/>
      <c r="LJU6" s="50"/>
      <c r="LJV6" s="50"/>
      <c r="LJW6" s="50"/>
      <c r="LJX6" s="50"/>
      <c r="LJY6" s="50"/>
      <c r="LJZ6" s="50"/>
      <c r="LKA6" s="50"/>
      <c r="LKB6" s="50"/>
      <c r="LKC6" s="50"/>
      <c r="LKD6" s="50"/>
      <c r="LKE6" s="50"/>
      <c r="LKF6" s="50"/>
      <c r="LKG6" s="50"/>
      <c r="LKH6" s="50"/>
      <c r="LKI6" s="50"/>
      <c r="LKJ6" s="50"/>
      <c r="LKK6" s="50"/>
      <c r="LKL6" s="50"/>
      <c r="LKM6" s="50"/>
      <c r="LKN6" s="50"/>
      <c r="LKO6" s="50"/>
      <c r="LKP6" s="50"/>
      <c r="LKQ6" s="50"/>
      <c r="LKR6" s="50"/>
      <c r="LKS6" s="50"/>
      <c r="LKT6" s="50"/>
      <c r="LKU6" s="50"/>
      <c r="LKV6" s="50"/>
      <c r="LKW6" s="50"/>
      <c r="LKX6" s="50"/>
      <c r="LKY6" s="50"/>
      <c r="LKZ6" s="50"/>
      <c r="LLA6" s="50"/>
      <c r="LLB6" s="50"/>
      <c r="LLC6" s="50"/>
      <c r="LLD6" s="50"/>
      <c r="LLE6" s="50"/>
      <c r="LLF6" s="50"/>
      <c r="LLG6" s="50"/>
      <c r="LLH6" s="50"/>
      <c r="LLI6" s="50"/>
      <c r="LLJ6" s="50"/>
      <c r="LLK6" s="50"/>
      <c r="LLL6" s="50"/>
      <c r="LLM6" s="50"/>
      <c r="LLN6" s="50"/>
      <c r="LLO6" s="50"/>
      <c r="LLP6" s="50"/>
      <c r="LLQ6" s="50"/>
      <c r="LLR6" s="50"/>
      <c r="LLS6" s="50"/>
      <c r="LLT6" s="50"/>
      <c r="LLU6" s="50"/>
      <c r="LLV6" s="50"/>
      <c r="LLW6" s="50"/>
      <c r="LLX6" s="50"/>
      <c r="LLY6" s="50"/>
      <c r="LLZ6" s="50"/>
      <c r="LMA6" s="50"/>
      <c r="LMB6" s="50"/>
      <c r="LMC6" s="50"/>
      <c r="LMD6" s="50"/>
      <c r="LME6" s="50"/>
      <c r="LMF6" s="50"/>
      <c r="LMG6" s="50"/>
      <c r="LMH6" s="50"/>
      <c r="LMI6" s="50"/>
      <c r="LMJ6" s="50"/>
      <c r="LMK6" s="50"/>
      <c r="LML6" s="50"/>
      <c r="LMM6" s="50"/>
      <c r="LMN6" s="50"/>
      <c r="LMO6" s="50"/>
      <c r="LMP6" s="50"/>
      <c r="LMQ6" s="50"/>
      <c r="LMR6" s="50"/>
      <c r="LMS6" s="50"/>
      <c r="LMT6" s="50"/>
      <c r="LMU6" s="50"/>
      <c r="LMV6" s="50"/>
      <c r="LMW6" s="50"/>
      <c r="LMX6" s="50"/>
      <c r="LMY6" s="50"/>
      <c r="LMZ6" s="50"/>
      <c r="LNA6" s="50"/>
      <c r="LNB6" s="50"/>
      <c r="LNC6" s="50"/>
      <c r="LND6" s="50"/>
      <c r="LNE6" s="50"/>
      <c r="LNF6" s="50"/>
      <c r="LNG6" s="50"/>
      <c r="LNH6" s="50"/>
      <c r="LNI6" s="50"/>
      <c r="LNJ6" s="50"/>
      <c r="LNK6" s="50"/>
      <c r="LNL6" s="50"/>
      <c r="LNM6" s="50"/>
      <c r="LNN6" s="50"/>
      <c r="LNO6" s="50"/>
      <c r="LNP6" s="50"/>
      <c r="LNQ6" s="50"/>
      <c r="LNR6" s="50"/>
      <c r="LNS6" s="50"/>
      <c r="LNT6" s="50"/>
      <c r="LNU6" s="50"/>
      <c r="LNV6" s="50"/>
      <c r="LNW6" s="50"/>
      <c r="LNX6" s="50"/>
      <c r="LNY6" s="50"/>
      <c r="LNZ6" s="50"/>
      <c r="LOA6" s="50"/>
      <c r="LOB6" s="50"/>
      <c r="LOC6" s="50"/>
      <c r="LOD6" s="50"/>
      <c r="LOE6" s="50"/>
      <c r="LOF6" s="50"/>
      <c r="LOG6" s="50"/>
      <c r="LOH6" s="50"/>
      <c r="LOI6" s="50"/>
      <c r="LOJ6" s="50"/>
      <c r="LOK6" s="50"/>
      <c r="LOL6" s="50"/>
      <c r="LOM6" s="50"/>
      <c r="LON6" s="50"/>
      <c r="LOO6" s="50"/>
      <c r="LOP6" s="50"/>
      <c r="LOQ6" s="50"/>
      <c r="LOR6" s="50"/>
      <c r="LOS6" s="50"/>
      <c r="LOT6" s="50"/>
      <c r="LOU6" s="50"/>
      <c r="LOV6" s="50"/>
      <c r="LOW6" s="50"/>
      <c r="LOX6" s="50"/>
      <c r="LOY6" s="50"/>
      <c r="LOZ6" s="50"/>
      <c r="LPA6" s="50"/>
      <c r="LPB6" s="50"/>
      <c r="LPC6" s="50"/>
      <c r="LPD6" s="50"/>
      <c r="LPE6" s="50"/>
      <c r="LPF6" s="50"/>
      <c r="LPG6" s="50"/>
      <c r="LPH6" s="50"/>
      <c r="LPI6" s="50"/>
      <c r="LPJ6" s="50"/>
      <c r="LPK6" s="50"/>
      <c r="LPL6" s="50"/>
      <c r="LPM6" s="50"/>
      <c r="LPN6" s="50"/>
      <c r="LPO6" s="50"/>
      <c r="LPP6" s="50"/>
      <c r="LPQ6" s="50"/>
      <c r="LPR6" s="50"/>
      <c r="LPS6" s="50"/>
      <c r="LPT6" s="50"/>
      <c r="LPU6" s="50"/>
      <c r="LPV6" s="50"/>
      <c r="LPW6" s="50"/>
      <c r="LPX6" s="50"/>
      <c r="LPY6" s="50"/>
      <c r="LPZ6" s="50"/>
      <c r="LQA6" s="50"/>
      <c r="LQB6" s="50"/>
      <c r="LQC6" s="50"/>
      <c r="LQD6" s="50"/>
      <c r="LQE6" s="50"/>
      <c r="LQF6" s="50"/>
      <c r="LQG6" s="50"/>
      <c r="LQH6" s="50"/>
      <c r="LQI6" s="50"/>
      <c r="LQJ6" s="50"/>
      <c r="LQK6" s="50"/>
      <c r="LQL6" s="50"/>
      <c r="LQM6" s="50"/>
      <c r="LQN6" s="50"/>
      <c r="LQO6" s="50"/>
      <c r="LQP6" s="50"/>
      <c r="LQQ6" s="50"/>
      <c r="LQR6" s="50"/>
      <c r="LQS6" s="50"/>
      <c r="LQT6" s="50"/>
      <c r="LQU6" s="50"/>
      <c r="LQV6" s="50"/>
      <c r="LQW6" s="50"/>
      <c r="LQX6" s="50"/>
      <c r="LQY6" s="50"/>
      <c r="LQZ6" s="50"/>
      <c r="LRA6" s="50"/>
      <c r="LRB6" s="50"/>
      <c r="LRC6" s="50"/>
      <c r="LRD6" s="50"/>
      <c r="LRE6" s="50"/>
      <c r="LRF6" s="50"/>
      <c r="LRG6" s="50"/>
      <c r="LRH6" s="50"/>
      <c r="LRI6" s="50"/>
      <c r="LRJ6" s="50"/>
      <c r="LRK6" s="50"/>
      <c r="LRL6" s="50"/>
      <c r="LRM6" s="50"/>
      <c r="LRN6" s="50"/>
      <c r="LRO6" s="50"/>
      <c r="LRP6" s="50"/>
      <c r="LRQ6" s="50"/>
      <c r="LRR6" s="50"/>
      <c r="LRS6" s="50"/>
      <c r="LRT6" s="50"/>
      <c r="LRU6" s="50"/>
      <c r="LRV6" s="50"/>
      <c r="LRW6" s="50"/>
      <c r="LRX6" s="50"/>
      <c r="LRY6" s="50"/>
      <c r="LRZ6" s="50"/>
      <c r="LSA6" s="50"/>
      <c r="LSB6" s="50"/>
      <c r="LSC6" s="50"/>
      <c r="LSD6" s="50"/>
      <c r="LSE6" s="50"/>
      <c r="LSF6" s="50"/>
      <c r="LSG6" s="50"/>
      <c r="LSH6" s="50"/>
      <c r="LSI6" s="50"/>
      <c r="LSJ6" s="50"/>
      <c r="LSK6" s="50"/>
      <c r="LSL6" s="50"/>
      <c r="LSM6" s="50"/>
      <c r="LSN6" s="50"/>
      <c r="LSO6" s="50"/>
      <c r="LSP6" s="50"/>
      <c r="LSQ6" s="50"/>
      <c r="LSR6" s="50"/>
      <c r="LSS6" s="50"/>
      <c r="LST6" s="50"/>
      <c r="LSU6" s="50"/>
      <c r="LSV6" s="50"/>
      <c r="LSW6" s="50"/>
      <c r="LSX6" s="50"/>
      <c r="LSY6" s="50"/>
      <c r="LSZ6" s="50"/>
      <c r="LTA6" s="50"/>
      <c r="LTB6" s="50"/>
      <c r="LTC6" s="50"/>
      <c r="LTD6" s="50"/>
      <c r="LTE6" s="50"/>
      <c r="LTF6" s="50"/>
      <c r="LTG6" s="50"/>
      <c r="LTH6" s="50"/>
      <c r="LTI6" s="50"/>
      <c r="LTJ6" s="50"/>
      <c r="LTK6" s="50"/>
      <c r="LTL6" s="50"/>
      <c r="LTM6" s="50"/>
      <c r="LTN6" s="50"/>
      <c r="LTO6" s="50"/>
      <c r="LTP6" s="50"/>
      <c r="LTQ6" s="50"/>
      <c r="LTR6" s="50"/>
      <c r="LTS6" s="50"/>
      <c r="LTT6" s="50"/>
      <c r="LTU6" s="50"/>
      <c r="LTV6" s="50"/>
      <c r="LTW6" s="50"/>
      <c r="LTX6" s="50"/>
      <c r="LTY6" s="50"/>
      <c r="LTZ6" s="50"/>
      <c r="LUA6" s="50"/>
      <c r="LUB6" s="50"/>
      <c r="LUC6" s="50"/>
      <c r="LUD6" s="50"/>
      <c r="LUE6" s="50"/>
      <c r="LUF6" s="50"/>
      <c r="LUG6" s="50"/>
      <c r="LUH6" s="50"/>
      <c r="LUI6" s="50"/>
      <c r="LUJ6" s="50"/>
      <c r="LUK6" s="50"/>
      <c r="LUL6" s="50"/>
      <c r="LUM6" s="50"/>
      <c r="LUN6" s="50"/>
      <c r="LUO6" s="50"/>
      <c r="LUP6" s="50"/>
      <c r="LUQ6" s="50"/>
      <c r="LUR6" s="50"/>
      <c r="LUS6" s="50"/>
      <c r="LUT6" s="50"/>
      <c r="LUU6" s="50"/>
      <c r="LUV6" s="50"/>
      <c r="LUW6" s="50"/>
      <c r="LUX6" s="50"/>
      <c r="LUY6" s="50"/>
      <c r="LUZ6" s="50"/>
      <c r="LVA6" s="50"/>
      <c r="LVB6" s="50"/>
      <c r="LVC6" s="50"/>
      <c r="LVD6" s="50"/>
      <c r="LVE6" s="50"/>
      <c r="LVF6" s="50"/>
      <c r="LVG6" s="50"/>
      <c r="LVH6" s="50"/>
      <c r="LVI6" s="50"/>
      <c r="LVJ6" s="50"/>
      <c r="LVK6" s="50"/>
      <c r="LVL6" s="50"/>
      <c r="LVM6" s="50"/>
      <c r="LVN6" s="50"/>
      <c r="LVO6" s="50"/>
      <c r="LVP6" s="50"/>
      <c r="LVQ6" s="50"/>
      <c r="LVR6" s="50"/>
      <c r="LVS6" s="50"/>
      <c r="LVT6" s="50"/>
      <c r="LVU6" s="50"/>
      <c r="LVV6" s="50"/>
      <c r="LVW6" s="50"/>
      <c r="LVX6" s="50"/>
      <c r="LVY6" s="50"/>
      <c r="LVZ6" s="50"/>
      <c r="LWA6" s="50"/>
      <c r="LWB6" s="50"/>
      <c r="LWC6" s="50"/>
      <c r="LWD6" s="50"/>
      <c r="LWE6" s="50"/>
      <c r="LWF6" s="50"/>
      <c r="LWG6" s="50"/>
      <c r="LWH6" s="50"/>
      <c r="LWI6" s="50"/>
      <c r="LWJ6" s="50"/>
      <c r="LWK6" s="50"/>
      <c r="LWL6" s="50"/>
      <c r="LWM6" s="50"/>
      <c r="LWN6" s="50"/>
      <c r="LWO6" s="50"/>
      <c r="LWP6" s="50"/>
      <c r="LWQ6" s="50"/>
      <c r="LWR6" s="50"/>
      <c r="LWS6" s="50"/>
      <c r="LWT6" s="50"/>
      <c r="LWU6" s="50"/>
      <c r="LWV6" s="50"/>
      <c r="LWW6" s="50"/>
      <c r="LWX6" s="50"/>
      <c r="LWY6" s="50"/>
      <c r="LWZ6" s="50"/>
      <c r="LXA6" s="50"/>
      <c r="LXB6" s="50"/>
      <c r="LXC6" s="50"/>
      <c r="LXD6" s="50"/>
      <c r="LXE6" s="50"/>
      <c r="LXF6" s="50"/>
      <c r="LXG6" s="50"/>
      <c r="LXH6" s="50"/>
      <c r="LXI6" s="50"/>
      <c r="LXJ6" s="50"/>
      <c r="LXK6" s="50"/>
      <c r="LXL6" s="50"/>
      <c r="LXM6" s="50"/>
      <c r="LXN6" s="50"/>
      <c r="LXO6" s="50"/>
      <c r="LXP6" s="50"/>
      <c r="LXQ6" s="50"/>
      <c r="LXR6" s="50"/>
      <c r="LXS6" s="50"/>
      <c r="LXT6" s="50"/>
      <c r="LXU6" s="50"/>
      <c r="LXV6" s="50"/>
      <c r="LXW6" s="50"/>
      <c r="LXX6" s="50"/>
      <c r="LXY6" s="50"/>
      <c r="LXZ6" s="50"/>
      <c r="LYA6" s="50"/>
      <c r="LYB6" s="50"/>
      <c r="LYC6" s="50"/>
      <c r="LYD6" s="50"/>
      <c r="LYE6" s="50"/>
      <c r="LYF6" s="50"/>
      <c r="LYG6" s="50"/>
      <c r="LYH6" s="50"/>
      <c r="LYI6" s="50"/>
      <c r="LYJ6" s="50"/>
      <c r="LYK6" s="50"/>
      <c r="LYL6" s="50"/>
      <c r="LYM6" s="50"/>
      <c r="LYN6" s="50"/>
      <c r="LYO6" s="50"/>
      <c r="LYP6" s="50"/>
      <c r="LYQ6" s="50"/>
      <c r="LYR6" s="50"/>
      <c r="LYS6" s="50"/>
      <c r="LYT6" s="50"/>
      <c r="LYU6" s="50"/>
      <c r="LYV6" s="50"/>
      <c r="LYW6" s="50"/>
      <c r="LYX6" s="50"/>
      <c r="LYY6" s="50"/>
      <c r="LYZ6" s="50"/>
      <c r="LZA6" s="50"/>
      <c r="LZB6" s="50"/>
      <c r="LZC6" s="50"/>
      <c r="LZD6" s="50"/>
      <c r="LZE6" s="50"/>
      <c r="LZF6" s="50"/>
      <c r="LZG6" s="50"/>
      <c r="LZH6" s="50"/>
      <c r="LZI6" s="50"/>
      <c r="LZJ6" s="50"/>
      <c r="LZK6" s="50"/>
      <c r="LZL6" s="50"/>
      <c r="LZM6" s="50"/>
      <c r="LZN6" s="50"/>
      <c r="LZO6" s="50"/>
      <c r="LZP6" s="50"/>
      <c r="LZQ6" s="50"/>
      <c r="LZR6" s="50"/>
      <c r="LZS6" s="50"/>
      <c r="LZT6" s="50"/>
      <c r="LZU6" s="50"/>
      <c r="LZV6" s="50"/>
      <c r="LZW6" s="50"/>
      <c r="LZX6" s="50"/>
      <c r="LZY6" s="50"/>
      <c r="LZZ6" s="50"/>
      <c r="MAA6" s="50"/>
      <c r="MAB6" s="50"/>
      <c r="MAC6" s="50"/>
      <c r="MAD6" s="50"/>
      <c r="MAE6" s="50"/>
      <c r="MAF6" s="50"/>
      <c r="MAG6" s="50"/>
      <c r="MAH6" s="50"/>
      <c r="MAI6" s="50"/>
      <c r="MAJ6" s="50"/>
      <c r="MAK6" s="50"/>
      <c r="MAL6" s="50"/>
      <c r="MAM6" s="50"/>
      <c r="MAN6" s="50"/>
      <c r="MAO6" s="50"/>
      <c r="MAP6" s="50"/>
      <c r="MAQ6" s="50"/>
      <c r="MAR6" s="50"/>
      <c r="MAS6" s="50"/>
      <c r="MAT6" s="50"/>
      <c r="MAU6" s="50"/>
      <c r="MAV6" s="50"/>
      <c r="MAW6" s="50"/>
      <c r="MAX6" s="50"/>
      <c r="MAY6" s="50"/>
      <c r="MAZ6" s="50"/>
      <c r="MBA6" s="50"/>
      <c r="MBB6" s="50"/>
      <c r="MBC6" s="50"/>
      <c r="MBD6" s="50"/>
      <c r="MBE6" s="50"/>
      <c r="MBF6" s="50"/>
      <c r="MBG6" s="50"/>
      <c r="MBH6" s="50"/>
      <c r="MBI6" s="50"/>
      <c r="MBJ6" s="50"/>
      <c r="MBK6" s="50"/>
      <c r="MBL6" s="50"/>
      <c r="MBM6" s="50"/>
      <c r="MBN6" s="50"/>
      <c r="MBO6" s="50"/>
      <c r="MBP6" s="50"/>
      <c r="MBQ6" s="50"/>
      <c r="MBR6" s="50"/>
      <c r="MBS6" s="50"/>
      <c r="MBT6" s="50"/>
      <c r="MBU6" s="50"/>
      <c r="MBV6" s="50"/>
      <c r="MBW6" s="50"/>
      <c r="MBX6" s="50"/>
      <c r="MBY6" s="50"/>
      <c r="MBZ6" s="50"/>
      <c r="MCA6" s="50"/>
      <c r="MCB6" s="50"/>
      <c r="MCC6" s="50"/>
      <c r="MCD6" s="50"/>
      <c r="MCE6" s="50"/>
      <c r="MCF6" s="50"/>
      <c r="MCG6" s="50"/>
      <c r="MCH6" s="50"/>
      <c r="MCI6" s="50"/>
      <c r="MCJ6" s="50"/>
      <c r="MCK6" s="50"/>
      <c r="MCL6" s="50"/>
      <c r="MCM6" s="50"/>
      <c r="MCN6" s="50"/>
      <c r="MCO6" s="50"/>
      <c r="MCP6" s="50"/>
      <c r="MCQ6" s="50"/>
      <c r="MCR6" s="50"/>
      <c r="MCS6" s="50"/>
      <c r="MCT6" s="50"/>
      <c r="MCU6" s="50"/>
      <c r="MCV6" s="50"/>
      <c r="MCW6" s="50"/>
      <c r="MCX6" s="50"/>
      <c r="MCY6" s="50"/>
      <c r="MCZ6" s="50"/>
      <c r="MDA6" s="50"/>
      <c r="MDB6" s="50"/>
      <c r="MDC6" s="50"/>
      <c r="MDD6" s="50"/>
      <c r="MDE6" s="50"/>
      <c r="MDF6" s="50"/>
      <c r="MDG6" s="50"/>
      <c r="MDH6" s="50"/>
      <c r="MDI6" s="50"/>
      <c r="MDJ6" s="50"/>
      <c r="MDK6" s="50"/>
      <c r="MDL6" s="50"/>
      <c r="MDM6" s="50"/>
      <c r="MDN6" s="50"/>
      <c r="MDO6" s="50"/>
      <c r="MDP6" s="50"/>
      <c r="MDQ6" s="50"/>
      <c r="MDR6" s="50"/>
      <c r="MDS6" s="50"/>
      <c r="MDT6" s="50"/>
      <c r="MDU6" s="50"/>
      <c r="MDV6" s="50"/>
      <c r="MDW6" s="50"/>
      <c r="MDX6" s="50"/>
      <c r="MDY6" s="50"/>
      <c r="MDZ6" s="50"/>
      <c r="MEA6" s="50"/>
      <c r="MEB6" s="50"/>
      <c r="MEC6" s="50"/>
      <c r="MED6" s="50"/>
      <c r="MEE6" s="50"/>
      <c r="MEF6" s="50"/>
      <c r="MEG6" s="50"/>
      <c r="MEH6" s="50"/>
      <c r="MEI6" s="50"/>
      <c r="MEJ6" s="50"/>
      <c r="MEK6" s="50"/>
      <c r="MEL6" s="50"/>
      <c r="MEM6" s="50"/>
      <c r="MEN6" s="50"/>
      <c r="MEO6" s="50"/>
      <c r="MEP6" s="50"/>
      <c r="MEQ6" s="50"/>
      <c r="MER6" s="50"/>
      <c r="MES6" s="50"/>
      <c r="MET6" s="50"/>
      <c r="MEU6" s="50"/>
      <c r="MEV6" s="50"/>
      <c r="MEW6" s="50"/>
      <c r="MEX6" s="50"/>
      <c r="MEY6" s="50"/>
      <c r="MEZ6" s="50"/>
      <c r="MFA6" s="50"/>
      <c r="MFB6" s="50"/>
      <c r="MFC6" s="50"/>
      <c r="MFD6" s="50"/>
      <c r="MFE6" s="50"/>
      <c r="MFF6" s="50"/>
      <c r="MFG6" s="50"/>
      <c r="MFH6" s="50"/>
      <c r="MFI6" s="50"/>
      <c r="MFJ6" s="50"/>
      <c r="MFK6" s="50"/>
      <c r="MFL6" s="50"/>
      <c r="MFM6" s="50"/>
      <c r="MFN6" s="50"/>
      <c r="MFO6" s="50"/>
      <c r="MFP6" s="50"/>
      <c r="MFQ6" s="50"/>
      <c r="MFR6" s="50"/>
      <c r="MFS6" s="50"/>
      <c r="MFT6" s="50"/>
      <c r="MFU6" s="50"/>
      <c r="MFV6" s="50"/>
      <c r="MFW6" s="50"/>
      <c r="MFX6" s="50"/>
      <c r="MFY6" s="50"/>
      <c r="MFZ6" s="50"/>
      <c r="MGA6" s="50"/>
      <c r="MGB6" s="50"/>
      <c r="MGC6" s="50"/>
      <c r="MGD6" s="50"/>
      <c r="MGE6" s="50"/>
      <c r="MGF6" s="50"/>
      <c r="MGG6" s="50"/>
      <c r="MGH6" s="50"/>
      <c r="MGI6" s="50"/>
      <c r="MGJ6" s="50"/>
      <c r="MGK6" s="50"/>
      <c r="MGL6" s="50"/>
      <c r="MGM6" s="50"/>
      <c r="MGN6" s="50"/>
      <c r="MGO6" s="50"/>
      <c r="MGP6" s="50"/>
      <c r="MGQ6" s="50"/>
      <c r="MGR6" s="50"/>
      <c r="MGS6" s="50"/>
      <c r="MGT6" s="50"/>
      <c r="MGU6" s="50"/>
      <c r="MGV6" s="50"/>
      <c r="MGW6" s="50"/>
      <c r="MGX6" s="50"/>
      <c r="MGY6" s="50"/>
      <c r="MGZ6" s="50"/>
      <c r="MHA6" s="50"/>
      <c r="MHB6" s="50"/>
      <c r="MHC6" s="50"/>
      <c r="MHD6" s="50"/>
      <c r="MHE6" s="50"/>
      <c r="MHF6" s="50"/>
      <c r="MHG6" s="50"/>
      <c r="MHH6" s="50"/>
      <c r="MHI6" s="50"/>
      <c r="MHJ6" s="50"/>
      <c r="MHK6" s="50"/>
      <c r="MHL6" s="50"/>
      <c r="MHM6" s="50"/>
      <c r="MHN6" s="50"/>
      <c r="MHO6" s="50"/>
      <c r="MHP6" s="50"/>
      <c r="MHQ6" s="50"/>
      <c r="MHR6" s="50"/>
      <c r="MHS6" s="50"/>
      <c r="MHT6" s="50"/>
      <c r="MHU6" s="50"/>
      <c r="MHV6" s="50"/>
      <c r="MHW6" s="50"/>
      <c r="MHX6" s="50"/>
      <c r="MHY6" s="50"/>
      <c r="MHZ6" s="50"/>
      <c r="MIA6" s="50"/>
      <c r="MIB6" s="50"/>
      <c r="MIC6" s="50"/>
      <c r="MID6" s="50"/>
      <c r="MIE6" s="50"/>
      <c r="MIF6" s="50"/>
      <c r="MIG6" s="50"/>
      <c r="MIH6" s="50"/>
      <c r="MII6" s="50"/>
      <c r="MIJ6" s="50"/>
      <c r="MIK6" s="50"/>
      <c r="MIL6" s="50"/>
      <c r="MIM6" s="50"/>
      <c r="MIN6" s="50"/>
      <c r="MIO6" s="50"/>
      <c r="MIP6" s="50"/>
      <c r="MIQ6" s="50"/>
      <c r="MIR6" s="50"/>
      <c r="MIS6" s="50"/>
      <c r="MIT6" s="50"/>
      <c r="MIU6" s="50"/>
      <c r="MIV6" s="50"/>
      <c r="MIW6" s="50"/>
      <c r="MIX6" s="50"/>
      <c r="MIY6" s="50"/>
      <c r="MIZ6" s="50"/>
      <c r="MJA6" s="50"/>
      <c r="MJB6" s="50"/>
      <c r="MJC6" s="50"/>
      <c r="MJD6" s="50"/>
      <c r="MJE6" s="50"/>
      <c r="MJF6" s="50"/>
      <c r="MJG6" s="50"/>
      <c r="MJH6" s="50"/>
      <c r="MJI6" s="50"/>
      <c r="MJJ6" s="50"/>
      <c r="MJK6" s="50"/>
      <c r="MJL6" s="50"/>
      <c r="MJM6" s="50"/>
      <c r="MJN6" s="50"/>
      <c r="MJO6" s="50"/>
      <c r="MJP6" s="50"/>
      <c r="MJQ6" s="50"/>
      <c r="MJR6" s="50"/>
      <c r="MJS6" s="50"/>
      <c r="MJT6" s="50"/>
      <c r="MJU6" s="50"/>
      <c r="MJV6" s="50"/>
      <c r="MJW6" s="50"/>
      <c r="MJX6" s="50"/>
      <c r="MJY6" s="50"/>
      <c r="MJZ6" s="50"/>
      <c r="MKA6" s="50"/>
      <c r="MKB6" s="50"/>
      <c r="MKC6" s="50"/>
      <c r="MKD6" s="50"/>
      <c r="MKE6" s="50"/>
      <c r="MKF6" s="50"/>
      <c r="MKG6" s="50"/>
      <c r="MKH6" s="50"/>
      <c r="MKI6" s="50"/>
      <c r="MKJ6" s="50"/>
      <c r="MKK6" s="50"/>
      <c r="MKL6" s="50"/>
      <c r="MKM6" s="50"/>
      <c r="MKN6" s="50"/>
      <c r="MKO6" s="50"/>
      <c r="MKP6" s="50"/>
      <c r="MKQ6" s="50"/>
      <c r="MKR6" s="50"/>
      <c r="MKS6" s="50"/>
      <c r="MKT6" s="50"/>
      <c r="MKU6" s="50"/>
      <c r="MKV6" s="50"/>
      <c r="MKW6" s="50"/>
      <c r="MKX6" s="50"/>
      <c r="MKY6" s="50"/>
      <c r="MKZ6" s="50"/>
      <c r="MLA6" s="50"/>
      <c r="MLB6" s="50"/>
      <c r="MLC6" s="50"/>
      <c r="MLD6" s="50"/>
      <c r="MLE6" s="50"/>
      <c r="MLF6" s="50"/>
      <c r="MLG6" s="50"/>
      <c r="MLH6" s="50"/>
      <c r="MLI6" s="50"/>
      <c r="MLJ6" s="50"/>
      <c r="MLK6" s="50"/>
      <c r="MLL6" s="50"/>
      <c r="MLM6" s="50"/>
      <c r="MLN6" s="50"/>
      <c r="MLO6" s="50"/>
      <c r="MLP6" s="50"/>
      <c r="MLQ6" s="50"/>
      <c r="MLR6" s="50"/>
      <c r="MLS6" s="50"/>
      <c r="MLT6" s="50"/>
      <c r="MLU6" s="50"/>
      <c r="MLV6" s="50"/>
      <c r="MLW6" s="50"/>
      <c r="MLX6" s="50"/>
      <c r="MLY6" s="50"/>
      <c r="MLZ6" s="50"/>
      <c r="MMA6" s="50"/>
      <c r="MMB6" s="50"/>
      <c r="MMC6" s="50"/>
      <c r="MMD6" s="50"/>
      <c r="MME6" s="50"/>
      <c r="MMF6" s="50"/>
      <c r="MMG6" s="50"/>
      <c r="MMH6" s="50"/>
      <c r="MMI6" s="50"/>
      <c r="MMJ6" s="50"/>
      <c r="MMK6" s="50"/>
      <c r="MML6" s="50"/>
      <c r="MMM6" s="50"/>
      <c r="MMN6" s="50"/>
      <c r="MMO6" s="50"/>
      <c r="MMP6" s="50"/>
      <c r="MMQ6" s="50"/>
      <c r="MMR6" s="50"/>
      <c r="MMS6" s="50"/>
      <c r="MMT6" s="50"/>
      <c r="MMU6" s="50"/>
      <c r="MMV6" s="50"/>
      <c r="MMW6" s="50"/>
      <c r="MMX6" s="50"/>
      <c r="MMY6" s="50"/>
      <c r="MMZ6" s="50"/>
      <c r="MNA6" s="50"/>
      <c r="MNB6" s="50"/>
      <c r="MNC6" s="50"/>
      <c r="MND6" s="50"/>
      <c r="MNE6" s="50"/>
      <c r="MNF6" s="50"/>
      <c r="MNG6" s="50"/>
      <c r="MNH6" s="50"/>
      <c r="MNI6" s="50"/>
      <c r="MNJ6" s="50"/>
      <c r="MNK6" s="50"/>
      <c r="MNL6" s="50"/>
      <c r="MNM6" s="50"/>
      <c r="MNN6" s="50"/>
      <c r="MNO6" s="50"/>
      <c r="MNP6" s="50"/>
      <c r="MNQ6" s="50"/>
      <c r="MNR6" s="50"/>
      <c r="MNS6" s="50"/>
      <c r="MNT6" s="50"/>
      <c r="MNU6" s="50"/>
      <c r="MNV6" s="50"/>
      <c r="MNW6" s="50"/>
      <c r="MNX6" s="50"/>
      <c r="MNY6" s="50"/>
      <c r="MNZ6" s="50"/>
      <c r="MOA6" s="50"/>
      <c r="MOB6" s="50"/>
      <c r="MOC6" s="50"/>
      <c r="MOD6" s="50"/>
      <c r="MOE6" s="50"/>
      <c r="MOF6" s="50"/>
      <c r="MOG6" s="50"/>
      <c r="MOH6" s="50"/>
      <c r="MOI6" s="50"/>
      <c r="MOJ6" s="50"/>
      <c r="MOK6" s="50"/>
      <c r="MOL6" s="50"/>
      <c r="MOM6" s="50"/>
      <c r="MON6" s="50"/>
      <c r="MOO6" s="50"/>
      <c r="MOP6" s="50"/>
      <c r="MOQ6" s="50"/>
      <c r="MOR6" s="50"/>
      <c r="MOS6" s="50"/>
      <c r="MOT6" s="50"/>
      <c r="MOU6" s="50"/>
      <c r="MOV6" s="50"/>
      <c r="MOW6" s="50"/>
      <c r="MOX6" s="50"/>
      <c r="MOY6" s="50"/>
      <c r="MOZ6" s="50"/>
      <c r="MPA6" s="50"/>
      <c r="MPB6" s="50"/>
      <c r="MPC6" s="50"/>
      <c r="MPD6" s="50"/>
      <c r="MPE6" s="50"/>
      <c r="MPF6" s="50"/>
      <c r="MPG6" s="50"/>
      <c r="MPH6" s="50"/>
      <c r="MPI6" s="50"/>
      <c r="MPJ6" s="50"/>
      <c r="MPK6" s="50"/>
      <c r="MPL6" s="50"/>
      <c r="MPM6" s="50"/>
      <c r="MPN6" s="50"/>
      <c r="MPO6" s="50"/>
      <c r="MPP6" s="50"/>
      <c r="MPQ6" s="50"/>
      <c r="MPR6" s="50"/>
      <c r="MPS6" s="50"/>
      <c r="MPT6" s="50"/>
      <c r="MPU6" s="50"/>
      <c r="MPV6" s="50"/>
      <c r="MPW6" s="50"/>
      <c r="MPX6" s="50"/>
      <c r="MPY6" s="50"/>
      <c r="MPZ6" s="50"/>
      <c r="MQA6" s="50"/>
      <c r="MQB6" s="50"/>
      <c r="MQC6" s="50"/>
      <c r="MQD6" s="50"/>
      <c r="MQE6" s="50"/>
      <c r="MQF6" s="50"/>
      <c r="MQG6" s="50"/>
      <c r="MQH6" s="50"/>
      <c r="MQI6" s="50"/>
      <c r="MQJ6" s="50"/>
      <c r="MQK6" s="50"/>
      <c r="MQL6" s="50"/>
      <c r="MQM6" s="50"/>
      <c r="MQN6" s="50"/>
      <c r="MQO6" s="50"/>
      <c r="MQP6" s="50"/>
      <c r="MQQ6" s="50"/>
      <c r="MQR6" s="50"/>
      <c r="MQS6" s="50"/>
      <c r="MQT6" s="50"/>
      <c r="MQU6" s="50"/>
      <c r="MQV6" s="50"/>
      <c r="MQW6" s="50"/>
      <c r="MQX6" s="50"/>
      <c r="MQY6" s="50"/>
      <c r="MQZ6" s="50"/>
      <c r="MRA6" s="50"/>
      <c r="MRB6" s="50"/>
      <c r="MRC6" s="50"/>
      <c r="MRD6" s="50"/>
      <c r="MRE6" s="50"/>
      <c r="MRF6" s="50"/>
      <c r="MRG6" s="50"/>
      <c r="MRH6" s="50"/>
      <c r="MRI6" s="50"/>
      <c r="MRJ6" s="50"/>
      <c r="MRK6" s="50"/>
      <c r="MRL6" s="50"/>
      <c r="MRM6" s="50"/>
      <c r="MRN6" s="50"/>
      <c r="MRO6" s="50"/>
      <c r="MRP6" s="50"/>
      <c r="MRQ6" s="50"/>
      <c r="MRR6" s="50"/>
      <c r="MRS6" s="50"/>
      <c r="MRT6" s="50"/>
      <c r="MRU6" s="50"/>
      <c r="MRV6" s="50"/>
      <c r="MRW6" s="50"/>
      <c r="MRX6" s="50"/>
      <c r="MRY6" s="50"/>
      <c r="MRZ6" s="50"/>
      <c r="MSA6" s="50"/>
      <c r="MSB6" s="50"/>
      <c r="MSC6" s="50"/>
      <c r="MSD6" s="50"/>
      <c r="MSE6" s="50"/>
      <c r="MSF6" s="50"/>
      <c r="MSG6" s="50"/>
      <c r="MSH6" s="50"/>
      <c r="MSI6" s="50"/>
      <c r="MSJ6" s="50"/>
      <c r="MSK6" s="50"/>
      <c r="MSL6" s="50"/>
      <c r="MSM6" s="50"/>
      <c r="MSN6" s="50"/>
      <c r="MSO6" s="50"/>
      <c r="MSP6" s="50"/>
      <c r="MSQ6" s="50"/>
      <c r="MSR6" s="50"/>
      <c r="MSS6" s="50"/>
      <c r="MST6" s="50"/>
      <c r="MSU6" s="50"/>
      <c r="MSV6" s="50"/>
      <c r="MSW6" s="50"/>
      <c r="MSX6" s="50"/>
      <c r="MSY6" s="50"/>
      <c r="MSZ6" s="50"/>
      <c r="MTA6" s="50"/>
      <c r="MTB6" s="50"/>
      <c r="MTC6" s="50"/>
      <c r="MTD6" s="50"/>
      <c r="MTE6" s="50"/>
      <c r="MTF6" s="50"/>
      <c r="MTG6" s="50"/>
      <c r="MTH6" s="50"/>
      <c r="MTI6" s="50"/>
      <c r="MTJ6" s="50"/>
      <c r="MTK6" s="50"/>
      <c r="MTL6" s="50"/>
      <c r="MTM6" s="50"/>
      <c r="MTN6" s="50"/>
      <c r="MTO6" s="50"/>
      <c r="MTP6" s="50"/>
      <c r="MTQ6" s="50"/>
      <c r="MTR6" s="50"/>
      <c r="MTS6" s="50"/>
      <c r="MTT6" s="50"/>
      <c r="MTU6" s="50"/>
      <c r="MTV6" s="50"/>
      <c r="MTW6" s="50"/>
      <c r="MTX6" s="50"/>
      <c r="MTY6" s="50"/>
      <c r="MTZ6" s="50"/>
      <c r="MUA6" s="50"/>
      <c r="MUB6" s="50"/>
      <c r="MUC6" s="50"/>
      <c r="MUD6" s="50"/>
      <c r="MUE6" s="50"/>
      <c r="MUF6" s="50"/>
      <c r="MUG6" s="50"/>
      <c r="MUH6" s="50"/>
      <c r="MUI6" s="50"/>
      <c r="MUJ6" s="50"/>
      <c r="MUK6" s="50"/>
      <c r="MUL6" s="50"/>
      <c r="MUM6" s="50"/>
      <c r="MUN6" s="50"/>
      <c r="MUO6" s="50"/>
      <c r="MUP6" s="50"/>
      <c r="MUQ6" s="50"/>
      <c r="MUR6" s="50"/>
      <c r="MUS6" s="50"/>
      <c r="MUT6" s="50"/>
      <c r="MUU6" s="50"/>
      <c r="MUV6" s="50"/>
      <c r="MUW6" s="50"/>
      <c r="MUX6" s="50"/>
      <c r="MUY6" s="50"/>
      <c r="MUZ6" s="50"/>
      <c r="MVA6" s="50"/>
      <c r="MVB6" s="50"/>
      <c r="MVC6" s="50"/>
      <c r="MVD6" s="50"/>
      <c r="MVE6" s="50"/>
      <c r="MVF6" s="50"/>
      <c r="MVG6" s="50"/>
      <c r="MVH6" s="50"/>
      <c r="MVI6" s="50"/>
      <c r="MVJ6" s="50"/>
      <c r="MVK6" s="50"/>
      <c r="MVL6" s="50"/>
      <c r="MVM6" s="50"/>
      <c r="MVN6" s="50"/>
      <c r="MVO6" s="50"/>
      <c r="MVP6" s="50"/>
      <c r="MVQ6" s="50"/>
      <c r="MVR6" s="50"/>
      <c r="MVS6" s="50"/>
      <c r="MVT6" s="50"/>
      <c r="MVU6" s="50"/>
      <c r="MVV6" s="50"/>
      <c r="MVW6" s="50"/>
      <c r="MVX6" s="50"/>
      <c r="MVY6" s="50"/>
      <c r="MVZ6" s="50"/>
      <c r="MWA6" s="50"/>
      <c r="MWB6" s="50"/>
      <c r="MWC6" s="50"/>
      <c r="MWD6" s="50"/>
      <c r="MWE6" s="50"/>
      <c r="MWF6" s="50"/>
      <c r="MWG6" s="50"/>
      <c r="MWH6" s="50"/>
      <c r="MWI6" s="50"/>
      <c r="MWJ6" s="50"/>
      <c r="MWK6" s="50"/>
      <c r="MWL6" s="50"/>
      <c r="MWM6" s="50"/>
      <c r="MWN6" s="50"/>
      <c r="MWO6" s="50"/>
      <c r="MWP6" s="50"/>
      <c r="MWQ6" s="50"/>
      <c r="MWR6" s="50"/>
      <c r="MWS6" s="50"/>
      <c r="MWT6" s="50"/>
      <c r="MWU6" s="50"/>
      <c r="MWV6" s="50"/>
      <c r="MWW6" s="50"/>
      <c r="MWX6" s="50"/>
      <c r="MWY6" s="50"/>
      <c r="MWZ6" s="50"/>
      <c r="MXA6" s="50"/>
      <c r="MXB6" s="50"/>
      <c r="MXC6" s="50"/>
      <c r="MXD6" s="50"/>
      <c r="MXE6" s="50"/>
      <c r="MXF6" s="50"/>
      <c r="MXG6" s="50"/>
      <c r="MXH6" s="50"/>
      <c r="MXI6" s="50"/>
      <c r="MXJ6" s="50"/>
      <c r="MXK6" s="50"/>
      <c r="MXL6" s="50"/>
      <c r="MXM6" s="50"/>
      <c r="MXN6" s="50"/>
      <c r="MXO6" s="50"/>
      <c r="MXP6" s="50"/>
      <c r="MXQ6" s="50"/>
      <c r="MXR6" s="50"/>
      <c r="MXS6" s="50"/>
      <c r="MXT6" s="50"/>
      <c r="MXU6" s="50"/>
      <c r="MXV6" s="50"/>
      <c r="MXW6" s="50"/>
      <c r="MXX6" s="50"/>
      <c r="MXY6" s="50"/>
      <c r="MXZ6" s="50"/>
      <c r="MYA6" s="50"/>
      <c r="MYB6" s="50"/>
      <c r="MYC6" s="50"/>
      <c r="MYD6" s="50"/>
      <c r="MYE6" s="50"/>
      <c r="MYF6" s="50"/>
      <c r="MYG6" s="50"/>
      <c r="MYH6" s="50"/>
      <c r="MYI6" s="50"/>
      <c r="MYJ6" s="50"/>
      <c r="MYK6" s="50"/>
      <c r="MYL6" s="50"/>
      <c r="MYM6" s="50"/>
      <c r="MYN6" s="50"/>
      <c r="MYO6" s="50"/>
      <c r="MYP6" s="50"/>
      <c r="MYQ6" s="50"/>
      <c r="MYR6" s="50"/>
      <c r="MYS6" s="50"/>
      <c r="MYT6" s="50"/>
      <c r="MYU6" s="50"/>
      <c r="MYV6" s="50"/>
      <c r="MYW6" s="50"/>
      <c r="MYX6" s="50"/>
      <c r="MYY6" s="50"/>
      <c r="MYZ6" s="50"/>
      <c r="MZA6" s="50"/>
      <c r="MZB6" s="50"/>
      <c r="MZC6" s="50"/>
      <c r="MZD6" s="50"/>
      <c r="MZE6" s="50"/>
      <c r="MZF6" s="50"/>
      <c r="MZG6" s="50"/>
      <c r="MZH6" s="50"/>
      <c r="MZI6" s="50"/>
      <c r="MZJ6" s="50"/>
      <c r="MZK6" s="50"/>
      <c r="MZL6" s="50"/>
      <c r="MZM6" s="50"/>
      <c r="MZN6" s="50"/>
      <c r="MZO6" s="50"/>
      <c r="MZP6" s="50"/>
      <c r="MZQ6" s="50"/>
      <c r="MZR6" s="50"/>
      <c r="MZS6" s="50"/>
      <c r="MZT6" s="50"/>
      <c r="MZU6" s="50"/>
      <c r="MZV6" s="50"/>
      <c r="MZW6" s="50"/>
      <c r="MZX6" s="50"/>
      <c r="MZY6" s="50"/>
      <c r="MZZ6" s="50"/>
      <c r="NAA6" s="50"/>
      <c r="NAB6" s="50"/>
      <c r="NAC6" s="50"/>
      <c r="NAD6" s="50"/>
      <c r="NAE6" s="50"/>
      <c r="NAF6" s="50"/>
      <c r="NAG6" s="50"/>
      <c r="NAH6" s="50"/>
      <c r="NAI6" s="50"/>
      <c r="NAJ6" s="50"/>
      <c r="NAK6" s="50"/>
      <c r="NAL6" s="50"/>
      <c r="NAM6" s="50"/>
      <c r="NAN6" s="50"/>
      <c r="NAO6" s="50"/>
      <c r="NAP6" s="50"/>
      <c r="NAQ6" s="50"/>
      <c r="NAR6" s="50"/>
      <c r="NAS6" s="50"/>
      <c r="NAT6" s="50"/>
      <c r="NAU6" s="50"/>
      <c r="NAV6" s="50"/>
      <c r="NAW6" s="50"/>
      <c r="NAX6" s="50"/>
      <c r="NAY6" s="50"/>
      <c r="NAZ6" s="50"/>
      <c r="NBA6" s="50"/>
      <c r="NBB6" s="50"/>
      <c r="NBC6" s="50"/>
      <c r="NBD6" s="50"/>
      <c r="NBE6" s="50"/>
      <c r="NBF6" s="50"/>
      <c r="NBG6" s="50"/>
      <c r="NBH6" s="50"/>
      <c r="NBI6" s="50"/>
      <c r="NBJ6" s="50"/>
      <c r="NBK6" s="50"/>
      <c r="NBL6" s="50"/>
      <c r="NBM6" s="50"/>
      <c r="NBN6" s="50"/>
      <c r="NBO6" s="50"/>
      <c r="NBP6" s="50"/>
      <c r="NBQ6" s="50"/>
      <c r="NBR6" s="50"/>
      <c r="NBS6" s="50"/>
      <c r="NBT6" s="50"/>
      <c r="NBU6" s="50"/>
      <c r="NBV6" s="50"/>
      <c r="NBW6" s="50"/>
      <c r="NBX6" s="50"/>
      <c r="NBY6" s="50"/>
      <c r="NBZ6" s="50"/>
      <c r="NCA6" s="50"/>
      <c r="NCB6" s="50"/>
      <c r="NCC6" s="50"/>
      <c r="NCD6" s="50"/>
      <c r="NCE6" s="50"/>
      <c r="NCF6" s="50"/>
      <c r="NCG6" s="50"/>
      <c r="NCH6" s="50"/>
      <c r="NCI6" s="50"/>
      <c r="NCJ6" s="50"/>
      <c r="NCK6" s="50"/>
      <c r="NCL6" s="50"/>
      <c r="NCM6" s="50"/>
      <c r="NCN6" s="50"/>
      <c r="NCO6" s="50"/>
      <c r="NCP6" s="50"/>
      <c r="NCQ6" s="50"/>
      <c r="NCR6" s="50"/>
      <c r="NCS6" s="50"/>
      <c r="NCT6" s="50"/>
      <c r="NCU6" s="50"/>
      <c r="NCV6" s="50"/>
      <c r="NCW6" s="50"/>
      <c r="NCX6" s="50"/>
      <c r="NCY6" s="50"/>
      <c r="NCZ6" s="50"/>
      <c r="NDA6" s="50"/>
      <c r="NDB6" s="50"/>
      <c r="NDC6" s="50"/>
      <c r="NDD6" s="50"/>
      <c r="NDE6" s="50"/>
      <c r="NDF6" s="50"/>
      <c r="NDG6" s="50"/>
      <c r="NDH6" s="50"/>
      <c r="NDI6" s="50"/>
      <c r="NDJ6" s="50"/>
      <c r="NDK6" s="50"/>
      <c r="NDL6" s="50"/>
      <c r="NDM6" s="50"/>
      <c r="NDN6" s="50"/>
      <c r="NDO6" s="50"/>
      <c r="NDP6" s="50"/>
      <c r="NDQ6" s="50"/>
      <c r="NDR6" s="50"/>
      <c r="NDS6" s="50"/>
      <c r="NDT6" s="50"/>
      <c r="NDU6" s="50"/>
      <c r="NDV6" s="50"/>
      <c r="NDW6" s="50"/>
      <c r="NDX6" s="50"/>
      <c r="NDY6" s="50"/>
      <c r="NDZ6" s="50"/>
      <c r="NEA6" s="50"/>
      <c r="NEB6" s="50"/>
      <c r="NEC6" s="50"/>
      <c r="NED6" s="50"/>
      <c r="NEE6" s="50"/>
      <c r="NEF6" s="50"/>
      <c r="NEG6" s="50"/>
      <c r="NEH6" s="50"/>
      <c r="NEI6" s="50"/>
      <c r="NEJ6" s="50"/>
      <c r="NEK6" s="50"/>
      <c r="NEL6" s="50"/>
      <c r="NEM6" s="50"/>
      <c r="NEN6" s="50"/>
      <c r="NEO6" s="50"/>
      <c r="NEP6" s="50"/>
      <c r="NEQ6" s="50"/>
      <c r="NER6" s="50"/>
      <c r="NES6" s="50"/>
      <c r="NET6" s="50"/>
      <c r="NEU6" s="50"/>
      <c r="NEV6" s="50"/>
      <c r="NEW6" s="50"/>
      <c r="NEX6" s="50"/>
      <c r="NEY6" s="50"/>
      <c r="NEZ6" s="50"/>
      <c r="NFA6" s="50"/>
      <c r="NFB6" s="50"/>
      <c r="NFC6" s="50"/>
      <c r="NFD6" s="50"/>
      <c r="NFE6" s="50"/>
      <c r="NFF6" s="50"/>
      <c r="NFG6" s="50"/>
      <c r="NFH6" s="50"/>
      <c r="NFI6" s="50"/>
      <c r="NFJ6" s="50"/>
      <c r="NFK6" s="50"/>
      <c r="NFL6" s="50"/>
      <c r="NFM6" s="50"/>
      <c r="NFN6" s="50"/>
      <c r="NFO6" s="50"/>
      <c r="NFP6" s="50"/>
      <c r="NFQ6" s="50"/>
      <c r="NFR6" s="50"/>
      <c r="NFS6" s="50"/>
      <c r="NFT6" s="50"/>
      <c r="NFU6" s="50"/>
      <c r="NFV6" s="50"/>
      <c r="NFW6" s="50"/>
      <c r="NFX6" s="50"/>
      <c r="NFY6" s="50"/>
      <c r="NFZ6" s="50"/>
      <c r="NGA6" s="50"/>
      <c r="NGB6" s="50"/>
      <c r="NGC6" s="50"/>
      <c r="NGD6" s="50"/>
      <c r="NGE6" s="50"/>
      <c r="NGF6" s="50"/>
      <c r="NGG6" s="50"/>
      <c r="NGH6" s="50"/>
      <c r="NGI6" s="50"/>
      <c r="NGJ6" s="50"/>
      <c r="NGK6" s="50"/>
      <c r="NGL6" s="50"/>
      <c r="NGM6" s="50"/>
      <c r="NGN6" s="50"/>
      <c r="NGO6" s="50"/>
      <c r="NGP6" s="50"/>
      <c r="NGQ6" s="50"/>
      <c r="NGR6" s="50"/>
      <c r="NGS6" s="50"/>
      <c r="NGT6" s="50"/>
      <c r="NGU6" s="50"/>
      <c r="NGV6" s="50"/>
      <c r="NGW6" s="50"/>
      <c r="NGX6" s="50"/>
      <c r="NGY6" s="50"/>
      <c r="NGZ6" s="50"/>
      <c r="NHA6" s="50"/>
      <c r="NHB6" s="50"/>
      <c r="NHC6" s="50"/>
      <c r="NHD6" s="50"/>
      <c r="NHE6" s="50"/>
      <c r="NHF6" s="50"/>
      <c r="NHG6" s="50"/>
      <c r="NHH6" s="50"/>
      <c r="NHI6" s="50"/>
      <c r="NHJ6" s="50"/>
      <c r="NHK6" s="50"/>
      <c r="NHL6" s="50"/>
      <c r="NHM6" s="50"/>
      <c r="NHN6" s="50"/>
      <c r="NHO6" s="50"/>
      <c r="NHP6" s="50"/>
      <c r="NHQ6" s="50"/>
      <c r="NHR6" s="50"/>
      <c r="NHS6" s="50"/>
      <c r="NHT6" s="50"/>
      <c r="NHU6" s="50"/>
      <c r="NHV6" s="50"/>
      <c r="NHW6" s="50"/>
      <c r="NHX6" s="50"/>
      <c r="NHY6" s="50"/>
      <c r="NHZ6" s="50"/>
      <c r="NIA6" s="50"/>
      <c r="NIB6" s="50"/>
      <c r="NIC6" s="50"/>
      <c r="NID6" s="50"/>
      <c r="NIE6" s="50"/>
      <c r="NIF6" s="50"/>
      <c r="NIG6" s="50"/>
      <c r="NIH6" s="50"/>
      <c r="NII6" s="50"/>
      <c r="NIJ6" s="50"/>
      <c r="NIK6" s="50"/>
      <c r="NIL6" s="50"/>
      <c r="NIM6" s="50"/>
      <c r="NIN6" s="50"/>
      <c r="NIO6" s="50"/>
      <c r="NIP6" s="50"/>
      <c r="NIQ6" s="50"/>
      <c r="NIR6" s="50"/>
      <c r="NIS6" s="50"/>
      <c r="NIT6" s="50"/>
      <c r="NIU6" s="50"/>
      <c r="NIV6" s="50"/>
      <c r="NIW6" s="50"/>
      <c r="NIX6" s="50"/>
      <c r="NIY6" s="50"/>
      <c r="NIZ6" s="50"/>
      <c r="NJA6" s="50"/>
      <c r="NJB6" s="50"/>
      <c r="NJC6" s="50"/>
      <c r="NJD6" s="50"/>
      <c r="NJE6" s="50"/>
      <c r="NJF6" s="50"/>
      <c r="NJG6" s="50"/>
      <c r="NJH6" s="50"/>
      <c r="NJI6" s="50"/>
      <c r="NJJ6" s="50"/>
      <c r="NJK6" s="50"/>
      <c r="NJL6" s="50"/>
      <c r="NJM6" s="50"/>
      <c r="NJN6" s="50"/>
      <c r="NJO6" s="50"/>
      <c r="NJP6" s="50"/>
      <c r="NJQ6" s="50"/>
      <c r="NJR6" s="50"/>
      <c r="NJS6" s="50"/>
      <c r="NJT6" s="50"/>
      <c r="NJU6" s="50"/>
      <c r="NJV6" s="50"/>
      <c r="NJW6" s="50"/>
      <c r="NJX6" s="50"/>
      <c r="NJY6" s="50"/>
      <c r="NJZ6" s="50"/>
      <c r="NKA6" s="50"/>
      <c r="NKB6" s="50"/>
      <c r="NKC6" s="50"/>
      <c r="NKD6" s="50"/>
      <c r="NKE6" s="50"/>
      <c r="NKF6" s="50"/>
      <c r="NKG6" s="50"/>
      <c r="NKH6" s="50"/>
      <c r="NKI6" s="50"/>
      <c r="NKJ6" s="50"/>
      <c r="NKK6" s="50"/>
      <c r="NKL6" s="50"/>
      <c r="NKM6" s="50"/>
      <c r="NKN6" s="50"/>
      <c r="NKO6" s="50"/>
      <c r="NKP6" s="50"/>
      <c r="NKQ6" s="50"/>
      <c r="NKR6" s="50"/>
      <c r="NKS6" s="50"/>
      <c r="NKT6" s="50"/>
      <c r="NKU6" s="50"/>
      <c r="NKV6" s="50"/>
      <c r="NKW6" s="50"/>
      <c r="NKX6" s="50"/>
      <c r="NKY6" s="50"/>
      <c r="NKZ6" s="50"/>
      <c r="NLA6" s="50"/>
      <c r="NLB6" s="50"/>
      <c r="NLC6" s="50"/>
      <c r="NLD6" s="50"/>
      <c r="NLE6" s="50"/>
      <c r="NLF6" s="50"/>
      <c r="NLG6" s="50"/>
      <c r="NLH6" s="50"/>
      <c r="NLI6" s="50"/>
      <c r="NLJ6" s="50"/>
      <c r="NLK6" s="50"/>
      <c r="NLL6" s="50"/>
      <c r="NLM6" s="50"/>
      <c r="NLN6" s="50"/>
      <c r="NLO6" s="50"/>
      <c r="NLP6" s="50"/>
      <c r="NLQ6" s="50"/>
      <c r="NLR6" s="50"/>
      <c r="NLS6" s="50"/>
      <c r="NLT6" s="50"/>
      <c r="NLU6" s="50"/>
      <c r="NLV6" s="50"/>
      <c r="NLW6" s="50"/>
      <c r="NLX6" s="50"/>
      <c r="NLY6" s="50"/>
      <c r="NLZ6" s="50"/>
      <c r="NMA6" s="50"/>
      <c r="NMB6" s="50"/>
      <c r="NMC6" s="50"/>
      <c r="NMD6" s="50"/>
      <c r="NME6" s="50"/>
      <c r="NMF6" s="50"/>
      <c r="NMG6" s="50"/>
      <c r="NMH6" s="50"/>
      <c r="NMI6" s="50"/>
      <c r="NMJ6" s="50"/>
      <c r="NMK6" s="50"/>
      <c r="NML6" s="50"/>
      <c r="NMM6" s="50"/>
      <c r="NMN6" s="50"/>
      <c r="NMO6" s="50"/>
      <c r="NMP6" s="50"/>
      <c r="NMQ6" s="50"/>
      <c r="NMR6" s="50"/>
      <c r="NMS6" s="50"/>
      <c r="NMT6" s="50"/>
      <c r="NMU6" s="50"/>
      <c r="NMV6" s="50"/>
      <c r="NMW6" s="50"/>
      <c r="NMX6" s="50"/>
      <c r="NMY6" s="50"/>
      <c r="NMZ6" s="50"/>
      <c r="NNA6" s="50"/>
      <c r="NNB6" s="50"/>
      <c r="NNC6" s="50"/>
      <c r="NND6" s="50"/>
      <c r="NNE6" s="50"/>
      <c r="NNF6" s="50"/>
      <c r="NNG6" s="50"/>
      <c r="NNH6" s="50"/>
      <c r="NNI6" s="50"/>
      <c r="NNJ6" s="50"/>
      <c r="NNK6" s="50"/>
      <c r="NNL6" s="50"/>
      <c r="NNM6" s="50"/>
      <c r="NNN6" s="50"/>
      <c r="NNO6" s="50"/>
      <c r="NNP6" s="50"/>
      <c r="NNQ6" s="50"/>
      <c r="NNR6" s="50"/>
      <c r="NNS6" s="50"/>
      <c r="NNT6" s="50"/>
      <c r="NNU6" s="50"/>
      <c r="NNV6" s="50"/>
      <c r="NNW6" s="50"/>
      <c r="NNX6" s="50"/>
      <c r="NNY6" s="50"/>
      <c r="NNZ6" s="50"/>
      <c r="NOA6" s="50"/>
      <c r="NOB6" s="50"/>
      <c r="NOC6" s="50"/>
      <c r="NOD6" s="50"/>
      <c r="NOE6" s="50"/>
      <c r="NOF6" s="50"/>
      <c r="NOG6" s="50"/>
      <c r="NOH6" s="50"/>
      <c r="NOI6" s="50"/>
      <c r="NOJ6" s="50"/>
      <c r="NOK6" s="50"/>
      <c r="NOL6" s="50"/>
      <c r="NOM6" s="50"/>
      <c r="NON6" s="50"/>
      <c r="NOO6" s="50"/>
      <c r="NOP6" s="50"/>
      <c r="NOQ6" s="50"/>
      <c r="NOR6" s="50"/>
      <c r="NOS6" s="50"/>
      <c r="NOT6" s="50"/>
      <c r="NOU6" s="50"/>
      <c r="NOV6" s="50"/>
      <c r="NOW6" s="50"/>
      <c r="NOX6" s="50"/>
      <c r="NOY6" s="50"/>
      <c r="NOZ6" s="50"/>
      <c r="NPA6" s="50"/>
      <c r="NPB6" s="50"/>
      <c r="NPC6" s="50"/>
      <c r="NPD6" s="50"/>
      <c r="NPE6" s="50"/>
      <c r="NPF6" s="50"/>
      <c r="NPG6" s="50"/>
      <c r="NPH6" s="50"/>
      <c r="NPI6" s="50"/>
      <c r="NPJ6" s="50"/>
      <c r="NPK6" s="50"/>
      <c r="NPL6" s="50"/>
      <c r="NPM6" s="50"/>
      <c r="NPN6" s="50"/>
      <c r="NPO6" s="50"/>
      <c r="NPP6" s="50"/>
      <c r="NPQ6" s="50"/>
      <c r="NPR6" s="50"/>
      <c r="NPS6" s="50"/>
      <c r="NPT6" s="50"/>
      <c r="NPU6" s="50"/>
      <c r="NPV6" s="50"/>
      <c r="NPW6" s="50"/>
      <c r="NPX6" s="50"/>
      <c r="NPY6" s="50"/>
      <c r="NPZ6" s="50"/>
      <c r="NQA6" s="50"/>
      <c r="NQB6" s="50"/>
      <c r="NQC6" s="50"/>
      <c r="NQD6" s="50"/>
      <c r="NQE6" s="50"/>
      <c r="NQF6" s="50"/>
      <c r="NQG6" s="50"/>
      <c r="NQH6" s="50"/>
      <c r="NQI6" s="50"/>
      <c r="NQJ6" s="50"/>
      <c r="NQK6" s="50"/>
      <c r="NQL6" s="50"/>
      <c r="NQM6" s="50"/>
      <c r="NQN6" s="50"/>
      <c r="NQO6" s="50"/>
      <c r="NQP6" s="50"/>
      <c r="NQQ6" s="50"/>
      <c r="NQR6" s="50"/>
      <c r="NQS6" s="50"/>
      <c r="NQT6" s="50"/>
      <c r="NQU6" s="50"/>
      <c r="NQV6" s="50"/>
      <c r="NQW6" s="50"/>
      <c r="NQX6" s="50"/>
      <c r="NQY6" s="50"/>
      <c r="NQZ6" s="50"/>
      <c r="NRA6" s="50"/>
      <c r="NRB6" s="50"/>
      <c r="NRC6" s="50"/>
      <c r="NRD6" s="50"/>
      <c r="NRE6" s="50"/>
      <c r="NRF6" s="50"/>
      <c r="NRG6" s="50"/>
      <c r="NRH6" s="50"/>
      <c r="NRI6" s="50"/>
      <c r="NRJ6" s="50"/>
      <c r="NRK6" s="50"/>
      <c r="NRL6" s="50"/>
      <c r="NRM6" s="50"/>
      <c r="NRN6" s="50"/>
      <c r="NRO6" s="50"/>
      <c r="NRP6" s="50"/>
      <c r="NRQ6" s="50"/>
      <c r="NRR6" s="50"/>
      <c r="NRS6" s="50"/>
      <c r="NRT6" s="50"/>
      <c r="NRU6" s="50"/>
      <c r="NRV6" s="50"/>
      <c r="NRW6" s="50"/>
      <c r="NRX6" s="50"/>
      <c r="NRY6" s="50"/>
      <c r="NRZ6" s="50"/>
      <c r="NSA6" s="50"/>
      <c r="NSB6" s="50"/>
      <c r="NSC6" s="50"/>
      <c r="NSD6" s="50"/>
      <c r="NSE6" s="50"/>
      <c r="NSF6" s="50"/>
      <c r="NSG6" s="50"/>
      <c r="NSH6" s="50"/>
      <c r="NSI6" s="50"/>
      <c r="NSJ6" s="50"/>
      <c r="NSK6" s="50"/>
      <c r="NSL6" s="50"/>
      <c r="NSM6" s="50"/>
      <c r="NSN6" s="50"/>
      <c r="NSO6" s="50"/>
      <c r="NSP6" s="50"/>
      <c r="NSQ6" s="50"/>
      <c r="NSR6" s="50"/>
      <c r="NSS6" s="50"/>
      <c r="NST6" s="50"/>
      <c r="NSU6" s="50"/>
      <c r="NSV6" s="50"/>
      <c r="NSW6" s="50"/>
      <c r="NSX6" s="50"/>
      <c r="NSY6" s="50"/>
      <c r="NSZ6" s="50"/>
      <c r="NTA6" s="50"/>
      <c r="NTB6" s="50"/>
      <c r="NTC6" s="50"/>
      <c r="NTD6" s="50"/>
      <c r="NTE6" s="50"/>
      <c r="NTF6" s="50"/>
      <c r="NTG6" s="50"/>
      <c r="NTH6" s="50"/>
      <c r="NTI6" s="50"/>
      <c r="NTJ6" s="50"/>
      <c r="NTK6" s="50"/>
      <c r="NTL6" s="50"/>
      <c r="NTM6" s="50"/>
      <c r="NTN6" s="50"/>
      <c r="NTO6" s="50"/>
      <c r="NTP6" s="50"/>
      <c r="NTQ6" s="50"/>
      <c r="NTR6" s="50"/>
      <c r="NTS6" s="50"/>
      <c r="NTT6" s="50"/>
      <c r="NTU6" s="50"/>
      <c r="NTV6" s="50"/>
      <c r="NTW6" s="50"/>
      <c r="NTX6" s="50"/>
      <c r="NTY6" s="50"/>
      <c r="NTZ6" s="50"/>
      <c r="NUA6" s="50"/>
      <c r="NUB6" s="50"/>
      <c r="NUC6" s="50"/>
      <c r="NUD6" s="50"/>
      <c r="NUE6" s="50"/>
      <c r="NUF6" s="50"/>
      <c r="NUG6" s="50"/>
      <c r="NUH6" s="50"/>
      <c r="NUI6" s="50"/>
      <c r="NUJ6" s="50"/>
      <c r="NUK6" s="50"/>
      <c r="NUL6" s="50"/>
      <c r="NUM6" s="50"/>
      <c r="NUN6" s="50"/>
      <c r="NUO6" s="50"/>
      <c r="NUP6" s="50"/>
      <c r="NUQ6" s="50"/>
      <c r="NUR6" s="50"/>
      <c r="NUS6" s="50"/>
      <c r="NUT6" s="50"/>
      <c r="NUU6" s="50"/>
      <c r="NUV6" s="50"/>
      <c r="NUW6" s="50"/>
      <c r="NUX6" s="50"/>
      <c r="NUY6" s="50"/>
      <c r="NUZ6" s="50"/>
      <c r="NVA6" s="50"/>
      <c r="NVB6" s="50"/>
      <c r="NVC6" s="50"/>
      <c r="NVD6" s="50"/>
      <c r="NVE6" s="50"/>
      <c r="NVF6" s="50"/>
      <c r="NVG6" s="50"/>
      <c r="NVH6" s="50"/>
      <c r="NVI6" s="50"/>
      <c r="NVJ6" s="50"/>
      <c r="NVK6" s="50"/>
      <c r="NVL6" s="50"/>
      <c r="NVM6" s="50"/>
      <c r="NVN6" s="50"/>
      <c r="NVO6" s="50"/>
      <c r="NVP6" s="50"/>
      <c r="NVQ6" s="50"/>
      <c r="NVR6" s="50"/>
      <c r="NVS6" s="50"/>
      <c r="NVT6" s="50"/>
      <c r="NVU6" s="50"/>
      <c r="NVV6" s="50"/>
      <c r="NVW6" s="50"/>
      <c r="NVX6" s="50"/>
      <c r="NVY6" s="50"/>
      <c r="NVZ6" s="50"/>
      <c r="NWA6" s="50"/>
      <c r="NWB6" s="50"/>
      <c r="NWC6" s="50"/>
      <c r="NWD6" s="50"/>
      <c r="NWE6" s="50"/>
      <c r="NWF6" s="50"/>
      <c r="NWG6" s="50"/>
      <c r="NWH6" s="50"/>
      <c r="NWI6" s="50"/>
      <c r="NWJ6" s="50"/>
      <c r="NWK6" s="50"/>
      <c r="NWL6" s="50"/>
      <c r="NWM6" s="50"/>
      <c r="NWN6" s="50"/>
      <c r="NWO6" s="50"/>
      <c r="NWP6" s="50"/>
      <c r="NWQ6" s="50"/>
      <c r="NWR6" s="50"/>
      <c r="NWS6" s="50"/>
      <c r="NWT6" s="50"/>
      <c r="NWU6" s="50"/>
      <c r="NWV6" s="50"/>
      <c r="NWW6" s="50"/>
      <c r="NWX6" s="50"/>
      <c r="NWY6" s="50"/>
      <c r="NWZ6" s="50"/>
      <c r="NXA6" s="50"/>
      <c r="NXB6" s="50"/>
      <c r="NXC6" s="50"/>
      <c r="NXD6" s="50"/>
      <c r="NXE6" s="50"/>
      <c r="NXF6" s="50"/>
      <c r="NXG6" s="50"/>
      <c r="NXH6" s="50"/>
      <c r="NXI6" s="50"/>
      <c r="NXJ6" s="50"/>
      <c r="NXK6" s="50"/>
      <c r="NXL6" s="50"/>
      <c r="NXM6" s="50"/>
      <c r="NXN6" s="50"/>
      <c r="NXO6" s="50"/>
      <c r="NXP6" s="50"/>
      <c r="NXQ6" s="50"/>
      <c r="NXR6" s="50"/>
      <c r="NXS6" s="50"/>
      <c r="NXT6" s="50"/>
      <c r="NXU6" s="50"/>
      <c r="NXV6" s="50"/>
      <c r="NXW6" s="50"/>
      <c r="NXX6" s="50"/>
      <c r="NXY6" s="50"/>
      <c r="NXZ6" s="50"/>
      <c r="NYA6" s="50"/>
      <c r="NYB6" s="50"/>
      <c r="NYC6" s="50"/>
      <c r="NYD6" s="50"/>
      <c r="NYE6" s="50"/>
      <c r="NYF6" s="50"/>
      <c r="NYG6" s="50"/>
      <c r="NYH6" s="50"/>
      <c r="NYI6" s="50"/>
      <c r="NYJ6" s="50"/>
      <c r="NYK6" s="50"/>
      <c r="NYL6" s="50"/>
      <c r="NYM6" s="50"/>
      <c r="NYN6" s="50"/>
      <c r="NYO6" s="50"/>
      <c r="NYP6" s="50"/>
      <c r="NYQ6" s="50"/>
      <c r="NYR6" s="50"/>
      <c r="NYS6" s="50"/>
      <c r="NYT6" s="50"/>
      <c r="NYU6" s="50"/>
      <c r="NYV6" s="50"/>
      <c r="NYW6" s="50"/>
      <c r="NYX6" s="50"/>
      <c r="NYY6" s="50"/>
      <c r="NYZ6" s="50"/>
      <c r="NZA6" s="50"/>
      <c r="NZB6" s="50"/>
      <c r="NZC6" s="50"/>
      <c r="NZD6" s="50"/>
      <c r="NZE6" s="50"/>
      <c r="NZF6" s="50"/>
      <c r="NZG6" s="50"/>
      <c r="NZH6" s="50"/>
      <c r="NZI6" s="50"/>
      <c r="NZJ6" s="50"/>
      <c r="NZK6" s="50"/>
      <c r="NZL6" s="50"/>
      <c r="NZM6" s="50"/>
      <c r="NZN6" s="50"/>
      <c r="NZO6" s="50"/>
      <c r="NZP6" s="50"/>
      <c r="NZQ6" s="50"/>
      <c r="NZR6" s="50"/>
      <c r="NZS6" s="50"/>
      <c r="NZT6" s="50"/>
      <c r="NZU6" s="50"/>
      <c r="NZV6" s="50"/>
      <c r="NZW6" s="50"/>
      <c r="NZX6" s="50"/>
      <c r="NZY6" s="50"/>
      <c r="NZZ6" s="50"/>
      <c r="OAA6" s="50"/>
      <c r="OAB6" s="50"/>
      <c r="OAC6" s="50"/>
      <c r="OAD6" s="50"/>
      <c r="OAE6" s="50"/>
      <c r="OAF6" s="50"/>
      <c r="OAG6" s="50"/>
      <c r="OAH6" s="50"/>
      <c r="OAI6" s="50"/>
      <c r="OAJ6" s="50"/>
      <c r="OAK6" s="50"/>
      <c r="OAL6" s="50"/>
      <c r="OAM6" s="50"/>
      <c r="OAN6" s="50"/>
      <c r="OAO6" s="50"/>
      <c r="OAP6" s="50"/>
      <c r="OAQ6" s="50"/>
      <c r="OAR6" s="50"/>
      <c r="OAS6" s="50"/>
      <c r="OAT6" s="50"/>
      <c r="OAU6" s="50"/>
      <c r="OAV6" s="50"/>
      <c r="OAW6" s="50"/>
      <c r="OAX6" s="50"/>
      <c r="OAY6" s="50"/>
      <c r="OAZ6" s="50"/>
      <c r="OBA6" s="50"/>
      <c r="OBB6" s="50"/>
      <c r="OBC6" s="50"/>
      <c r="OBD6" s="50"/>
      <c r="OBE6" s="50"/>
      <c r="OBF6" s="50"/>
      <c r="OBG6" s="50"/>
      <c r="OBH6" s="50"/>
      <c r="OBI6" s="50"/>
      <c r="OBJ6" s="50"/>
      <c r="OBK6" s="50"/>
      <c r="OBL6" s="50"/>
      <c r="OBM6" s="50"/>
      <c r="OBN6" s="50"/>
      <c r="OBO6" s="50"/>
      <c r="OBP6" s="50"/>
      <c r="OBQ6" s="50"/>
      <c r="OBR6" s="50"/>
      <c r="OBS6" s="50"/>
      <c r="OBT6" s="50"/>
      <c r="OBU6" s="50"/>
      <c r="OBV6" s="50"/>
      <c r="OBW6" s="50"/>
      <c r="OBX6" s="50"/>
      <c r="OBY6" s="50"/>
      <c r="OBZ6" s="50"/>
      <c r="OCA6" s="50"/>
      <c r="OCB6" s="50"/>
      <c r="OCC6" s="50"/>
      <c r="OCD6" s="50"/>
      <c r="OCE6" s="50"/>
      <c r="OCF6" s="50"/>
      <c r="OCG6" s="50"/>
      <c r="OCH6" s="50"/>
      <c r="OCI6" s="50"/>
      <c r="OCJ6" s="50"/>
      <c r="OCK6" s="50"/>
      <c r="OCL6" s="50"/>
      <c r="OCM6" s="50"/>
      <c r="OCN6" s="50"/>
      <c r="OCO6" s="50"/>
      <c r="OCP6" s="50"/>
      <c r="OCQ6" s="50"/>
      <c r="OCR6" s="50"/>
      <c r="OCS6" s="50"/>
      <c r="OCT6" s="50"/>
      <c r="OCU6" s="50"/>
      <c r="OCV6" s="50"/>
      <c r="OCW6" s="50"/>
      <c r="OCX6" s="50"/>
      <c r="OCY6" s="50"/>
      <c r="OCZ6" s="50"/>
      <c r="ODA6" s="50"/>
      <c r="ODB6" s="50"/>
      <c r="ODC6" s="50"/>
      <c r="ODD6" s="50"/>
      <c r="ODE6" s="50"/>
      <c r="ODF6" s="50"/>
      <c r="ODG6" s="50"/>
      <c r="ODH6" s="50"/>
      <c r="ODI6" s="50"/>
      <c r="ODJ6" s="50"/>
      <c r="ODK6" s="50"/>
      <c r="ODL6" s="50"/>
      <c r="ODM6" s="50"/>
      <c r="ODN6" s="50"/>
      <c r="ODO6" s="50"/>
      <c r="ODP6" s="50"/>
      <c r="ODQ6" s="50"/>
      <c r="ODR6" s="50"/>
      <c r="ODS6" s="50"/>
      <c r="ODT6" s="50"/>
      <c r="ODU6" s="50"/>
      <c r="ODV6" s="50"/>
      <c r="ODW6" s="50"/>
      <c r="ODX6" s="50"/>
      <c r="ODY6" s="50"/>
      <c r="ODZ6" s="50"/>
      <c r="OEA6" s="50"/>
      <c r="OEB6" s="50"/>
      <c r="OEC6" s="50"/>
      <c r="OED6" s="50"/>
      <c r="OEE6" s="50"/>
      <c r="OEF6" s="50"/>
      <c r="OEG6" s="50"/>
      <c r="OEH6" s="50"/>
      <c r="OEI6" s="50"/>
      <c r="OEJ6" s="50"/>
      <c r="OEK6" s="50"/>
      <c r="OEL6" s="50"/>
      <c r="OEM6" s="50"/>
      <c r="OEN6" s="50"/>
      <c r="OEO6" s="50"/>
      <c r="OEP6" s="50"/>
      <c r="OEQ6" s="50"/>
      <c r="OER6" s="50"/>
      <c r="OES6" s="50"/>
      <c r="OET6" s="50"/>
      <c r="OEU6" s="50"/>
      <c r="OEV6" s="50"/>
      <c r="OEW6" s="50"/>
      <c r="OEX6" s="50"/>
      <c r="OEY6" s="50"/>
      <c r="OEZ6" s="50"/>
      <c r="OFA6" s="50"/>
      <c r="OFB6" s="50"/>
      <c r="OFC6" s="50"/>
      <c r="OFD6" s="50"/>
      <c r="OFE6" s="50"/>
      <c r="OFF6" s="50"/>
      <c r="OFG6" s="50"/>
      <c r="OFH6" s="50"/>
      <c r="OFI6" s="50"/>
      <c r="OFJ6" s="50"/>
      <c r="OFK6" s="50"/>
      <c r="OFL6" s="50"/>
      <c r="OFM6" s="50"/>
      <c r="OFN6" s="50"/>
      <c r="OFO6" s="50"/>
      <c r="OFP6" s="50"/>
      <c r="OFQ6" s="50"/>
      <c r="OFR6" s="50"/>
      <c r="OFS6" s="50"/>
      <c r="OFT6" s="50"/>
      <c r="OFU6" s="50"/>
      <c r="OFV6" s="50"/>
      <c r="OFW6" s="50"/>
      <c r="OFX6" s="50"/>
      <c r="OFY6" s="50"/>
      <c r="OFZ6" s="50"/>
      <c r="OGA6" s="50"/>
      <c r="OGB6" s="50"/>
      <c r="OGC6" s="50"/>
      <c r="OGD6" s="50"/>
      <c r="OGE6" s="50"/>
      <c r="OGF6" s="50"/>
      <c r="OGG6" s="50"/>
      <c r="OGH6" s="50"/>
      <c r="OGI6" s="50"/>
      <c r="OGJ6" s="50"/>
      <c r="OGK6" s="50"/>
      <c r="OGL6" s="50"/>
      <c r="OGM6" s="50"/>
      <c r="OGN6" s="50"/>
      <c r="OGO6" s="50"/>
      <c r="OGP6" s="50"/>
      <c r="OGQ6" s="50"/>
      <c r="OGR6" s="50"/>
      <c r="OGS6" s="50"/>
      <c r="OGT6" s="50"/>
      <c r="OGU6" s="50"/>
      <c r="OGV6" s="50"/>
      <c r="OGW6" s="50"/>
      <c r="OGX6" s="50"/>
      <c r="OGY6" s="50"/>
      <c r="OGZ6" s="50"/>
      <c r="OHA6" s="50"/>
      <c r="OHB6" s="50"/>
      <c r="OHC6" s="50"/>
      <c r="OHD6" s="50"/>
      <c r="OHE6" s="50"/>
      <c r="OHF6" s="50"/>
      <c r="OHG6" s="50"/>
      <c r="OHH6" s="50"/>
      <c r="OHI6" s="50"/>
      <c r="OHJ6" s="50"/>
      <c r="OHK6" s="50"/>
      <c r="OHL6" s="50"/>
      <c r="OHM6" s="50"/>
      <c r="OHN6" s="50"/>
      <c r="OHO6" s="50"/>
      <c r="OHP6" s="50"/>
      <c r="OHQ6" s="50"/>
      <c r="OHR6" s="50"/>
      <c r="OHS6" s="50"/>
      <c r="OHT6" s="50"/>
      <c r="OHU6" s="50"/>
      <c r="OHV6" s="50"/>
      <c r="OHW6" s="50"/>
      <c r="OHX6" s="50"/>
      <c r="OHY6" s="50"/>
      <c r="OHZ6" s="50"/>
      <c r="OIA6" s="50"/>
      <c r="OIB6" s="50"/>
      <c r="OIC6" s="50"/>
      <c r="OID6" s="50"/>
      <c r="OIE6" s="50"/>
      <c r="OIF6" s="50"/>
      <c r="OIG6" s="50"/>
      <c r="OIH6" s="50"/>
      <c r="OII6" s="50"/>
      <c r="OIJ6" s="50"/>
      <c r="OIK6" s="50"/>
      <c r="OIL6" s="50"/>
      <c r="OIM6" s="50"/>
      <c r="OIN6" s="50"/>
      <c r="OIO6" s="50"/>
      <c r="OIP6" s="50"/>
      <c r="OIQ6" s="50"/>
      <c r="OIR6" s="50"/>
      <c r="OIS6" s="50"/>
      <c r="OIT6" s="50"/>
      <c r="OIU6" s="50"/>
      <c r="OIV6" s="50"/>
      <c r="OIW6" s="50"/>
      <c r="OIX6" s="50"/>
      <c r="OIY6" s="50"/>
      <c r="OIZ6" s="50"/>
      <c r="OJA6" s="50"/>
      <c r="OJB6" s="50"/>
      <c r="OJC6" s="50"/>
      <c r="OJD6" s="50"/>
      <c r="OJE6" s="50"/>
      <c r="OJF6" s="50"/>
      <c r="OJG6" s="50"/>
      <c r="OJH6" s="50"/>
      <c r="OJI6" s="50"/>
      <c r="OJJ6" s="50"/>
      <c r="OJK6" s="50"/>
      <c r="OJL6" s="50"/>
      <c r="OJM6" s="50"/>
      <c r="OJN6" s="50"/>
      <c r="OJO6" s="50"/>
      <c r="OJP6" s="50"/>
      <c r="OJQ6" s="50"/>
      <c r="OJR6" s="50"/>
      <c r="OJS6" s="50"/>
      <c r="OJT6" s="50"/>
      <c r="OJU6" s="50"/>
      <c r="OJV6" s="50"/>
      <c r="OJW6" s="50"/>
      <c r="OJX6" s="50"/>
      <c r="OJY6" s="50"/>
      <c r="OJZ6" s="50"/>
      <c r="OKA6" s="50"/>
      <c r="OKB6" s="50"/>
      <c r="OKC6" s="50"/>
      <c r="OKD6" s="50"/>
      <c r="OKE6" s="50"/>
      <c r="OKF6" s="50"/>
      <c r="OKG6" s="50"/>
      <c r="OKH6" s="50"/>
      <c r="OKI6" s="50"/>
      <c r="OKJ6" s="50"/>
      <c r="OKK6" s="50"/>
      <c r="OKL6" s="50"/>
      <c r="OKM6" s="50"/>
      <c r="OKN6" s="50"/>
      <c r="OKO6" s="50"/>
      <c r="OKP6" s="50"/>
      <c r="OKQ6" s="50"/>
      <c r="OKR6" s="50"/>
      <c r="OKS6" s="50"/>
      <c r="OKT6" s="50"/>
      <c r="OKU6" s="50"/>
      <c r="OKV6" s="50"/>
      <c r="OKW6" s="50"/>
      <c r="OKX6" s="50"/>
      <c r="OKY6" s="50"/>
      <c r="OKZ6" s="50"/>
      <c r="OLA6" s="50"/>
      <c r="OLB6" s="50"/>
      <c r="OLC6" s="50"/>
      <c r="OLD6" s="50"/>
      <c r="OLE6" s="50"/>
      <c r="OLF6" s="50"/>
      <c r="OLG6" s="50"/>
      <c r="OLH6" s="50"/>
      <c r="OLI6" s="50"/>
      <c r="OLJ6" s="50"/>
      <c r="OLK6" s="50"/>
      <c r="OLL6" s="50"/>
      <c r="OLM6" s="50"/>
      <c r="OLN6" s="50"/>
      <c r="OLO6" s="50"/>
      <c r="OLP6" s="50"/>
      <c r="OLQ6" s="50"/>
      <c r="OLR6" s="50"/>
      <c r="OLS6" s="50"/>
      <c r="OLT6" s="50"/>
      <c r="OLU6" s="50"/>
      <c r="OLV6" s="50"/>
      <c r="OLW6" s="50"/>
      <c r="OLX6" s="50"/>
      <c r="OLY6" s="50"/>
      <c r="OLZ6" s="50"/>
      <c r="OMA6" s="50"/>
      <c r="OMB6" s="50"/>
      <c r="OMC6" s="50"/>
      <c r="OMD6" s="50"/>
      <c r="OME6" s="50"/>
      <c r="OMF6" s="50"/>
      <c r="OMG6" s="50"/>
      <c r="OMH6" s="50"/>
      <c r="OMI6" s="50"/>
      <c r="OMJ6" s="50"/>
      <c r="OMK6" s="50"/>
      <c r="OML6" s="50"/>
      <c r="OMM6" s="50"/>
      <c r="OMN6" s="50"/>
      <c r="OMO6" s="50"/>
      <c r="OMP6" s="50"/>
      <c r="OMQ6" s="50"/>
      <c r="OMR6" s="50"/>
      <c r="OMS6" s="50"/>
      <c r="OMT6" s="50"/>
      <c r="OMU6" s="50"/>
      <c r="OMV6" s="50"/>
      <c r="OMW6" s="50"/>
      <c r="OMX6" s="50"/>
      <c r="OMY6" s="50"/>
      <c r="OMZ6" s="50"/>
      <c r="ONA6" s="50"/>
      <c r="ONB6" s="50"/>
      <c r="ONC6" s="50"/>
      <c r="OND6" s="50"/>
      <c r="ONE6" s="50"/>
      <c r="ONF6" s="50"/>
      <c r="ONG6" s="50"/>
      <c r="ONH6" s="50"/>
      <c r="ONI6" s="50"/>
      <c r="ONJ6" s="50"/>
      <c r="ONK6" s="50"/>
      <c r="ONL6" s="50"/>
      <c r="ONM6" s="50"/>
      <c r="ONN6" s="50"/>
      <c r="ONO6" s="50"/>
      <c r="ONP6" s="50"/>
      <c r="ONQ6" s="50"/>
      <c r="ONR6" s="50"/>
      <c r="ONS6" s="50"/>
      <c r="ONT6" s="50"/>
      <c r="ONU6" s="50"/>
      <c r="ONV6" s="50"/>
      <c r="ONW6" s="50"/>
      <c r="ONX6" s="50"/>
      <c r="ONY6" s="50"/>
      <c r="ONZ6" s="50"/>
      <c r="OOA6" s="50"/>
      <c r="OOB6" s="50"/>
      <c r="OOC6" s="50"/>
      <c r="OOD6" s="50"/>
      <c r="OOE6" s="50"/>
      <c r="OOF6" s="50"/>
      <c r="OOG6" s="50"/>
      <c r="OOH6" s="50"/>
      <c r="OOI6" s="50"/>
      <c r="OOJ6" s="50"/>
      <c r="OOK6" s="50"/>
      <c r="OOL6" s="50"/>
      <c r="OOM6" s="50"/>
      <c r="OON6" s="50"/>
      <c r="OOO6" s="50"/>
      <c r="OOP6" s="50"/>
      <c r="OOQ6" s="50"/>
      <c r="OOR6" s="50"/>
      <c r="OOS6" s="50"/>
      <c r="OOT6" s="50"/>
      <c r="OOU6" s="50"/>
      <c r="OOV6" s="50"/>
      <c r="OOW6" s="50"/>
      <c r="OOX6" s="50"/>
      <c r="OOY6" s="50"/>
      <c r="OOZ6" s="50"/>
      <c r="OPA6" s="50"/>
      <c r="OPB6" s="50"/>
      <c r="OPC6" s="50"/>
      <c r="OPD6" s="50"/>
      <c r="OPE6" s="50"/>
      <c r="OPF6" s="50"/>
      <c r="OPG6" s="50"/>
      <c r="OPH6" s="50"/>
      <c r="OPI6" s="50"/>
      <c r="OPJ6" s="50"/>
      <c r="OPK6" s="50"/>
      <c r="OPL6" s="50"/>
      <c r="OPM6" s="50"/>
      <c r="OPN6" s="50"/>
      <c r="OPO6" s="50"/>
      <c r="OPP6" s="50"/>
      <c r="OPQ6" s="50"/>
      <c r="OPR6" s="50"/>
      <c r="OPS6" s="50"/>
      <c r="OPT6" s="50"/>
      <c r="OPU6" s="50"/>
      <c r="OPV6" s="50"/>
      <c r="OPW6" s="50"/>
      <c r="OPX6" s="50"/>
      <c r="OPY6" s="50"/>
      <c r="OPZ6" s="50"/>
      <c r="OQA6" s="50"/>
      <c r="OQB6" s="50"/>
      <c r="OQC6" s="50"/>
      <c r="OQD6" s="50"/>
      <c r="OQE6" s="50"/>
      <c r="OQF6" s="50"/>
      <c r="OQG6" s="50"/>
      <c r="OQH6" s="50"/>
      <c r="OQI6" s="50"/>
      <c r="OQJ6" s="50"/>
      <c r="OQK6" s="50"/>
      <c r="OQL6" s="50"/>
      <c r="OQM6" s="50"/>
      <c r="OQN6" s="50"/>
      <c r="OQO6" s="50"/>
      <c r="OQP6" s="50"/>
      <c r="OQQ6" s="50"/>
      <c r="OQR6" s="50"/>
      <c r="OQS6" s="50"/>
      <c r="OQT6" s="50"/>
      <c r="OQU6" s="50"/>
      <c r="OQV6" s="50"/>
      <c r="OQW6" s="50"/>
      <c r="OQX6" s="50"/>
      <c r="OQY6" s="50"/>
      <c r="OQZ6" s="50"/>
      <c r="ORA6" s="50"/>
      <c r="ORB6" s="50"/>
      <c r="ORC6" s="50"/>
      <c r="ORD6" s="50"/>
      <c r="ORE6" s="50"/>
      <c r="ORF6" s="50"/>
      <c r="ORG6" s="50"/>
      <c r="ORH6" s="50"/>
      <c r="ORI6" s="50"/>
      <c r="ORJ6" s="50"/>
      <c r="ORK6" s="50"/>
      <c r="ORL6" s="50"/>
      <c r="ORM6" s="50"/>
      <c r="ORN6" s="50"/>
      <c r="ORO6" s="50"/>
      <c r="ORP6" s="50"/>
      <c r="ORQ6" s="50"/>
      <c r="ORR6" s="50"/>
      <c r="ORS6" s="50"/>
      <c r="ORT6" s="50"/>
      <c r="ORU6" s="50"/>
      <c r="ORV6" s="50"/>
      <c r="ORW6" s="50"/>
      <c r="ORX6" s="50"/>
      <c r="ORY6" s="50"/>
      <c r="ORZ6" s="50"/>
      <c r="OSA6" s="50"/>
      <c r="OSB6" s="50"/>
      <c r="OSC6" s="50"/>
      <c r="OSD6" s="50"/>
      <c r="OSE6" s="50"/>
      <c r="OSF6" s="50"/>
      <c r="OSG6" s="50"/>
      <c r="OSH6" s="50"/>
      <c r="OSI6" s="50"/>
      <c r="OSJ6" s="50"/>
      <c r="OSK6" s="50"/>
      <c r="OSL6" s="50"/>
      <c r="OSM6" s="50"/>
      <c r="OSN6" s="50"/>
      <c r="OSO6" s="50"/>
      <c r="OSP6" s="50"/>
      <c r="OSQ6" s="50"/>
      <c r="OSR6" s="50"/>
      <c r="OSS6" s="50"/>
      <c r="OST6" s="50"/>
      <c r="OSU6" s="50"/>
      <c r="OSV6" s="50"/>
      <c r="OSW6" s="50"/>
      <c r="OSX6" s="50"/>
      <c r="OSY6" s="50"/>
      <c r="OSZ6" s="50"/>
      <c r="OTA6" s="50"/>
      <c r="OTB6" s="50"/>
      <c r="OTC6" s="50"/>
      <c r="OTD6" s="50"/>
      <c r="OTE6" s="50"/>
      <c r="OTF6" s="50"/>
      <c r="OTG6" s="50"/>
      <c r="OTH6" s="50"/>
      <c r="OTI6" s="50"/>
      <c r="OTJ6" s="50"/>
      <c r="OTK6" s="50"/>
      <c r="OTL6" s="50"/>
      <c r="OTM6" s="50"/>
      <c r="OTN6" s="50"/>
      <c r="OTO6" s="50"/>
      <c r="OTP6" s="50"/>
      <c r="OTQ6" s="50"/>
      <c r="OTR6" s="50"/>
      <c r="OTS6" s="50"/>
      <c r="OTT6" s="50"/>
      <c r="OTU6" s="50"/>
      <c r="OTV6" s="50"/>
      <c r="OTW6" s="50"/>
      <c r="OTX6" s="50"/>
      <c r="OTY6" s="50"/>
      <c r="OTZ6" s="50"/>
      <c r="OUA6" s="50"/>
      <c r="OUB6" s="50"/>
      <c r="OUC6" s="50"/>
      <c r="OUD6" s="50"/>
      <c r="OUE6" s="50"/>
      <c r="OUF6" s="50"/>
      <c r="OUG6" s="50"/>
      <c r="OUH6" s="50"/>
      <c r="OUI6" s="50"/>
      <c r="OUJ6" s="50"/>
      <c r="OUK6" s="50"/>
      <c r="OUL6" s="50"/>
      <c r="OUM6" s="50"/>
      <c r="OUN6" s="50"/>
      <c r="OUO6" s="50"/>
      <c r="OUP6" s="50"/>
      <c r="OUQ6" s="50"/>
      <c r="OUR6" s="50"/>
      <c r="OUS6" s="50"/>
      <c r="OUT6" s="50"/>
      <c r="OUU6" s="50"/>
      <c r="OUV6" s="50"/>
      <c r="OUW6" s="50"/>
      <c r="OUX6" s="50"/>
      <c r="OUY6" s="50"/>
      <c r="OUZ6" s="50"/>
      <c r="OVA6" s="50"/>
      <c r="OVB6" s="50"/>
      <c r="OVC6" s="50"/>
      <c r="OVD6" s="50"/>
      <c r="OVE6" s="50"/>
      <c r="OVF6" s="50"/>
      <c r="OVG6" s="50"/>
      <c r="OVH6" s="50"/>
      <c r="OVI6" s="50"/>
      <c r="OVJ6" s="50"/>
      <c r="OVK6" s="50"/>
      <c r="OVL6" s="50"/>
      <c r="OVM6" s="50"/>
      <c r="OVN6" s="50"/>
      <c r="OVO6" s="50"/>
      <c r="OVP6" s="50"/>
      <c r="OVQ6" s="50"/>
      <c r="OVR6" s="50"/>
      <c r="OVS6" s="50"/>
      <c r="OVT6" s="50"/>
      <c r="OVU6" s="50"/>
      <c r="OVV6" s="50"/>
      <c r="OVW6" s="50"/>
      <c r="OVX6" s="50"/>
      <c r="OVY6" s="50"/>
      <c r="OVZ6" s="50"/>
      <c r="OWA6" s="50"/>
      <c r="OWB6" s="50"/>
      <c r="OWC6" s="50"/>
      <c r="OWD6" s="50"/>
      <c r="OWE6" s="50"/>
      <c r="OWF6" s="50"/>
      <c r="OWG6" s="50"/>
      <c r="OWH6" s="50"/>
      <c r="OWI6" s="50"/>
      <c r="OWJ6" s="50"/>
      <c r="OWK6" s="50"/>
      <c r="OWL6" s="50"/>
      <c r="OWM6" s="50"/>
      <c r="OWN6" s="50"/>
      <c r="OWO6" s="50"/>
      <c r="OWP6" s="50"/>
      <c r="OWQ6" s="50"/>
      <c r="OWR6" s="50"/>
      <c r="OWS6" s="50"/>
      <c r="OWT6" s="50"/>
      <c r="OWU6" s="50"/>
      <c r="OWV6" s="50"/>
      <c r="OWW6" s="50"/>
      <c r="OWX6" s="50"/>
      <c r="OWY6" s="50"/>
      <c r="OWZ6" s="50"/>
      <c r="OXA6" s="50"/>
      <c r="OXB6" s="50"/>
      <c r="OXC6" s="50"/>
      <c r="OXD6" s="50"/>
      <c r="OXE6" s="50"/>
      <c r="OXF6" s="50"/>
      <c r="OXG6" s="50"/>
      <c r="OXH6" s="50"/>
      <c r="OXI6" s="50"/>
      <c r="OXJ6" s="50"/>
      <c r="OXK6" s="50"/>
      <c r="OXL6" s="50"/>
      <c r="OXM6" s="50"/>
      <c r="OXN6" s="50"/>
      <c r="OXO6" s="50"/>
      <c r="OXP6" s="50"/>
      <c r="OXQ6" s="50"/>
      <c r="OXR6" s="50"/>
      <c r="OXS6" s="50"/>
      <c r="OXT6" s="50"/>
      <c r="OXU6" s="50"/>
      <c r="OXV6" s="50"/>
      <c r="OXW6" s="50"/>
      <c r="OXX6" s="50"/>
      <c r="OXY6" s="50"/>
      <c r="OXZ6" s="50"/>
      <c r="OYA6" s="50"/>
      <c r="OYB6" s="50"/>
      <c r="OYC6" s="50"/>
      <c r="OYD6" s="50"/>
      <c r="OYE6" s="50"/>
      <c r="OYF6" s="50"/>
      <c r="OYG6" s="50"/>
      <c r="OYH6" s="50"/>
      <c r="OYI6" s="50"/>
      <c r="OYJ6" s="50"/>
      <c r="OYK6" s="50"/>
      <c r="OYL6" s="50"/>
      <c r="OYM6" s="50"/>
      <c r="OYN6" s="50"/>
      <c r="OYO6" s="50"/>
      <c r="OYP6" s="50"/>
      <c r="OYQ6" s="50"/>
      <c r="OYR6" s="50"/>
      <c r="OYS6" s="50"/>
      <c r="OYT6" s="50"/>
      <c r="OYU6" s="50"/>
      <c r="OYV6" s="50"/>
      <c r="OYW6" s="50"/>
      <c r="OYX6" s="50"/>
      <c r="OYY6" s="50"/>
      <c r="OYZ6" s="50"/>
      <c r="OZA6" s="50"/>
      <c r="OZB6" s="50"/>
      <c r="OZC6" s="50"/>
      <c r="OZD6" s="50"/>
      <c r="OZE6" s="50"/>
      <c r="OZF6" s="50"/>
      <c r="OZG6" s="50"/>
      <c r="OZH6" s="50"/>
      <c r="OZI6" s="50"/>
      <c r="OZJ6" s="50"/>
      <c r="OZK6" s="50"/>
      <c r="OZL6" s="50"/>
      <c r="OZM6" s="50"/>
      <c r="OZN6" s="50"/>
      <c r="OZO6" s="50"/>
      <c r="OZP6" s="50"/>
      <c r="OZQ6" s="50"/>
      <c r="OZR6" s="50"/>
      <c r="OZS6" s="50"/>
      <c r="OZT6" s="50"/>
      <c r="OZU6" s="50"/>
      <c r="OZV6" s="50"/>
      <c r="OZW6" s="50"/>
      <c r="OZX6" s="50"/>
      <c r="OZY6" s="50"/>
      <c r="OZZ6" s="50"/>
      <c r="PAA6" s="50"/>
      <c r="PAB6" s="50"/>
      <c r="PAC6" s="50"/>
      <c r="PAD6" s="50"/>
      <c r="PAE6" s="50"/>
      <c r="PAF6" s="50"/>
      <c r="PAG6" s="50"/>
      <c r="PAH6" s="50"/>
      <c r="PAI6" s="50"/>
      <c r="PAJ6" s="50"/>
      <c r="PAK6" s="50"/>
      <c r="PAL6" s="50"/>
      <c r="PAM6" s="50"/>
      <c r="PAN6" s="50"/>
      <c r="PAO6" s="50"/>
      <c r="PAP6" s="50"/>
      <c r="PAQ6" s="50"/>
      <c r="PAR6" s="50"/>
      <c r="PAS6" s="50"/>
      <c r="PAT6" s="50"/>
      <c r="PAU6" s="50"/>
      <c r="PAV6" s="50"/>
      <c r="PAW6" s="50"/>
      <c r="PAX6" s="50"/>
      <c r="PAY6" s="50"/>
      <c r="PAZ6" s="50"/>
      <c r="PBA6" s="50"/>
      <c r="PBB6" s="50"/>
      <c r="PBC6" s="50"/>
      <c r="PBD6" s="50"/>
      <c r="PBE6" s="50"/>
      <c r="PBF6" s="50"/>
      <c r="PBG6" s="50"/>
      <c r="PBH6" s="50"/>
      <c r="PBI6" s="50"/>
      <c r="PBJ6" s="50"/>
      <c r="PBK6" s="50"/>
      <c r="PBL6" s="50"/>
      <c r="PBM6" s="50"/>
      <c r="PBN6" s="50"/>
      <c r="PBO6" s="50"/>
      <c r="PBP6" s="50"/>
      <c r="PBQ6" s="50"/>
      <c r="PBR6" s="50"/>
      <c r="PBS6" s="50"/>
      <c r="PBT6" s="50"/>
      <c r="PBU6" s="50"/>
      <c r="PBV6" s="50"/>
      <c r="PBW6" s="50"/>
      <c r="PBX6" s="50"/>
      <c r="PBY6" s="50"/>
      <c r="PBZ6" s="50"/>
      <c r="PCA6" s="50"/>
      <c r="PCB6" s="50"/>
      <c r="PCC6" s="50"/>
      <c r="PCD6" s="50"/>
      <c r="PCE6" s="50"/>
      <c r="PCF6" s="50"/>
      <c r="PCG6" s="50"/>
      <c r="PCH6" s="50"/>
      <c r="PCI6" s="50"/>
      <c r="PCJ6" s="50"/>
      <c r="PCK6" s="50"/>
      <c r="PCL6" s="50"/>
      <c r="PCM6" s="50"/>
      <c r="PCN6" s="50"/>
      <c r="PCO6" s="50"/>
      <c r="PCP6" s="50"/>
      <c r="PCQ6" s="50"/>
      <c r="PCR6" s="50"/>
      <c r="PCS6" s="50"/>
      <c r="PCT6" s="50"/>
      <c r="PCU6" s="50"/>
      <c r="PCV6" s="50"/>
      <c r="PCW6" s="50"/>
      <c r="PCX6" s="50"/>
      <c r="PCY6" s="50"/>
      <c r="PCZ6" s="50"/>
      <c r="PDA6" s="50"/>
      <c r="PDB6" s="50"/>
      <c r="PDC6" s="50"/>
      <c r="PDD6" s="50"/>
      <c r="PDE6" s="50"/>
      <c r="PDF6" s="50"/>
      <c r="PDG6" s="50"/>
      <c r="PDH6" s="50"/>
      <c r="PDI6" s="50"/>
      <c r="PDJ6" s="50"/>
      <c r="PDK6" s="50"/>
      <c r="PDL6" s="50"/>
      <c r="PDM6" s="50"/>
      <c r="PDN6" s="50"/>
      <c r="PDO6" s="50"/>
      <c r="PDP6" s="50"/>
      <c r="PDQ6" s="50"/>
      <c r="PDR6" s="50"/>
      <c r="PDS6" s="50"/>
      <c r="PDT6" s="50"/>
      <c r="PDU6" s="50"/>
      <c r="PDV6" s="50"/>
      <c r="PDW6" s="50"/>
      <c r="PDX6" s="50"/>
      <c r="PDY6" s="50"/>
      <c r="PDZ6" s="50"/>
      <c r="PEA6" s="50"/>
      <c r="PEB6" s="50"/>
      <c r="PEC6" s="50"/>
      <c r="PED6" s="50"/>
      <c r="PEE6" s="50"/>
      <c r="PEF6" s="50"/>
      <c r="PEG6" s="50"/>
      <c r="PEH6" s="50"/>
      <c r="PEI6" s="50"/>
      <c r="PEJ6" s="50"/>
      <c r="PEK6" s="50"/>
      <c r="PEL6" s="50"/>
      <c r="PEM6" s="50"/>
      <c r="PEN6" s="50"/>
      <c r="PEO6" s="50"/>
      <c r="PEP6" s="50"/>
      <c r="PEQ6" s="50"/>
      <c r="PER6" s="50"/>
      <c r="PES6" s="50"/>
      <c r="PET6" s="50"/>
      <c r="PEU6" s="50"/>
      <c r="PEV6" s="50"/>
      <c r="PEW6" s="50"/>
      <c r="PEX6" s="50"/>
      <c r="PEY6" s="50"/>
      <c r="PEZ6" s="50"/>
      <c r="PFA6" s="50"/>
      <c r="PFB6" s="50"/>
      <c r="PFC6" s="50"/>
      <c r="PFD6" s="50"/>
      <c r="PFE6" s="50"/>
      <c r="PFF6" s="50"/>
      <c r="PFG6" s="50"/>
      <c r="PFH6" s="50"/>
      <c r="PFI6" s="50"/>
      <c r="PFJ6" s="50"/>
      <c r="PFK6" s="50"/>
      <c r="PFL6" s="50"/>
      <c r="PFM6" s="50"/>
      <c r="PFN6" s="50"/>
      <c r="PFO6" s="50"/>
      <c r="PFP6" s="50"/>
      <c r="PFQ6" s="50"/>
      <c r="PFR6" s="50"/>
      <c r="PFS6" s="50"/>
      <c r="PFT6" s="50"/>
      <c r="PFU6" s="50"/>
      <c r="PFV6" s="50"/>
      <c r="PFW6" s="50"/>
      <c r="PFX6" s="50"/>
      <c r="PFY6" s="50"/>
      <c r="PFZ6" s="50"/>
      <c r="PGA6" s="50"/>
      <c r="PGB6" s="50"/>
      <c r="PGC6" s="50"/>
      <c r="PGD6" s="50"/>
      <c r="PGE6" s="50"/>
      <c r="PGF6" s="50"/>
      <c r="PGG6" s="50"/>
      <c r="PGH6" s="50"/>
      <c r="PGI6" s="50"/>
      <c r="PGJ6" s="50"/>
      <c r="PGK6" s="50"/>
      <c r="PGL6" s="50"/>
      <c r="PGM6" s="50"/>
      <c r="PGN6" s="50"/>
      <c r="PGO6" s="50"/>
      <c r="PGP6" s="50"/>
      <c r="PGQ6" s="50"/>
      <c r="PGR6" s="50"/>
      <c r="PGS6" s="50"/>
      <c r="PGT6" s="50"/>
      <c r="PGU6" s="50"/>
      <c r="PGV6" s="50"/>
      <c r="PGW6" s="50"/>
      <c r="PGX6" s="50"/>
      <c r="PGY6" s="50"/>
      <c r="PGZ6" s="50"/>
      <c r="PHA6" s="50"/>
      <c r="PHB6" s="50"/>
      <c r="PHC6" s="50"/>
      <c r="PHD6" s="50"/>
      <c r="PHE6" s="50"/>
      <c r="PHF6" s="50"/>
      <c r="PHG6" s="50"/>
      <c r="PHH6" s="50"/>
      <c r="PHI6" s="50"/>
      <c r="PHJ6" s="50"/>
      <c r="PHK6" s="50"/>
      <c r="PHL6" s="50"/>
      <c r="PHM6" s="50"/>
      <c r="PHN6" s="50"/>
      <c r="PHO6" s="50"/>
      <c r="PHP6" s="50"/>
      <c r="PHQ6" s="50"/>
      <c r="PHR6" s="50"/>
      <c r="PHS6" s="50"/>
      <c r="PHT6" s="50"/>
      <c r="PHU6" s="50"/>
      <c r="PHV6" s="50"/>
      <c r="PHW6" s="50"/>
      <c r="PHX6" s="50"/>
      <c r="PHY6" s="50"/>
      <c r="PHZ6" s="50"/>
      <c r="PIA6" s="50"/>
      <c r="PIB6" s="50"/>
      <c r="PIC6" s="50"/>
      <c r="PID6" s="50"/>
      <c r="PIE6" s="50"/>
      <c r="PIF6" s="50"/>
      <c r="PIG6" s="50"/>
      <c r="PIH6" s="50"/>
      <c r="PII6" s="50"/>
      <c r="PIJ6" s="50"/>
      <c r="PIK6" s="50"/>
      <c r="PIL6" s="50"/>
      <c r="PIM6" s="50"/>
      <c r="PIN6" s="50"/>
      <c r="PIO6" s="50"/>
      <c r="PIP6" s="50"/>
      <c r="PIQ6" s="50"/>
      <c r="PIR6" s="50"/>
      <c r="PIS6" s="50"/>
      <c r="PIT6" s="50"/>
      <c r="PIU6" s="50"/>
      <c r="PIV6" s="50"/>
      <c r="PIW6" s="50"/>
      <c r="PIX6" s="50"/>
      <c r="PIY6" s="50"/>
      <c r="PIZ6" s="50"/>
      <c r="PJA6" s="50"/>
      <c r="PJB6" s="50"/>
      <c r="PJC6" s="50"/>
      <c r="PJD6" s="50"/>
      <c r="PJE6" s="50"/>
      <c r="PJF6" s="50"/>
      <c r="PJG6" s="50"/>
      <c r="PJH6" s="50"/>
      <c r="PJI6" s="50"/>
      <c r="PJJ6" s="50"/>
      <c r="PJK6" s="50"/>
      <c r="PJL6" s="50"/>
      <c r="PJM6" s="50"/>
      <c r="PJN6" s="50"/>
      <c r="PJO6" s="50"/>
      <c r="PJP6" s="50"/>
      <c r="PJQ6" s="50"/>
      <c r="PJR6" s="50"/>
      <c r="PJS6" s="50"/>
      <c r="PJT6" s="50"/>
      <c r="PJU6" s="50"/>
      <c r="PJV6" s="50"/>
      <c r="PJW6" s="50"/>
      <c r="PJX6" s="50"/>
      <c r="PJY6" s="50"/>
      <c r="PJZ6" s="50"/>
      <c r="PKA6" s="50"/>
      <c r="PKB6" s="50"/>
      <c r="PKC6" s="50"/>
      <c r="PKD6" s="50"/>
      <c r="PKE6" s="50"/>
      <c r="PKF6" s="50"/>
      <c r="PKG6" s="50"/>
      <c r="PKH6" s="50"/>
      <c r="PKI6" s="50"/>
      <c r="PKJ6" s="50"/>
      <c r="PKK6" s="50"/>
      <c r="PKL6" s="50"/>
      <c r="PKM6" s="50"/>
      <c r="PKN6" s="50"/>
      <c r="PKO6" s="50"/>
      <c r="PKP6" s="50"/>
      <c r="PKQ6" s="50"/>
      <c r="PKR6" s="50"/>
      <c r="PKS6" s="50"/>
      <c r="PKT6" s="50"/>
      <c r="PKU6" s="50"/>
      <c r="PKV6" s="50"/>
      <c r="PKW6" s="50"/>
      <c r="PKX6" s="50"/>
      <c r="PKY6" s="50"/>
      <c r="PKZ6" s="50"/>
      <c r="PLA6" s="50"/>
      <c r="PLB6" s="50"/>
      <c r="PLC6" s="50"/>
      <c r="PLD6" s="50"/>
      <c r="PLE6" s="50"/>
      <c r="PLF6" s="50"/>
      <c r="PLG6" s="50"/>
      <c r="PLH6" s="50"/>
      <c r="PLI6" s="50"/>
      <c r="PLJ6" s="50"/>
      <c r="PLK6" s="50"/>
      <c r="PLL6" s="50"/>
      <c r="PLM6" s="50"/>
      <c r="PLN6" s="50"/>
      <c r="PLO6" s="50"/>
      <c r="PLP6" s="50"/>
      <c r="PLQ6" s="50"/>
      <c r="PLR6" s="50"/>
      <c r="PLS6" s="50"/>
      <c r="PLT6" s="50"/>
      <c r="PLU6" s="50"/>
      <c r="PLV6" s="50"/>
      <c r="PLW6" s="50"/>
      <c r="PLX6" s="50"/>
      <c r="PLY6" s="50"/>
      <c r="PLZ6" s="50"/>
      <c r="PMA6" s="50"/>
      <c r="PMB6" s="50"/>
      <c r="PMC6" s="50"/>
      <c r="PMD6" s="50"/>
      <c r="PME6" s="50"/>
      <c r="PMF6" s="50"/>
      <c r="PMG6" s="50"/>
      <c r="PMH6" s="50"/>
      <c r="PMI6" s="50"/>
      <c r="PMJ6" s="50"/>
      <c r="PMK6" s="50"/>
      <c r="PML6" s="50"/>
      <c r="PMM6" s="50"/>
      <c r="PMN6" s="50"/>
      <c r="PMO6" s="50"/>
      <c r="PMP6" s="50"/>
      <c r="PMQ6" s="50"/>
      <c r="PMR6" s="50"/>
      <c r="PMS6" s="50"/>
      <c r="PMT6" s="50"/>
      <c r="PMU6" s="50"/>
      <c r="PMV6" s="50"/>
      <c r="PMW6" s="50"/>
      <c r="PMX6" s="50"/>
      <c r="PMY6" s="50"/>
      <c r="PMZ6" s="50"/>
      <c r="PNA6" s="50"/>
      <c r="PNB6" s="50"/>
      <c r="PNC6" s="50"/>
      <c r="PND6" s="50"/>
      <c r="PNE6" s="50"/>
      <c r="PNF6" s="50"/>
      <c r="PNG6" s="50"/>
      <c r="PNH6" s="50"/>
      <c r="PNI6" s="50"/>
      <c r="PNJ6" s="50"/>
      <c r="PNK6" s="50"/>
      <c r="PNL6" s="50"/>
      <c r="PNM6" s="50"/>
      <c r="PNN6" s="50"/>
      <c r="PNO6" s="50"/>
      <c r="PNP6" s="50"/>
      <c r="PNQ6" s="50"/>
      <c r="PNR6" s="50"/>
      <c r="PNS6" s="50"/>
      <c r="PNT6" s="50"/>
      <c r="PNU6" s="50"/>
      <c r="PNV6" s="50"/>
      <c r="PNW6" s="50"/>
      <c r="PNX6" s="50"/>
      <c r="PNY6" s="50"/>
      <c r="PNZ6" s="50"/>
      <c r="POA6" s="50"/>
      <c r="POB6" s="50"/>
      <c r="POC6" s="50"/>
      <c r="POD6" s="50"/>
      <c r="POE6" s="50"/>
      <c r="POF6" s="50"/>
      <c r="POG6" s="50"/>
      <c r="POH6" s="50"/>
      <c r="POI6" s="50"/>
      <c r="POJ6" s="50"/>
      <c r="POK6" s="50"/>
      <c r="POL6" s="50"/>
      <c r="POM6" s="50"/>
      <c r="PON6" s="50"/>
      <c r="POO6" s="50"/>
      <c r="POP6" s="50"/>
      <c r="POQ6" s="50"/>
      <c r="POR6" s="50"/>
      <c r="POS6" s="50"/>
      <c r="POT6" s="50"/>
      <c r="POU6" s="50"/>
      <c r="POV6" s="50"/>
      <c r="POW6" s="50"/>
      <c r="POX6" s="50"/>
      <c r="POY6" s="50"/>
      <c r="POZ6" s="50"/>
      <c r="PPA6" s="50"/>
      <c r="PPB6" s="50"/>
      <c r="PPC6" s="50"/>
      <c r="PPD6" s="50"/>
      <c r="PPE6" s="50"/>
      <c r="PPF6" s="50"/>
      <c r="PPG6" s="50"/>
      <c r="PPH6" s="50"/>
      <c r="PPI6" s="50"/>
      <c r="PPJ6" s="50"/>
      <c r="PPK6" s="50"/>
      <c r="PPL6" s="50"/>
      <c r="PPM6" s="50"/>
      <c r="PPN6" s="50"/>
      <c r="PPO6" s="50"/>
      <c r="PPP6" s="50"/>
      <c r="PPQ6" s="50"/>
      <c r="PPR6" s="50"/>
      <c r="PPS6" s="50"/>
      <c r="PPT6" s="50"/>
      <c r="PPU6" s="50"/>
      <c r="PPV6" s="50"/>
      <c r="PPW6" s="50"/>
      <c r="PPX6" s="50"/>
      <c r="PPY6" s="50"/>
      <c r="PPZ6" s="50"/>
      <c r="PQA6" s="50"/>
      <c r="PQB6" s="50"/>
      <c r="PQC6" s="50"/>
      <c r="PQD6" s="50"/>
      <c r="PQE6" s="50"/>
      <c r="PQF6" s="50"/>
      <c r="PQG6" s="50"/>
      <c r="PQH6" s="50"/>
      <c r="PQI6" s="50"/>
      <c r="PQJ6" s="50"/>
      <c r="PQK6" s="50"/>
      <c r="PQL6" s="50"/>
      <c r="PQM6" s="50"/>
      <c r="PQN6" s="50"/>
      <c r="PQO6" s="50"/>
      <c r="PQP6" s="50"/>
      <c r="PQQ6" s="50"/>
      <c r="PQR6" s="50"/>
      <c r="PQS6" s="50"/>
      <c r="PQT6" s="50"/>
      <c r="PQU6" s="50"/>
      <c r="PQV6" s="50"/>
      <c r="PQW6" s="50"/>
      <c r="PQX6" s="50"/>
      <c r="PQY6" s="50"/>
      <c r="PQZ6" s="50"/>
      <c r="PRA6" s="50"/>
      <c r="PRB6" s="50"/>
      <c r="PRC6" s="50"/>
      <c r="PRD6" s="50"/>
      <c r="PRE6" s="50"/>
      <c r="PRF6" s="50"/>
      <c r="PRG6" s="50"/>
      <c r="PRH6" s="50"/>
      <c r="PRI6" s="50"/>
      <c r="PRJ6" s="50"/>
      <c r="PRK6" s="50"/>
      <c r="PRL6" s="50"/>
      <c r="PRM6" s="50"/>
      <c r="PRN6" s="50"/>
      <c r="PRO6" s="50"/>
      <c r="PRP6" s="50"/>
      <c r="PRQ6" s="50"/>
      <c r="PRR6" s="50"/>
      <c r="PRS6" s="50"/>
      <c r="PRT6" s="50"/>
      <c r="PRU6" s="50"/>
      <c r="PRV6" s="50"/>
      <c r="PRW6" s="50"/>
      <c r="PRX6" s="50"/>
      <c r="PRY6" s="50"/>
      <c r="PRZ6" s="50"/>
      <c r="PSA6" s="50"/>
      <c r="PSB6" s="50"/>
      <c r="PSC6" s="50"/>
      <c r="PSD6" s="50"/>
      <c r="PSE6" s="50"/>
      <c r="PSF6" s="50"/>
      <c r="PSG6" s="50"/>
      <c r="PSH6" s="50"/>
      <c r="PSI6" s="50"/>
      <c r="PSJ6" s="50"/>
      <c r="PSK6" s="50"/>
      <c r="PSL6" s="50"/>
      <c r="PSM6" s="50"/>
      <c r="PSN6" s="50"/>
      <c r="PSO6" s="50"/>
      <c r="PSP6" s="50"/>
      <c r="PSQ6" s="50"/>
      <c r="PSR6" s="50"/>
      <c r="PSS6" s="50"/>
      <c r="PST6" s="50"/>
      <c r="PSU6" s="50"/>
      <c r="PSV6" s="50"/>
      <c r="PSW6" s="50"/>
      <c r="PSX6" s="50"/>
      <c r="PSY6" s="50"/>
      <c r="PSZ6" s="50"/>
      <c r="PTA6" s="50"/>
      <c r="PTB6" s="50"/>
      <c r="PTC6" s="50"/>
      <c r="PTD6" s="50"/>
      <c r="PTE6" s="50"/>
      <c r="PTF6" s="50"/>
      <c r="PTG6" s="50"/>
      <c r="PTH6" s="50"/>
      <c r="PTI6" s="50"/>
      <c r="PTJ6" s="50"/>
      <c r="PTK6" s="50"/>
      <c r="PTL6" s="50"/>
      <c r="PTM6" s="50"/>
      <c r="PTN6" s="50"/>
      <c r="PTO6" s="50"/>
      <c r="PTP6" s="50"/>
      <c r="PTQ6" s="50"/>
      <c r="PTR6" s="50"/>
      <c r="PTS6" s="50"/>
      <c r="PTT6" s="50"/>
      <c r="PTU6" s="50"/>
      <c r="PTV6" s="50"/>
      <c r="PTW6" s="50"/>
      <c r="PTX6" s="50"/>
      <c r="PTY6" s="50"/>
      <c r="PTZ6" s="50"/>
      <c r="PUA6" s="50"/>
      <c r="PUB6" s="50"/>
      <c r="PUC6" s="50"/>
      <c r="PUD6" s="50"/>
      <c r="PUE6" s="50"/>
      <c r="PUF6" s="50"/>
      <c r="PUG6" s="50"/>
      <c r="PUH6" s="50"/>
      <c r="PUI6" s="50"/>
      <c r="PUJ6" s="50"/>
      <c r="PUK6" s="50"/>
      <c r="PUL6" s="50"/>
      <c r="PUM6" s="50"/>
      <c r="PUN6" s="50"/>
      <c r="PUO6" s="50"/>
      <c r="PUP6" s="50"/>
      <c r="PUQ6" s="50"/>
      <c r="PUR6" s="50"/>
      <c r="PUS6" s="50"/>
      <c r="PUT6" s="50"/>
      <c r="PUU6" s="50"/>
      <c r="PUV6" s="50"/>
      <c r="PUW6" s="50"/>
      <c r="PUX6" s="50"/>
      <c r="PUY6" s="50"/>
      <c r="PUZ6" s="50"/>
      <c r="PVA6" s="50"/>
      <c r="PVB6" s="50"/>
      <c r="PVC6" s="50"/>
      <c r="PVD6" s="50"/>
      <c r="PVE6" s="50"/>
      <c r="PVF6" s="50"/>
      <c r="PVG6" s="50"/>
      <c r="PVH6" s="50"/>
      <c r="PVI6" s="50"/>
      <c r="PVJ6" s="50"/>
      <c r="PVK6" s="50"/>
      <c r="PVL6" s="50"/>
      <c r="PVM6" s="50"/>
      <c r="PVN6" s="50"/>
      <c r="PVO6" s="50"/>
      <c r="PVP6" s="50"/>
      <c r="PVQ6" s="50"/>
      <c r="PVR6" s="50"/>
      <c r="PVS6" s="50"/>
      <c r="PVT6" s="50"/>
      <c r="PVU6" s="50"/>
      <c r="PVV6" s="50"/>
      <c r="PVW6" s="50"/>
      <c r="PVX6" s="50"/>
      <c r="PVY6" s="50"/>
      <c r="PVZ6" s="50"/>
      <c r="PWA6" s="50"/>
      <c r="PWB6" s="50"/>
      <c r="PWC6" s="50"/>
      <c r="PWD6" s="50"/>
      <c r="PWE6" s="50"/>
      <c r="PWF6" s="50"/>
      <c r="PWG6" s="50"/>
      <c r="PWH6" s="50"/>
      <c r="PWI6" s="50"/>
      <c r="PWJ6" s="50"/>
      <c r="PWK6" s="50"/>
      <c r="PWL6" s="50"/>
      <c r="PWM6" s="50"/>
      <c r="PWN6" s="50"/>
      <c r="PWO6" s="50"/>
      <c r="PWP6" s="50"/>
      <c r="PWQ6" s="50"/>
      <c r="PWR6" s="50"/>
      <c r="PWS6" s="50"/>
      <c r="PWT6" s="50"/>
      <c r="PWU6" s="50"/>
      <c r="PWV6" s="50"/>
      <c r="PWW6" s="50"/>
      <c r="PWX6" s="50"/>
      <c r="PWY6" s="50"/>
      <c r="PWZ6" s="50"/>
      <c r="PXA6" s="50"/>
      <c r="PXB6" s="50"/>
      <c r="PXC6" s="50"/>
      <c r="PXD6" s="50"/>
      <c r="PXE6" s="50"/>
      <c r="PXF6" s="50"/>
      <c r="PXG6" s="50"/>
      <c r="PXH6" s="50"/>
      <c r="PXI6" s="50"/>
      <c r="PXJ6" s="50"/>
      <c r="PXK6" s="50"/>
      <c r="PXL6" s="50"/>
      <c r="PXM6" s="50"/>
      <c r="PXN6" s="50"/>
      <c r="PXO6" s="50"/>
      <c r="PXP6" s="50"/>
      <c r="PXQ6" s="50"/>
      <c r="PXR6" s="50"/>
      <c r="PXS6" s="50"/>
      <c r="PXT6" s="50"/>
      <c r="PXU6" s="50"/>
      <c r="PXV6" s="50"/>
      <c r="PXW6" s="50"/>
      <c r="PXX6" s="50"/>
      <c r="PXY6" s="50"/>
      <c r="PXZ6" s="50"/>
      <c r="PYA6" s="50"/>
      <c r="PYB6" s="50"/>
      <c r="PYC6" s="50"/>
      <c r="PYD6" s="50"/>
      <c r="PYE6" s="50"/>
      <c r="PYF6" s="50"/>
      <c r="PYG6" s="50"/>
      <c r="PYH6" s="50"/>
      <c r="PYI6" s="50"/>
      <c r="PYJ6" s="50"/>
      <c r="PYK6" s="50"/>
      <c r="PYL6" s="50"/>
      <c r="PYM6" s="50"/>
      <c r="PYN6" s="50"/>
      <c r="PYO6" s="50"/>
      <c r="PYP6" s="50"/>
      <c r="PYQ6" s="50"/>
      <c r="PYR6" s="50"/>
      <c r="PYS6" s="50"/>
      <c r="PYT6" s="50"/>
      <c r="PYU6" s="50"/>
      <c r="PYV6" s="50"/>
      <c r="PYW6" s="50"/>
      <c r="PYX6" s="50"/>
      <c r="PYY6" s="50"/>
      <c r="PYZ6" s="50"/>
      <c r="PZA6" s="50"/>
      <c r="PZB6" s="50"/>
      <c r="PZC6" s="50"/>
      <c r="PZD6" s="50"/>
      <c r="PZE6" s="50"/>
      <c r="PZF6" s="50"/>
      <c r="PZG6" s="50"/>
      <c r="PZH6" s="50"/>
      <c r="PZI6" s="50"/>
      <c r="PZJ6" s="50"/>
      <c r="PZK6" s="50"/>
      <c r="PZL6" s="50"/>
      <c r="PZM6" s="50"/>
      <c r="PZN6" s="50"/>
      <c r="PZO6" s="50"/>
      <c r="PZP6" s="50"/>
      <c r="PZQ6" s="50"/>
      <c r="PZR6" s="50"/>
      <c r="PZS6" s="50"/>
      <c r="PZT6" s="50"/>
      <c r="PZU6" s="50"/>
      <c r="PZV6" s="50"/>
      <c r="PZW6" s="50"/>
      <c r="PZX6" s="50"/>
      <c r="PZY6" s="50"/>
      <c r="PZZ6" s="50"/>
      <c r="QAA6" s="50"/>
      <c r="QAB6" s="50"/>
      <c r="QAC6" s="50"/>
      <c r="QAD6" s="50"/>
      <c r="QAE6" s="50"/>
      <c r="QAF6" s="50"/>
      <c r="QAG6" s="50"/>
      <c r="QAH6" s="50"/>
      <c r="QAI6" s="50"/>
      <c r="QAJ6" s="50"/>
      <c r="QAK6" s="50"/>
      <c r="QAL6" s="50"/>
      <c r="QAM6" s="50"/>
      <c r="QAN6" s="50"/>
      <c r="QAO6" s="50"/>
      <c r="QAP6" s="50"/>
      <c r="QAQ6" s="50"/>
      <c r="QAR6" s="50"/>
      <c r="QAS6" s="50"/>
      <c r="QAT6" s="50"/>
      <c r="QAU6" s="50"/>
      <c r="QAV6" s="50"/>
      <c r="QAW6" s="50"/>
      <c r="QAX6" s="50"/>
      <c r="QAY6" s="50"/>
      <c r="QAZ6" s="50"/>
      <c r="QBA6" s="50"/>
      <c r="QBB6" s="50"/>
      <c r="QBC6" s="50"/>
      <c r="QBD6" s="50"/>
      <c r="QBE6" s="50"/>
      <c r="QBF6" s="50"/>
      <c r="QBG6" s="50"/>
      <c r="QBH6" s="50"/>
      <c r="QBI6" s="50"/>
      <c r="QBJ6" s="50"/>
      <c r="QBK6" s="50"/>
      <c r="QBL6" s="50"/>
      <c r="QBM6" s="50"/>
      <c r="QBN6" s="50"/>
      <c r="QBO6" s="50"/>
      <c r="QBP6" s="50"/>
      <c r="QBQ6" s="50"/>
      <c r="QBR6" s="50"/>
      <c r="QBS6" s="50"/>
      <c r="QBT6" s="50"/>
      <c r="QBU6" s="50"/>
      <c r="QBV6" s="50"/>
      <c r="QBW6" s="50"/>
      <c r="QBX6" s="50"/>
      <c r="QBY6" s="50"/>
      <c r="QBZ6" s="50"/>
      <c r="QCA6" s="50"/>
      <c r="QCB6" s="50"/>
      <c r="QCC6" s="50"/>
      <c r="QCD6" s="50"/>
      <c r="QCE6" s="50"/>
      <c r="QCF6" s="50"/>
      <c r="QCG6" s="50"/>
      <c r="QCH6" s="50"/>
      <c r="QCI6" s="50"/>
      <c r="QCJ6" s="50"/>
      <c r="QCK6" s="50"/>
      <c r="QCL6" s="50"/>
      <c r="QCM6" s="50"/>
      <c r="QCN6" s="50"/>
      <c r="QCO6" s="50"/>
      <c r="QCP6" s="50"/>
      <c r="QCQ6" s="50"/>
      <c r="QCR6" s="50"/>
      <c r="QCS6" s="50"/>
      <c r="QCT6" s="50"/>
      <c r="QCU6" s="50"/>
      <c r="QCV6" s="50"/>
      <c r="QCW6" s="50"/>
      <c r="QCX6" s="50"/>
      <c r="QCY6" s="50"/>
      <c r="QCZ6" s="50"/>
      <c r="QDA6" s="50"/>
      <c r="QDB6" s="50"/>
      <c r="QDC6" s="50"/>
      <c r="QDD6" s="50"/>
      <c r="QDE6" s="50"/>
      <c r="QDF6" s="50"/>
      <c r="QDG6" s="50"/>
      <c r="QDH6" s="50"/>
      <c r="QDI6" s="50"/>
      <c r="QDJ6" s="50"/>
      <c r="QDK6" s="50"/>
      <c r="QDL6" s="50"/>
      <c r="QDM6" s="50"/>
      <c r="QDN6" s="50"/>
      <c r="QDO6" s="50"/>
      <c r="QDP6" s="50"/>
      <c r="QDQ6" s="50"/>
      <c r="QDR6" s="50"/>
      <c r="QDS6" s="50"/>
      <c r="QDT6" s="50"/>
      <c r="QDU6" s="50"/>
      <c r="QDV6" s="50"/>
      <c r="QDW6" s="50"/>
      <c r="QDX6" s="50"/>
      <c r="QDY6" s="50"/>
      <c r="QDZ6" s="50"/>
      <c r="QEA6" s="50"/>
      <c r="QEB6" s="50"/>
      <c r="QEC6" s="50"/>
      <c r="QED6" s="50"/>
      <c r="QEE6" s="50"/>
      <c r="QEF6" s="50"/>
      <c r="QEG6" s="50"/>
      <c r="QEH6" s="50"/>
      <c r="QEI6" s="50"/>
      <c r="QEJ6" s="50"/>
      <c r="QEK6" s="50"/>
      <c r="QEL6" s="50"/>
      <c r="QEM6" s="50"/>
      <c r="QEN6" s="50"/>
      <c r="QEO6" s="50"/>
      <c r="QEP6" s="50"/>
      <c r="QEQ6" s="50"/>
      <c r="QER6" s="50"/>
      <c r="QES6" s="50"/>
      <c r="QET6" s="50"/>
      <c r="QEU6" s="50"/>
      <c r="QEV6" s="50"/>
      <c r="QEW6" s="50"/>
      <c r="QEX6" s="50"/>
      <c r="QEY6" s="50"/>
      <c r="QEZ6" s="50"/>
      <c r="QFA6" s="50"/>
      <c r="QFB6" s="50"/>
      <c r="QFC6" s="50"/>
      <c r="QFD6" s="50"/>
      <c r="QFE6" s="50"/>
      <c r="QFF6" s="50"/>
      <c r="QFG6" s="50"/>
      <c r="QFH6" s="50"/>
      <c r="QFI6" s="50"/>
      <c r="QFJ6" s="50"/>
      <c r="QFK6" s="50"/>
      <c r="QFL6" s="50"/>
      <c r="QFM6" s="50"/>
      <c r="QFN6" s="50"/>
      <c r="QFO6" s="50"/>
      <c r="QFP6" s="50"/>
      <c r="QFQ6" s="50"/>
      <c r="QFR6" s="50"/>
      <c r="QFS6" s="50"/>
      <c r="QFT6" s="50"/>
      <c r="QFU6" s="50"/>
      <c r="QFV6" s="50"/>
      <c r="QFW6" s="50"/>
      <c r="QFX6" s="50"/>
      <c r="QFY6" s="50"/>
      <c r="QFZ6" s="50"/>
      <c r="QGA6" s="50"/>
      <c r="QGB6" s="50"/>
      <c r="QGC6" s="50"/>
      <c r="QGD6" s="50"/>
      <c r="QGE6" s="50"/>
      <c r="QGF6" s="50"/>
      <c r="QGG6" s="50"/>
      <c r="QGH6" s="50"/>
      <c r="QGI6" s="50"/>
      <c r="QGJ6" s="50"/>
      <c r="QGK6" s="50"/>
      <c r="QGL6" s="50"/>
      <c r="QGM6" s="50"/>
      <c r="QGN6" s="50"/>
      <c r="QGO6" s="50"/>
      <c r="QGP6" s="50"/>
      <c r="QGQ6" s="50"/>
      <c r="QGR6" s="50"/>
      <c r="QGS6" s="50"/>
      <c r="QGT6" s="50"/>
      <c r="QGU6" s="50"/>
      <c r="QGV6" s="50"/>
      <c r="QGW6" s="50"/>
      <c r="QGX6" s="50"/>
      <c r="QGY6" s="50"/>
      <c r="QGZ6" s="50"/>
      <c r="QHA6" s="50"/>
      <c r="QHB6" s="50"/>
      <c r="QHC6" s="50"/>
      <c r="QHD6" s="50"/>
      <c r="QHE6" s="50"/>
      <c r="QHF6" s="50"/>
      <c r="QHG6" s="50"/>
      <c r="QHH6" s="50"/>
      <c r="QHI6" s="50"/>
      <c r="QHJ6" s="50"/>
      <c r="QHK6" s="50"/>
      <c r="QHL6" s="50"/>
      <c r="QHM6" s="50"/>
      <c r="QHN6" s="50"/>
      <c r="QHO6" s="50"/>
      <c r="QHP6" s="50"/>
      <c r="QHQ6" s="50"/>
      <c r="QHR6" s="50"/>
      <c r="QHS6" s="50"/>
      <c r="QHT6" s="50"/>
      <c r="QHU6" s="50"/>
      <c r="QHV6" s="50"/>
      <c r="QHW6" s="50"/>
      <c r="QHX6" s="50"/>
      <c r="QHY6" s="50"/>
      <c r="QHZ6" s="50"/>
      <c r="QIA6" s="50"/>
      <c r="QIB6" s="50"/>
      <c r="QIC6" s="50"/>
      <c r="QID6" s="50"/>
      <c r="QIE6" s="50"/>
      <c r="QIF6" s="50"/>
      <c r="QIG6" s="50"/>
      <c r="QIH6" s="50"/>
      <c r="QII6" s="50"/>
      <c r="QIJ6" s="50"/>
      <c r="QIK6" s="50"/>
      <c r="QIL6" s="50"/>
      <c r="QIM6" s="50"/>
      <c r="QIN6" s="50"/>
      <c r="QIO6" s="50"/>
      <c r="QIP6" s="50"/>
      <c r="QIQ6" s="50"/>
      <c r="QIR6" s="50"/>
      <c r="QIS6" s="50"/>
      <c r="QIT6" s="50"/>
      <c r="QIU6" s="50"/>
      <c r="QIV6" s="50"/>
      <c r="QIW6" s="50"/>
      <c r="QIX6" s="50"/>
      <c r="QIY6" s="50"/>
      <c r="QIZ6" s="50"/>
      <c r="QJA6" s="50"/>
      <c r="QJB6" s="50"/>
      <c r="QJC6" s="50"/>
      <c r="QJD6" s="50"/>
      <c r="QJE6" s="50"/>
      <c r="QJF6" s="50"/>
      <c r="QJG6" s="50"/>
      <c r="QJH6" s="50"/>
      <c r="QJI6" s="50"/>
      <c r="QJJ6" s="50"/>
      <c r="QJK6" s="50"/>
      <c r="QJL6" s="50"/>
      <c r="QJM6" s="50"/>
      <c r="QJN6" s="50"/>
      <c r="QJO6" s="50"/>
      <c r="QJP6" s="50"/>
      <c r="QJQ6" s="50"/>
      <c r="QJR6" s="50"/>
      <c r="QJS6" s="50"/>
      <c r="QJT6" s="50"/>
      <c r="QJU6" s="50"/>
      <c r="QJV6" s="50"/>
      <c r="QJW6" s="50"/>
      <c r="QJX6" s="50"/>
      <c r="QJY6" s="50"/>
      <c r="QJZ6" s="50"/>
      <c r="QKA6" s="50"/>
      <c r="QKB6" s="50"/>
      <c r="QKC6" s="50"/>
      <c r="QKD6" s="50"/>
      <c r="QKE6" s="50"/>
      <c r="QKF6" s="50"/>
      <c r="QKG6" s="50"/>
      <c r="QKH6" s="50"/>
      <c r="QKI6" s="50"/>
      <c r="QKJ6" s="50"/>
      <c r="QKK6" s="50"/>
      <c r="QKL6" s="50"/>
      <c r="QKM6" s="50"/>
      <c r="QKN6" s="50"/>
      <c r="QKO6" s="50"/>
      <c r="QKP6" s="50"/>
      <c r="QKQ6" s="50"/>
      <c r="QKR6" s="50"/>
      <c r="QKS6" s="50"/>
      <c r="QKT6" s="50"/>
      <c r="QKU6" s="50"/>
      <c r="QKV6" s="50"/>
      <c r="QKW6" s="50"/>
      <c r="QKX6" s="50"/>
      <c r="QKY6" s="50"/>
      <c r="QKZ6" s="50"/>
      <c r="QLA6" s="50"/>
      <c r="QLB6" s="50"/>
      <c r="QLC6" s="50"/>
      <c r="QLD6" s="50"/>
      <c r="QLE6" s="50"/>
      <c r="QLF6" s="50"/>
      <c r="QLG6" s="50"/>
      <c r="QLH6" s="50"/>
      <c r="QLI6" s="50"/>
      <c r="QLJ6" s="50"/>
      <c r="QLK6" s="50"/>
      <c r="QLL6" s="50"/>
      <c r="QLM6" s="50"/>
      <c r="QLN6" s="50"/>
      <c r="QLO6" s="50"/>
      <c r="QLP6" s="50"/>
      <c r="QLQ6" s="50"/>
      <c r="QLR6" s="50"/>
      <c r="QLS6" s="50"/>
      <c r="QLT6" s="50"/>
      <c r="QLU6" s="50"/>
      <c r="QLV6" s="50"/>
      <c r="QLW6" s="50"/>
      <c r="QLX6" s="50"/>
      <c r="QLY6" s="50"/>
      <c r="QLZ6" s="50"/>
      <c r="QMA6" s="50"/>
      <c r="QMB6" s="50"/>
      <c r="QMC6" s="50"/>
      <c r="QMD6" s="50"/>
      <c r="QME6" s="50"/>
      <c r="QMF6" s="50"/>
      <c r="QMG6" s="50"/>
      <c r="QMH6" s="50"/>
      <c r="QMI6" s="50"/>
      <c r="QMJ6" s="50"/>
      <c r="QMK6" s="50"/>
      <c r="QML6" s="50"/>
      <c r="QMM6" s="50"/>
      <c r="QMN6" s="50"/>
      <c r="QMO6" s="50"/>
      <c r="QMP6" s="50"/>
      <c r="QMQ6" s="50"/>
      <c r="QMR6" s="50"/>
      <c r="QMS6" s="50"/>
      <c r="QMT6" s="50"/>
      <c r="QMU6" s="50"/>
      <c r="QMV6" s="50"/>
      <c r="QMW6" s="50"/>
      <c r="QMX6" s="50"/>
      <c r="QMY6" s="50"/>
      <c r="QMZ6" s="50"/>
      <c r="QNA6" s="50"/>
      <c r="QNB6" s="50"/>
      <c r="QNC6" s="50"/>
      <c r="QND6" s="50"/>
      <c r="QNE6" s="50"/>
      <c r="QNF6" s="50"/>
      <c r="QNG6" s="50"/>
      <c r="QNH6" s="50"/>
      <c r="QNI6" s="50"/>
      <c r="QNJ6" s="50"/>
      <c r="QNK6" s="50"/>
      <c r="QNL6" s="50"/>
      <c r="QNM6" s="50"/>
      <c r="QNN6" s="50"/>
      <c r="QNO6" s="50"/>
      <c r="QNP6" s="50"/>
      <c r="QNQ6" s="50"/>
      <c r="QNR6" s="50"/>
      <c r="QNS6" s="50"/>
      <c r="QNT6" s="50"/>
      <c r="QNU6" s="50"/>
      <c r="QNV6" s="50"/>
      <c r="QNW6" s="50"/>
      <c r="QNX6" s="50"/>
      <c r="QNY6" s="50"/>
      <c r="QNZ6" s="50"/>
      <c r="QOA6" s="50"/>
      <c r="QOB6" s="50"/>
      <c r="QOC6" s="50"/>
      <c r="QOD6" s="50"/>
      <c r="QOE6" s="50"/>
      <c r="QOF6" s="50"/>
      <c r="QOG6" s="50"/>
      <c r="QOH6" s="50"/>
      <c r="QOI6" s="50"/>
      <c r="QOJ6" s="50"/>
      <c r="QOK6" s="50"/>
      <c r="QOL6" s="50"/>
      <c r="QOM6" s="50"/>
      <c r="QON6" s="50"/>
      <c r="QOO6" s="50"/>
      <c r="QOP6" s="50"/>
      <c r="QOQ6" s="50"/>
      <c r="QOR6" s="50"/>
      <c r="QOS6" s="50"/>
      <c r="QOT6" s="50"/>
      <c r="QOU6" s="50"/>
      <c r="QOV6" s="50"/>
      <c r="QOW6" s="50"/>
      <c r="QOX6" s="50"/>
      <c r="QOY6" s="50"/>
      <c r="QOZ6" s="50"/>
      <c r="QPA6" s="50"/>
      <c r="QPB6" s="50"/>
      <c r="QPC6" s="50"/>
      <c r="QPD6" s="50"/>
      <c r="QPE6" s="50"/>
      <c r="QPF6" s="50"/>
      <c r="QPG6" s="50"/>
      <c r="QPH6" s="50"/>
      <c r="QPI6" s="50"/>
      <c r="QPJ6" s="50"/>
      <c r="QPK6" s="50"/>
      <c r="QPL6" s="50"/>
      <c r="QPM6" s="50"/>
      <c r="QPN6" s="50"/>
      <c r="QPO6" s="50"/>
      <c r="QPP6" s="50"/>
      <c r="QPQ6" s="50"/>
      <c r="QPR6" s="50"/>
      <c r="QPS6" s="50"/>
      <c r="QPT6" s="50"/>
      <c r="QPU6" s="50"/>
      <c r="QPV6" s="50"/>
      <c r="QPW6" s="50"/>
      <c r="QPX6" s="50"/>
      <c r="QPY6" s="50"/>
      <c r="QPZ6" s="50"/>
      <c r="QQA6" s="50"/>
      <c r="QQB6" s="50"/>
      <c r="QQC6" s="50"/>
      <c r="QQD6" s="50"/>
      <c r="QQE6" s="50"/>
      <c r="QQF6" s="50"/>
      <c r="QQG6" s="50"/>
      <c r="QQH6" s="50"/>
      <c r="QQI6" s="50"/>
      <c r="QQJ6" s="50"/>
      <c r="QQK6" s="50"/>
      <c r="QQL6" s="50"/>
      <c r="QQM6" s="50"/>
      <c r="QQN6" s="50"/>
      <c r="QQO6" s="50"/>
      <c r="QQP6" s="50"/>
      <c r="QQQ6" s="50"/>
      <c r="QQR6" s="50"/>
      <c r="QQS6" s="50"/>
      <c r="QQT6" s="50"/>
      <c r="QQU6" s="50"/>
      <c r="QQV6" s="50"/>
      <c r="QQW6" s="50"/>
      <c r="QQX6" s="50"/>
      <c r="QQY6" s="50"/>
      <c r="QQZ6" s="50"/>
      <c r="QRA6" s="50"/>
      <c r="QRB6" s="50"/>
      <c r="QRC6" s="50"/>
      <c r="QRD6" s="50"/>
      <c r="QRE6" s="50"/>
      <c r="QRF6" s="50"/>
      <c r="QRG6" s="50"/>
      <c r="QRH6" s="50"/>
      <c r="QRI6" s="50"/>
      <c r="QRJ6" s="50"/>
      <c r="QRK6" s="50"/>
      <c r="QRL6" s="50"/>
      <c r="QRM6" s="50"/>
      <c r="QRN6" s="50"/>
      <c r="QRO6" s="50"/>
      <c r="QRP6" s="50"/>
      <c r="QRQ6" s="50"/>
      <c r="QRR6" s="50"/>
      <c r="QRS6" s="50"/>
      <c r="QRT6" s="50"/>
      <c r="QRU6" s="50"/>
      <c r="QRV6" s="50"/>
      <c r="QRW6" s="50"/>
      <c r="QRX6" s="50"/>
      <c r="QRY6" s="50"/>
      <c r="QRZ6" s="50"/>
      <c r="QSA6" s="50"/>
      <c r="QSB6" s="50"/>
      <c r="QSC6" s="50"/>
      <c r="QSD6" s="50"/>
      <c r="QSE6" s="50"/>
      <c r="QSF6" s="50"/>
      <c r="QSG6" s="50"/>
      <c r="QSH6" s="50"/>
      <c r="QSI6" s="50"/>
      <c r="QSJ6" s="50"/>
      <c r="QSK6" s="50"/>
      <c r="QSL6" s="50"/>
      <c r="QSM6" s="50"/>
      <c r="QSN6" s="50"/>
      <c r="QSO6" s="50"/>
      <c r="QSP6" s="50"/>
      <c r="QSQ6" s="50"/>
      <c r="QSR6" s="50"/>
      <c r="QSS6" s="50"/>
      <c r="QST6" s="50"/>
      <c r="QSU6" s="50"/>
      <c r="QSV6" s="50"/>
      <c r="QSW6" s="50"/>
      <c r="QSX6" s="50"/>
      <c r="QSY6" s="50"/>
      <c r="QSZ6" s="50"/>
      <c r="QTA6" s="50"/>
      <c r="QTB6" s="50"/>
      <c r="QTC6" s="50"/>
      <c r="QTD6" s="50"/>
      <c r="QTE6" s="50"/>
      <c r="QTF6" s="50"/>
      <c r="QTG6" s="50"/>
      <c r="QTH6" s="50"/>
      <c r="QTI6" s="50"/>
      <c r="QTJ6" s="50"/>
      <c r="QTK6" s="50"/>
      <c r="QTL6" s="50"/>
      <c r="QTM6" s="50"/>
      <c r="QTN6" s="50"/>
      <c r="QTO6" s="50"/>
      <c r="QTP6" s="50"/>
      <c r="QTQ6" s="50"/>
      <c r="QTR6" s="50"/>
      <c r="QTS6" s="50"/>
      <c r="QTT6" s="50"/>
      <c r="QTU6" s="50"/>
      <c r="QTV6" s="50"/>
      <c r="QTW6" s="50"/>
      <c r="QTX6" s="50"/>
      <c r="QTY6" s="50"/>
      <c r="QTZ6" s="50"/>
      <c r="QUA6" s="50"/>
      <c r="QUB6" s="50"/>
      <c r="QUC6" s="50"/>
      <c r="QUD6" s="50"/>
      <c r="QUE6" s="50"/>
      <c r="QUF6" s="50"/>
      <c r="QUG6" s="50"/>
      <c r="QUH6" s="50"/>
      <c r="QUI6" s="50"/>
      <c r="QUJ6" s="50"/>
      <c r="QUK6" s="50"/>
      <c r="QUL6" s="50"/>
      <c r="QUM6" s="50"/>
      <c r="QUN6" s="50"/>
      <c r="QUO6" s="50"/>
      <c r="QUP6" s="50"/>
      <c r="QUQ6" s="50"/>
      <c r="QUR6" s="50"/>
      <c r="QUS6" s="50"/>
      <c r="QUT6" s="50"/>
      <c r="QUU6" s="50"/>
      <c r="QUV6" s="50"/>
      <c r="QUW6" s="50"/>
      <c r="QUX6" s="50"/>
      <c r="QUY6" s="50"/>
      <c r="QUZ6" s="50"/>
      <c r="QVA6" s="50"/>
      <c r="QVB6" s="50"/>
      <c r="QVC6" s="50"/>
      <c r="QVD6" s="50"/>
      <c r="QVE6" s="50"/>
      <c r="QVF6" s="50"/>
      <c r="QVG6" s="50"/>
      <c r="QVH6" s="50"/>
      <c r="QVI6" s="50"/>
      <c r="QVJ6" s="50"/>
      <c r="QVK6" s="50"/>
      <c r="QVL6" s="50"/>
      <c r="QVM6" s="50"/>
      <c r="QVN6" s="50"/>
      <c r="QVO6" s="50"/>
      <c r="QVP6" s="50"/>
      <c r="QVQ6" s="50"/>
      <c r="QVR6" s="50"/>
      <c r="QVS6" s="50"/>
      <c r="QVT6" s="50"/>
      <c r="QVU6" s="50"/>
      <c r="QVV6" s="50"/>
      <c r="QVW6" s="50"/>
      <c r="QVX6" s="50"/>
      <c r="QVY6" s="50"/>
      <c r="QVZ6" s="50"/>
      <c r="QWA6" s="50"/>
      <c r="QWB6" s="50"/>
      <c r="QWC6" s="50"/>
      <c r="QWD6" s="50"/>
      <c r="QWE6" s="50"/>
      <c r="QWF6" s="50"/>
      <c r="QWG6" s="50"/>
      <c r="QWH6" s="50"/>
      <c r="QWI6" s="50"/>
      <c r="QWJ6" s="50"/>
      <c r="QWK6" s="50"/>
      <c r="QWL6" s="50"/>
      <c r="QWM6" s="50"/>
      <c r="QWN6" s="50"/>
      <c r="QWO6" s="50"/>
      <c r="QWP6" s="50"/>
      <c r="QWQ6" s="50"/>
      <c r="QWR6" s="50"/>
      <c r="QWS6" s="50"/>
      <c r="QWT6" s="50"/>
      <c r="QWU6" s="50"/>
      <c r="QWV6" s="50"/>
      <c r="QWW6" s="50"/>
      <c r="QWX6" s="50"/>
      <c r="QWY6" s="50"/>
      <c r="QWZ6" s="50"/>
      <c r="QXA6" s="50"/>
      <c r="QXB6" s="50"/>
      <c r="QXC6" s="50"/>
      <c r="QXD6" s="50"/>
      <c r="QXE6" s="50"/>
      <c r="QXF6" s="50"/>
      <c r="QXG6" s="50"/>
      <c r="QXH6" s="50"/>
      <c r="QXI6" s="50"/>
      <c r="QXJ6" s="50"/>
      <c r="QXK6" s="50"/>
      <c r="QXL6" s="50"/>
      <c r="QXM6" s="50"/>
      <c r="QXN6" s="50"/>
      <c r="QXO6" s="50"/>
      <c r="QXP6" s="50"/>
      <c r="QXQ6" s="50"/>
      <c r="QXR6" s="50"/>
      <c r="QXS6" s="50"/>
      <c r="QXT6" s="50"/>
      <c r="QXU6" s="50"/>
      <c r="QXV6" s="50"/>
      <c r="QXW6" s="50"/>
      <c r="QXX6" s="50"/>
      <c r="QXY6" s="50"/>
      <c r="QXZ6" s="50"/>
      <c r="QYA6" s="50"/>
      <c r="QYB6" s="50"/>
      <c r="QYC6" s="50"/>
      <c r="QYD6" s="50"/>
      <c r="QYE6" s="50"/>
      <c r="QYF6" s="50"/>
      <c r="QYG6" s="50"/>
      <c r="QYH6" s="50"/>
      <c r="QYI6" s="50"/>
      <c r="QYJ6" s="50"/>
      <c r="QYK6" s="50"/>
      <c r="QYL6" s="50"/>
      <c r="QYM6" s="50"/>
      <c r="QYN6" s="50"/>
      <c r="QYO6" s="50"/>
      <c r="QYP6" s="50"/>
      <c r="QYQ6" s="50"/>
      <c r="QYR6" s="50"/>
      <c r="QYS6" s="50"/>
      <c r="QYT6" s="50"/>
      <c r="QYU6" s="50"/>
      <c r="QYV6" s="50"/>
      <c r="QYW6" s="50"/>
      <c r="QYX6" s="50"/>
      <c r="QYY6" s="50"/>
      <c r="QYZ6" s="50"/>
      <c r="QZA6" s="50"/>
      <c r="QZB6" s="50"/>
      <c r="QZC6" s="50"/>
      <c r="QZD6" s="50"/>
      <c r="QZE6" s="50"/>
      <c r="QZF6" s="50"/>
      <c r="QZG6" s="50"/>
      <c r="QZH6" s="50"/>
      <c r="QZI6" s="50"/>
      <c r="QZJ6" s="50"/>
      <c r="QZK6" s="50"/>
      <c r="QZL6" s="50"/>
      <c r="QZM6" s="50"/>
      <c r="QZN6" s="50"/>
      <c r="QZO6" s="50"/>
      <c r="QZP6" s="50"/>
      <c r="QZQ6" s="50"/>
      <c r="QZR6" s="50"/>
      <c r="QZS6" s="50"/>
      <c r="QZT6" s="50"/>
      <c r="QZU6" s="50"/>
      <c r="QZV6" s="50"/>
      <c r="QZW6" s="50"/>
      <c r="QZX6" s="50"/>
      <c r="QZY6" s="50"/>
      <c r="QZZ6" s="50"/>
      <c r="RAA6" s="50"/>
      <c r="RAB6" s="50"/>
      <c r="RAC6" s="50"/>
      <c r="RAD6" s="50"/>
      <c r="RAE6" s="50"/>
      <c r="RAF6" s="50"/>
      <c r="RAG6" s="50"/>
      <c r="RAH6" s="50"/>
      <c r="RAI6" s="50"/>
      <c r="RAJ6" s="50"/>
      <c r="RAK6" s="50"/>
      <c r="RAL6" s="50"/>
      <c r="RAM6" s="50"/>
      <c r="RAN6" s="50"/>
      <c r="RAO6" s="50"/>
      <c r="RAP6" s="50"/>
      <c r="RAQ6" s="50"/>
      <c r="RAR6" s="50"/>
      <c r="RAS6" s="50"/>
      <c r="RAT6" s="50"/>
      <c r="RAU6" s="50"/>
      <c r="RAV6" s="50"/>
      <c r="RAW6" s="50"/>
      <c r="RAX6" s="50"/>
      <c r="RAY6" s="50"/>
      <c r="RAZ6" s="50"/>
      <c r="RBA6" s="50"/>
      <c r="RBB6" s="50"/>
      <c r="RBC6" s="50"/>
      <c r="RBD6" s="50"/>
      <c r="RBE6" s="50"/>
      <c r="RBF6" s="50"/>
      <c r="RBG6" s="50"/>
      <c r="RBH6" s="50"/>
      <c r="RBI6" s="50"/>
      <c r="RBJ6" s="50"/>
      <c r="RBK6" s="50"/>
      <c r="RBL6" s="50"/>
      <c r="RBM6" s="50"/>
      <c r="RBN6" s="50"/>
      <c r="RBO6" s="50"/>
      <c r="RBP6" s="50"/>
      <c r="RBQ6" s="50"/>
      <c r="RBR6" s="50"/>
      <c r="RBS6" s="50"/>
      <c r="RBT6" s="50"/>
      <c r="RBU6" s="50"/>
      <c r="RBV6" s="50"/>
      <c r="RBW6" s="50"/>
      <c r="RBX6" s="50"/>
      <c r="RBY6" s="50"/>
      <c r="RBZ6" s="50"/>
      <c r="RCA6" s="50"/>
      <c r="RCB6" s="50"/>
      <c r="RCC6" s="50"/>
      <c r="RCD6" s="50"/>
      <c r="RCE6" s="50"/>
      <c r="RCF6" s="50"/>
      <c r="RCG6" s="50"/>
      <c r="RCH6" s="50"/>
      <c r="RCI6" s="50"/>
      <c r="RCJ6" s="50"/>
      <c r="RCK6" s="50"/>
      <c r="RCL6" s="50"/>
      <c r="RCM6" s="50"/>
      <c r="RCN6" s="50"/>
      <c r="RCO6" s="50"/>
      <c r="RCP6" s="50"/>
      <c r="RCQ6" s="50"/>
      <c r="RCR6" s="50"/>
      <c r="RCS6" s="50"/>
      <c r="RCT6" s="50"/>
      <c r="RCU6" s="50"/>
      <c r="RCV6" s="50"/>
      <c r="RCW6" s="50"/>
      <c r="RCX6" s="50"/>
      <c r="RCY6" s="50"/>
      <c r="RCZ6" s="50"/>
      <c r="RDA6" s="50"/>
      <c r="RDB6" s="50"/>
      <c r="RDC6" s="50"/>
      <c r="RDD6" s="50"/>
      <c r="RDE6" s="50"/>
      <c r="RDF6" s="50"/>
      <c r="RDG6" s="50"/>
      <c r="RDH6" s="50"/>
      <c r="RDI6" s="50"/>
      <c r="RDJ6" s="50"/>
      <c r="RDK6" s="50"/>
      <c r="RDL6" s="50"/>
      <c r="RDM6" s="50"/>
      <c r="RDN6" s="50"/>
      <c r="RDO6" s="50"/>
      <c r="RDP6" s="50"/>
      <c r="RDQ6" s="50"/>
      <c r="RDR6" s="50"/>
      <c r="RDS6" s="50"/>
      <c r="RDT6" s="50"/>
      <c r="RDU6" s="50"/>
      <c r="RDV6" s="50"/>
      <c r="RDW6" s="50"/>
      <c r="RDX6" s="50"/>
      <c r="RDY6" s="50"/>
      <c r="RDZ6" s="50"/>
      <c r="REA6" s="50"/>
      <c r="REB6" s="50"/>
      <c r="REC6" s="50"/>
      <c r="RED6" s="50"/>
      <c r="REE6" s="50"/>
      <c r="REF6" s="50"/>
      <c r="REG6" s="50"/>
      <c r="REH6" s="50"/>
      <c r="REI6" s="50"/>
      <c r="REJ6" s="50"/>
      <c r="REK6" s="50"/>
      <c r="REL6" s="50"/>
      <c r="REM6" s="50"/>
      <c r="REN6" s="50"/>
      <c r="REO6" s="50"/>
      <c r="REP6" s="50"/>
      <c r="REQ6" s="50"/>
      <c r="RER6" s="50"/>
      <c r="RES6" s="50"/>
      <c r="RET6" s="50"/>
      <c r="REU6" s="50"/>
      <c r="REV6" s="50"/>
      <c r="REW6" s="50"/>
      <c r="REX6" s="50"/>
      <c r="REY6" s="50"/>
      <c r="REZ6" s="50"/>
      <c r="RFA6" s="50"/>
      <c r="RFB6" s="50"/>
      <c r="RFC6" s="50"/>
      <c r="RFD6" s="50"/>
      <c r="RFE6" s="50"/>
      <c r="RFF6" s="50"/>
      <c r="RFG6" s="50"/>
      <c r="RFH6" s="50"/>
      <c r="RFI6" s="50"/>
      <c r="RFJ6" s="50"/>
      <c r="RFK6" s="50"/>
      <c r="RFL6" s="50"/>
      <c r="RFM6" s="50"/>
      <c r="RFN6" s="50"/>
      <c r="RFO6" s="50"/>
      <c r="RFP6" s="50"/>
      <c r="RFQ6" s="50"/>
      <c r="RFR6" s="50"/>
      <c r="RFS6" s="50"/>
      <c r="RFT6" s="50"/>
      <c r="RFU6" s="50"/>
      <c r="RFV6" s="50"/>
      <c r="RFW6" s="50"/>
      <c r="RFX6" s="50"/>
      <c r="RFY6" s="50"/>
      <c r="RFZ6" s="50"/>
      <c r="RGA6" s="50"/>
      <c r="RGB6" s="50"/>
      <c r="RGC6" s="50"/>
      <c r="RGD6" s="50"/>
      <c r="RGE6" s="50"/>
      <c r="RGF6" s="50"/>
      <c r="RGG6" s="50"/>
      <c r="RGH6" s="50"/>
      <c r="RGI6" s="50"/>
      <c r="RGJ6" s="50"/>
      <c r="RGK6" s="50"/>
      <c r="RGL6" s="50"/>
      <c r="RGM6" s="50"/>
      <c r="RGN6" s="50"/>
      <c r="RGO6" s="50"/>
      <c r="RGP6" s="50"/>
      <c r="RGQ6" s="50"/>
      <c r="RGR6" s="50"/>
      <c r="RGS6" s="50"/>
      <c r="RGT6" s="50"/>
      <c r="RGU6" s="50"/>
      <c r="RGV6" s="50"/>
      <c r="RGW6" s="50"/>
      <c r="RGX6" s="50"/>
      <c r="RGY6" s="50"/>
      <c r="RGZ6" s="50"/>
      <c r="RHA6" s="50"/>
      <c r="RHB6" s="50"/>
      <c r="RHC6" s="50"/>
      <c r="RHD6" s="50"/>
      <c r="RHE6" s="50"/>
      <c r="RHF6" s="50"/>
      <c r="RHG6" s="50"/>
      <c r="RHH6" s="50"/>
      <c r="RHI6" s="50"/>
      <c r="RHJ6" s="50"/>
      <c r="RHK6" s="50"/>
      <c r="RHL6" s="50"/>
      <c r="RHM6" s="50"/>
      <c r="RHN6" s="50"/>
      <c r="RHO6" s="50"/>
      <c r="RHP6" s="50"/>
      <c r="RHQ6" s="50"/>
      <c r="RHR6" s="50"/>
      <c r="RHS6" s="50"/>
      <c r="RHT6" s="50"/>
      <c r="RHU6" s="50"/>
      <c r="RHV6" s="50"/>
      <c r="RHW6" s="50"/>
      <c r="RHX6" s="50"/>
      <c r="RHY6" s="50"/>
      <c r="RHZ6" s="50"/>
      <c r="RIA6" s="50"/>
      <c r="RIB6" s="50"/>
      <c r="RIC6" s="50"/>
      <c r="RID6" s="50"/>
      <c r="RIE6" s="50"/>
      <c r="RIF6" s="50"/>
      <c r="RIG6" s="50"/>
      <c r="RIH6" s="50"/>
      <c r="RII6" s="50"/>
      <c r="RIJ6" s="50"/>
      <c r="RIK6" s="50"/>
      <c r="RIL6" s="50"/>
      <c r="RIM6" s="50"/>
      <c r="RIN6" s="50"/>
      <c r="RIO6" s="50"/>
      <c r="RIP6" s="50"/>
      <c r="RIQ6" s="50"/>
      <c r="RIR6" s="50"/>
      <c r="RIS6" s="50"/>
      <c r="RIT6" s="50"/>
      <c r="RIU6" s="50"/>
      <c r="RIV6" s="50"/>
      <c r="RIW6" s="50"/>
      <c r="RIX6" s="50"/>
      <c r="RIY6" s="50"/>
      <c r="RIZ6" s="50"/>
      <c r="RJA6" s="50"/>
      <c r="RJB6" s="50"/>
      <c r="RJC6" s="50"/>
      <c r="RJD6" s="50"/>
      <c r="RJE6" s="50"/>
      <c r="RJF6" s="50"/>
      <c r="RJG6" s="50"/>
      <c r="RJH6" s="50"/>
      <c r="RJI6" s="50"/>
      <c r="RJJ6" s="50"/>
      <c r="RJK6" s="50"/>
      <c r="RJL6" s="50"/>
      <c r="RJM6" s="50"/>
      <c r="RJN6" s="50"/>
      <c r="RJO6" s="50"/>
      <c r="RJP6" s="50"/>
      <c r="RJQ6" s="50"/>
      <c r="RJR6" s="50"/>
      <c r="RJS6" s="50"/>
      <c r="RJT6" s="50"/>
      <c r="RJU6" s="50"/>
      <c r="RJV6" s="50"/>
      <c r="RJW6" s="50"/>
      <c r="RJX6" s="50"/>
      <c r="RJY6" s="50"/>
      <c r="RJZ6" s="50"/>
      <c r="RKA6" s="50"/>
      <c r="RKB6" s="50"/>
      <c r="RKC6" s="50"/>
      <c r="RKD6" s="50"/>
      <c r="RKE6" s="50"/>
      <c r="RKF6" s="50"/>
      <c r="RKG6" s="50"/>
      <c r="RKH6" s="50"/>
      <c r="RKI6" s="50"/>
      <c r="RKJ6" s="50"/>
      <c r="RKK6" s="50"/>
      <c r="RKL6" s="50"/>
      <c r="RKM6" s="50"/>
      <c r="RKN6" s="50"/>
      <c r="RKO6" s="50"/>
      <c r="RKP6" s="50"/>
      <c r="RKQ6" s="50"/>
      <c r="RKR6" s="50"/>
      <c r="RKS6" s="50"/>
      <c r="RKT6" s="50"/>
      <c r="RKU6" s="50"/>
      <c r="RKV6" s="50"/>
      <c r="RKW6" s="50"/>
      <c r="RKX6" s="50"/>
      <c r="RKY6" s="50"/>
      <c r="RKZ6" s="50"/>
      <c r="RLA6" s="50"/>
      <c r="RLB6" s="50"/>
      <c r="RLC6" s="50"/>
      <c r="RLD6" s="50"/>
      <c r="RLE6" s="50"/>
      <c r="RLF6" s="50"/>
      <c r="RLG6" s="50"/>
      <c r="RLH6" s="50"/>
      <c r="RLI6" s="50"/>
      <c r="RLJ6" s="50"/>
      <c r="RLK6" s="50"/>
      <c r="RLL6" s="50"/>
      <c r="RLM6" s="50"/>
      <c r="RLN6" s="50"/>
      <c r="RLO6" s="50"/>
      <c r="RLP6" s="50"/>
      <c r="RLQ6" s="50"/>
      <c r="RLR6" s="50"/>
      <c r="RLS6" s="50"/>
      <c r="RLT6" s="50"/>
      <c r="RLU6" s="50"/>
      <c r="RLV6" s="50"/>
      <c r="RLW6" s="50"/>
      <c r="RLX6" s="50"/>
      <c r="RLY6" s="50"/>
      <c r="RLZ6" s="50"/>
      <c r="RMA6" s="50"/>
      <c r="RMB6" s="50"/>
      <c r="RMC6" s="50"/>
      <c r="RMD6" s="50"/>
      <c r="RME6" s="50"/>
      <c r="RMF6" s="50"/>
      <c r="RMG6" s="50"/>
      <c r="RMH6" s="50"/>
      <c r="RMI6" s="50"/>
      <c r="RMJ6" s="50"/>
      <c r="RMK6" s="50"/>
      <c r="RML6" s="50"/>
      <c r="RMM6" s="50"/>
      <c r="RMN6" s="50"/>
      <c r="RMO6" s="50"/>
      <c r="RMP6" s="50"/>
      <c r="RMQ6" s="50"/>
      <c r="RMR6" s="50"/>
      <c r="RMS6" s="50"/>
      <c r="RMT6" s="50"/>
      <c r="RMU6" s="50"/>
      <c r="RMV6" s="50"/>
      <c r="RMW6" s="50"/>
      <c r="RMX6" s="50"/>
      <c r="RMY6" s="50"/>
      <c r="RMZ6" s="50"/>
      <c r="RNA6" s="50"/>
      <c r="RNB6" s="50"/>
      <c r="RNC6" s="50"/>
      <c r="RND6" s="50"/>
      <c r="RNE6" s="50"/>
      <c r="RNF6" s="50"/>
      <c r="RNG6" s="50"/>
      <c r="RNH6" s="50"/>
      <c r="RNI6" s="50"/>
      <c r="RNJ6" s="50"/>
      <c r="RNK6" s="50"/>
      <c r="RNL6" s="50"/>
      <c r="RNM6" s="50"/>
      <c r="RNN6" s="50"/>
      <c r="RNO6" s="50"/>
      <c r="RNP6" s="50"/>
      <c r="RNQ6" s="50"/>
      <c r="RNR6" s="50"/>
      <c r="RNS6" s="50"/>
      <c r="RNT6" s="50"/>
      <c r="RNU6" s="50"/>
      <c r="RNV6" s="50"/>
      <c r="RNW6" s="50"/>
      <c r="RNX6" s="50"/>
      <c r="RNY6" s="50"/>
      <c r="RNZ6" s="50"/>
      <c r="ROA6" s="50"/>
      <c r="ROB6" s="50"/>
      <c r="ROC6" s="50"/>
      <c r="ROD6" s="50"/>
      <c r="ROE6" s="50"/>
      <c r="ROF6" s="50"/>
      <c r="ROG6" s="50"/>
      <c r="ROH6" s="50"/>
      <c r="ROI6" s="50"/>
      <c r="ROJ6" s="50"/>
      <c r="ROK6" s="50"/>
      <c r="ROL6" s="50"/>
      <c r="ROM6" s="50"/>
      <c r="RON6" s="50"/>
      <c r="ROO6" s="50"/>
      <c r="ROP6" s="50"/>
      <c r="ROQ6" s="50"/>
      <c r="ROR6" s="50"/>
      <c r="ROS6" s="50"/>
      <c r="ROT6" s="50"/>
      <c r="ROU6" s="50"/>
      <c r="ROV6" s="50"/>
      <c r="ROW6" s="50"/>
      <c r="ROX6" s="50"/>
      <c r="ROY6" s="50"/>
      <c r="ROZ6" s="50"/>
      <c r="RPA6" s="50"/>
      <c r="RPB6" s="50"/>
      <c r="RPC6" s="50"/>
      <c r="RPD6" s="50"/>
      <c r="RPE6" s="50"/>
      <c r="RPF6" s="50"/>
      <c r="RPG6" s="50"/>
      <c r="RPH6" s="50"/>
      <c r="RPI6" s="50"/>
      <c r="RPJ6" s="50"/>
      <c r="RPK6" s="50"/>
      <c r="RPL6" s="50"/>
      <c r="RPM6" s="50"/>
      <c r="RPN6" s="50"/>
      <c r="RPO6" s="50"/>
      <c r="RPP6" s="50"/>
      <c r="RPQ6" s="50"/>
      <c r="RPR6" s="50"/>
      <c r="RPS6" s="50"/>
      <c r="RPT6" s="50"/>
      <c r="RPU6" s="50"/>
      <c r="RPV6" s="50"/>
      <c r="RPW6" s="50"/>
      <c r="RPX6" s="50"/>
      <c r="RPY6" s="50"/>
      <c r="RPZ6" s="50"/>
      <c r="RQA6" s="50"/>
      <c r="RQB6" s="50"/>
      <c r="RQC6" s="50"/>
      <c r="RQD6" s="50"/>
      <c r="RQE6" s="50"/>
      <c r="RQF6" s="50"/>
      <c r="RQG6" s="50"/>
      <c r="RQH6" s="50"/>
      <c r="RQI6" s="50"/>
      <c r="RQJ6" s="50"/>
      <c r="RQK6" s="50"/>
      <c r="RQL6" s="50"/>
      <c r="RQM6" s="50"/>
      <c r="RQN6" s="50"/>
      <c r="RQO6" s="50"/>
      <c r="RQP6" s="50"/>
      <c r="RQQ6" s="50"/>
      <c r="RQR6" s="50"/>
      <c r="RQS6" s="50"/>
      <c r="RQT6" s="50"/>
      <c r="RQU6" s="50"/>
      <c r="RQV6" s="50"/>
      <c r="RQW6" s="50"/>
      <c r="RQX6" s="50"/>
      <c r="RQY6" s="50"/>
      <c r="RQZ6" s="50"/>
      <c r="RRA6" s="50"/>
      <c r="RRB6" s="50"/>
      <c r="RRC6" s="50"/>
      <c r="RRD6" s="50"/>
      <c r="RRE6" s="50"/>
      <c r="RRF6" s="50"/>
      <c r="RRG6" s="50"/>
      <c r="RRH6" s="50"/>
      <c r="RRI6" s="50"/>
      <c r="RRJ6" s="50"/>
      <c r="RRK6" s="50"/>
      <c r="RRL6" s="50"/>
      <c r="RRM6" s="50"/>
      <c r="RRN6" s="50"/>
      <c r="RRO6" s="50"/>
      <c r="RRP6" s="50"/>
      <c r="RRQ6" s="50"/>
      <c r="RRR6" s="50"/>
      <c r="RRS6" s="50"/>
      <c r="RRT6" s="50"/>
      <c r="RRU6" s="50"/>
      <c r="RRV6" s="50"/>
      <c r="RRW6" s="50"/>
      <c r="RRX6" s="50"/>
      <c r="RRY6" s="50"/>
      <c r="RRZ6" s="50"/>
      <c r="RSA6" s="50"/>
      <c r="RSB6" s="50"/>
      <c r="RSC6" s="50"/>
      <c r="RSD6" s="50"/>
      <c r="RSE6" s="50"/>
      <c r="RSF6" s="50"/>
      <c r="RSG6" s="50"/>
      <c r="RSH6" s="50"/>
      <c r="RSI6" s="50"/>
      <c r="RSJ6" s="50"/>
      <c r="RSK6" s="50"/>
      <c r="RSL6" s="50"/>
      <c r="RSM6" s="50"/>
      <c r="RSN6" s="50"/>
      <c r="RSO6" s="50"/>
      <c r="RSP6" s="50"/>
      <c r="RSQ6" s="50"/>
      <c r="RSR6" s="50"/>
      <c r="RSS6" s="50"/>
      <c r="RST6" s="50"/>
      <c r="RSU6" s="50"/>
      <c r="RSV6" s="50"/>
      <c r="RSW6" s="50"/>
      <c r="RSX6" s="50"/>
      <c r="RSY6" s="50"/>
      <c r="RSZ6" s="50"/>
      <c r="RTA6" s="50"/>
      <c r="RTB6" s="50"/>
      <c r="RTC6" s="50"/>
      <c r="RTD6" s="50"/>
      <c r="RTE6" s="50"/>
      <c r="RTF6" s="50"/>
      <c r="RTG6" s="50"/>
      <c r="RTH6" s="50"/>
      <c r="RTI6" s="50"/>
      <c r="RTJ6" s="50"/>
      <c r="RTK6" s="50"/>
      <c r="RTL6" s="50"/>
      <c r="RTM6" s="50"/>
      <c r="RTN6" s="50"/>
      <c r="RTO6" s="50"/>
      <c r="RTP6" s="50"/>
      <c r="RTQ6" s="50"/>
      <c r="RTR6" s="50"/>
      <c r="RTS6" s="50"/>
      <c r="RTT6" s="50"/>
      <c r="RTU6" s="50"/>
      <c r="RTV6" s="50"/>
      <c r="RTW6" s="50"/>
      <c r="RTX6" s="50"/>
      <c r="RTY6" s="50"/>
      <c r="RTZ6" s="50"/>
      <c r="RUA6" s="50"/>
      <c r="RUB6" s="50"/>
      <c r="RUC6" s="50"/>
      <c r="RUD6" s="50"/>
      <c r="RUE6" s="50"/>
      <c r="RUF6" s="50"/>
      <c r="RUG6" s="50"/>
      <c r="RUH6" s="50"/>
      <c r="RUI6" s="50"/>
      <c r="RUJ6" s="50"/>
      <c r="RUK6" s="50"/>
      <c r="RUL6" s="50"/>
      <c r="RUM6" s="50"/>
      <c r="RUN6" s="50"/>
      <c r="RUO6" s="50"/>
      <c r="RUP6" s="50"/>
      <c r="RUQ6" s="50"/>
      <c r="RUR6" s="50"/>
      <c r="RUS6" s="50"/>
      <c r="RUT6" s="50"/>
      <c r="RUU6" s="50"/>
      <c r="RUV6" s="50"/>
      <c r="RUW6" s="50"/>
      <c r="RUX6" s="50"/>
      <c r="RUY6" s="50"/>
      <c r="RUZ6" s="50"/>
      <c r="RVA6" s="50"/>
      <c r="RVB6" s="50"/>
      <c r="RVC6" s="50"/>
      <c r="RVD6" s="50"/>
      <c r="RVE6" s="50"/>
      <c r="RVF6" s="50"/>
      <c r="RVG6" s="50"/>
      <c r="RVH6" s="50"/>
      <c r="RVI6" s="50"/>
      <c r="RVJ6" s="50"/>
      <c r="RVK6" s="50"/>
      <c r="RVL6" s="50"/>
      <c r="RVM6" s="50"/>
      <c r="RVN6" s="50"/>
      <c r="RVO6" s="50"/>
      <c r="RVP6" s="50"/>
      <c r="RVQ6" s="50"/>
      <c r="RVR6" s="50"/>
      <c r="RVS6" s="50"/>
      <c r="RVT6" s="50"/>
      <c r="RVU6" s="50"/>
      <c r="RVV6" s="50"/>
      <c r="RVW6" s="50"/>
      <c r="RVX6" s="50"/>
      <c r="RVY6" s="50"/>
      <c r="RVZ6" s="50"/>
      <c r="RWA6" s="50"/>
      <c r="RWB6" s="50"/>
      <c r="RWC6" s="50"/>
      <c r="RWD6" s="50"/>
      <c r="RWE6" s="50"/>
      <c r="RWF6" s="50"/>
      <c r="RWG6" s="50"/>
      <c r="RWH6" s="50"/>
      <c r="RWI6" s="50"/>
      <c r="RWJ6" s="50"/>
      <c r="RWK6" s="50"/>
      <c r="RWL6" s="50"/>
      <c r="RWM6" s="50"/>
      <c r="RWN6" s="50"/>
      <c r="RWO6" s="50"/>
      <c r="RWP6" s="50"/>
      <c r="RWQ6" s="50"/>
      <c r="RWR6" s="50"/>
      <c r="RWS6" s="50"/>
      <c r="RWT6" s="50"/>
      <c r="RWU6" s="50"/>
      <c r="RWV6" s="50"/>
      <c r="RWW6" s="50"/>
      <c r="RWX6" s="50"/>
      <c r="RWY6" s="50"/>
      <c r="RWZ6" s="50"/>
      <c r="RXA6" s="50"/>
      <c r="RXB6" s="50"/>
      <c r="RXC6" s="50"/>
      <c r="RXD6" s="50"/>
      <c r="RXE6" s="50"/>
      <c r="RXF6" s="50"/>
      <c r="RXG6" s="50"/>
      <c r="RXH6" s="50"/>
      <c r="RXI6" s="50"/>
      <c r="RXJ6" s="50"/>
      <c r="RXK6" s="50"/>
      <c r="RXL6" s="50"/>
      <c r="RXM6" s="50"/>
      <c r="RXN6" s="50"/>
      <c r="RXO6" s="50"/>
      <c r="RXP6" s="50"/>
      <c r="RXQ6" s="50"/>
      <c r="RXR6" s="50"/>
      <c r="RXS6" s="50"/>
      <c r="RXT6" s="50"/>
      <c r="RXU6" s="50"/>
      <c r="RXV6" s="50"/>
      <c r="RXW6" s="50"/>
      <c r="RXX6" s="50"/>
      <c r="RXY6" s="50"/>
      <c r="RXZ6" s="50"/>
      <c r="RYA6" s="50"/>
      <c r="RYB6" s="50"/>
      <c r="RYC6" s="50"/>
      <c r="RYD6" s="50"/>
      <c r="RYE6" s="50"/>
      <c r="RYF6" s="50"/>
      <c r="RYG6" s="50"/>
      <c r="RYH6" s="50"/>
      <c r="RYI6" s="50"/>
      <c r="RYJ6" s="50"/>
      <c r="RYK6" s="50"/>
      <c r="RYL6" s="50"/>
      <c r="RYM6" s="50"/>
      <c r="RYN6" s="50"/>
      <c r="RYO6" s="50"/>
      <c r="RYP6" s="50"/>
      <c r="RYQ6" s="50"/>
      <c r="RYR6" s="50"/>
      <c r="RYS6" s="50"/>
      <c r="RYT6" s="50"/>
      <c r="RYU6" s="50"/>
      <c r="RYV6" s="50"/>
      <c r="RYW6" s="50"/>
      <c r="RYX6" s="50"/>
      <c r="RYY6" s="50"/>
      <c r="RYZ6" s="50"/>
      <c r="RZA6" s="50"/>
      <c r="RZB6" s="50"/>
      <c r="RZC6" s="50"/>
      <c r="RZD6" s="50"/>
      <c r="RZE6" s="50"/>
      <c r="RZF6" s="50"/>
      <c r="RZG6" s="50"/>
      <c r="RZH6" s="50"/>
      <c r="RZI6" s="50"/>
      <c r="RZJ6" s="50"/>
      <c r="RZK6" s="50"/>
      <c r="RZL6" s="50"/>
      <c r="RZM6" s="50"/>
      <c r="RZN6" s="50"/>
      <c r="RZO6" s="50"/>
      <c r="RZP6" s="50"/>
      <c r="RZQ6" s="50"/>
      <c r="RZR6" s="50"/>
      <c r="RZS6" s="50"/>
      <c r="RZT6" s="50"/>
      <c r="RZU6" s="50"/>
      <c r="RZV6" s="50"/>
      <c r="RZW6" s="50"/>
      <c r="RZX6" s="50"/>
      <c r="RZY6" s="50"/>
      <c r="RZZ6" s="50"/>
      <c r="SAA6" s="50"/>
      <c r="SAB6" s="50"/>
      <c r="SAC6" s="50"/>
      <c r="SAD6" s="50"/>
      <c r="SAE6" s="50"/>
      <c r="SAF6" s="50"/>
      <c r="SAG6" s="50"/>
      <c r="SAH6" s="50"/>
      <c r="SAI6" s="50"/>
      <c r="SAJ6" s="50"/>
      <c r="SAK6" s="50"/>
      <c r="SAL6" s="50"/>
      <c r="SAM6" s="50"/>
      <c r="SAN6" s="50"/>
      <c r="SAO6" s="50"/>
      <c r="SAP6" s="50"/>
      <c r="SAQ6" s="50"/>
      <c r="SAR6" s="50"/>
      <c r="SAS6" s="50"/>
      <c r="SAT6" s="50"/>
      <c r="SAU6" s="50"/>
      <c r="SAV6" s="50"/>
      <c r="SAW6" s="50"/>
      <c r="SAX6" s="50"/>
      <c r="SAY6" s="50"/>
      <c r="SAZ6" s="50"/>
      <c r="SBA6" s="50"/>
      <c r="SBB6" s="50"/>
      <c r="SBC6" s="50"/>
      <c r="SBD6" s="50"/>
      <c r="SBE6" s="50"/>
      <c r="SBF6" s="50"/>
      <c r="SBG6" s="50"/>
      <c r="SBH6" s="50"/>
      <c r="SBI6" s="50"/>
      <c r="SBJ6" s="50"/>
      <c r="SBK6" s="50"/>
      <c r="SBL6" s="50"/>
      <c r="SBM6" s="50"/>
      <c r="SBN6" s="50"/>
      <c r="SBO6" s="50"/>
      <c r="SBP6" s="50"/>
      <c r="SBQ6" s="50"/>
      <c r="SBR6" s="50"/>
      <c r="SBS6" s="50"/>
      <c r="SBT6" s="50"/>
      <c r="SBU6" s="50"/>
      <c r="SBV6" s="50"/>
      <c r="SBW6" s="50"/>
      <c r="SBX6" s="50"/>
      <c r="SBY6" s="50"/>
      <c r="SBZ6" s="50"/>
      <c r="SCA6" s="50"/>
      <c r="SCB6" s="50"/>
      <c r="SCC6" s="50"/>
      <c r="SCD6" s="50"/>
      <c r="SCE6" s="50"/>
      <c r="SCF6" s="50"/>
      <c r="SCG6" s="50"/>
      <c r="SCH6" s="50"/>
      <c r="SCI6" s="50"/>
      <c r="SCJ6" s="50"/>
      <c r="SCK6" s="50"/>
      <c r="SCL6" s="50"/>
      <c r="SCM6" s="50"/>
      <c r="SCN6" s="50"/>
      <c r="SCO6" s="50"/>
      <c r="SCP6" s="50"/>
      <c r="SCQ6" s="50"/>
      <c r="SCR6" s="50"/>
      <c r="SCS6" s="50"/>
      <c r="SCT6" s="50"/>
      <c r="SCU6" s="50"/>
      <c r="SCV6" s="50"/>
      <c r="SCW6" s="50"/>
      <c r="SCX6" s="50"/>
      <c r="SCY6" s="50"/>
      <c r="SCZ6" s="50"/>
      <c r="SDA6" s="50"/>
      <c r="SDB6" s="50"/>
      <c r="SDC6" s="50"/>
      <c r="SDD6" s="50"/>
      <c r="SDE6" s="50"/>
      <c r="SDF6" s="50"/>
      <c r="SDG6" s="50"/>
      <c r="SDH6" s="50"/>
      <c r="SDI6" s="50"/>
      <c r="SDJ6" s="50"/>
      <c r="SDK6" s="50"/>
      <c r="SDL6" s="50"/>
      <c r="SDM6" s="50"/>
      <c r="SDN6" s="50"/>
      <c r="SDO6" s="50"/>
      <c r="SDP6" s="50"/>
      <c r="SDQ6" s="50"/>
      <c r="SDR6" s="50"/>
      <c r="SDS6" s="50"/>
      <c r="SDT6" s="50"/>
      <c r="SDU6" s="50"/>
      <c r="SDV6" s="50"/>
      <c r="SDW6" s="50"/>
      <c r="SDX6" s="50"/>
      <c r="SDY6" s="50"/>
      <c r="SDZ6" s="50"/>
      <c r="SEA6" s="50"/>
      <c r="SEB6" s="50"/>
      <c r="SEC6" s="50"/>
      <c r="SED6" s="50"/>
      <c r="SEE6" s="50"/>
      <c r="SEF6" s="50"/>
      <c r="SEG6" s="50"/>
      <c r="SEH6" s="50"/>
      <c r="SEI6" s="50"/>
      <c r="SEJ6" s="50"/>
      <c r="SEK6" s="50"/>
      <c r="SEL6" s="50"/>
      <c r="SEM6" s="50"/>
      <c r="SEN6" s="50"/>
      <c r="SEO6" s="50"/>
      <c r="SEP6" s="50"/>
      <c r="SEQ6" s="50"/>
      <c r="SER6" s="50"/>
      <c r="SES6" s="50"/>
      <c r="SET6" s="50"/>
      <c r="SEU6" s="50"/>
      <c r="SEV6" s="50"/>
      <c r="SEW6" s="50"/>
      <c r="SEX6" s="50"/>
      <c r="SEY6" s="50"/>
      <c r="SEZ6" s="50"/>
      <c r="SFA6" s="50"/>
      <c r="SFB6" s="50"/>
      <c r="SFC6" s="50"/>
      <c r="SFD6" s="50"/>
      <c r="SFE6" s="50"/>
      <c r="SFF6" s="50"/>
      <c r="SFG6" s="50"/>
      <c r="SFH6" s="50"/>
      <c r="SFI6" s="50"/>
      <c r="SFJ6" s="50"/>
      <c r="SFK6" s="50"/>
      <c r="SFL6" s="50"/>
      <c r="SFM6" s="50"/>
      <c r="SFN6" s="50"/>
      <c r="SFO6" s="50"/>
      <c r="SFP6" s="50"/>
      <c r="SFQ6" s="50"/>
      <c r="SFR6" s="50"/>
      <c r="SFS6" s="50"/>
      <c r="SFT6" s="50"/>
      <c r="SFU6" s="50"/>
      <c r="SFV6" s="50"/>
      <c r="SFW6" s="50"/>
      <c r="SFX6" s="50"/>
      <c r="SFY6" s="50"/>
      <c r="SFZ6" s="50"/>
      <c r="SGA6" s="50"/>
      <c r="SGB6" s="50"/>
      <c r="SGC6" s="50"/>
      <c r="SGD6" s="50"/>
      <c r="SGE6" s="50"/>
      <c r="SGF6" s="50"/>
      <c r="SGG6" s="50"/>
      <c r="SGH6" s="50"/>
      <c r="SGI6" s="50"/>
      <c r="SGJ6" s="50"/>
      <c r="SGK6" s="50"/>
      <c r="SGL6" s="50"/>
      <c r="SGM6" s="50"/>
      <c r="SGN6" s="50"/>
      <c r="SGO6" s="50"/>
      <c r="SGP6" s="50"/>
      <c r="SGQ6" s="50"/>
      <c r="SGR6" s="50"/>
      <c r="SGS6" s="50"/>
      <c r="SGT6" s="50"/>
      <c r="SGU6" s="50"/>
      <c r="SGV6" s="50"/>
      <c r="SGW6" s="50"/>
      <c r="SGX6" s="50"/>
      <c r="SGY6" s="50"/>
      <c r="SGZ6" s="50"/>
      <c r="SHA6" s="50"/>
      <c r="SHB6" s="50"/>
      <c r="SHC6" s="50"/>
      <c r="SHD6" s="50"/>
      <c r="SHE6" s="50"/>
      <c r="SHF6" s="50"/>
      <c r="SHG6" s="50"/>
      <c r="SHH6" s="50"/>
      <c r="SHI6" s="50"/>
      <c r="SHJ6" s="50"/>
      <c r="SHK6" s="50"/>
      <c r="SHL6" s="50"/>
      <c r="SHM6" s="50"/>
      <c r="SHN6" s="50"/>
      <c r="SHO6" s="50"/>
      <c r="SHP6" s="50"/>
      <c r="SHQ6" s="50"/>
      <c r="SHR6" s="50"/>
      <c r="SHS6" s="50"/>
      <c r="SHT6" s="50"/>
      <c r="SHU6" s="50"/>
      <c r="SHV6" s="50"/>
      <c r="SHW6" s="50"/>
      <c r="SHX6" s="50"/>
      <c r="SHY6" s="50"/>
      <c r="SHZ6" s="50"/>
      <c r="SIA6" s="50"/>
      <c r="SIB6" s="50"/>
      <c r="SIC6" s="50"/>
      <c r="SID6" s="50"/>
      <c r="SIE6" s="50"/>
      <c r="SIF6" s="50"/>
      <c r="SIG6" s="50"/>
      <c r="SIH6" s="50"/>
      <c r="SII6" s="50"/>
      <c r="SIJ6" s="50"/>
      <c r="SIK6" s="50"/>
      <c r="SIL6" s="50"/>
      <c r="SIM6" s="50"/>
      <c r="SIN6" s="50"/>
      <c r="SIO6" s="50"/>
      <c r="SIP6" s="50"/>
      <c r="SIQ6" s="50"/>
      <c r="SIR6" s="50"/>
      <c r="SIS6" s="50"/>
      <c r="SIT6" s="50"/>
      <c r="SIU6" s="50"/>
      <c r="SIV6" s="50"/>
      <c r="SIW6" s="50"/>
      <c r="SIX6" s="50"/>
      <c r="SIY6" s="50"/>
      <c r="SIZ6" s="50"/>
      <c r="SJA6" s="50"/>
      <c r="SJB6" s="50"/>
      <c r="SJC6" s="50"/>
      <c r="SJD6" s="50"/>
      <c r="SJE6" s="50"/>
      <c r="SJF6" s="50"/>
      <c r="SJG6" s="50"/>
      <c r="SJH6" s="50"/>
      <c r="SJI6" s="50"/>
      <c r="SJJ6" s="50"/>
      <c r="SJK6" s="50"/>
      <c r="SJL6" s="50"/>
      <c r="SJM6" s="50"/>
      <c r="SJN6" s="50"/>
      <c r="SJO6" s="50"/>
      <c r="SJP6" s="50"/>
      <c r="SJQ6" s="50"/>
      <c r="SJR6" s="50"/>
      <c r="SJS6" s="50"/>
      <c r="SJT6" s="50"/>
      <c r="SJU6" s="50"/>
      <c r="SJV6" s="50"/>
      <c r="SJW6" s="50"/>
      <c r="SJX6" s="50"/>
      <c r="SJY6" s="50"/>
      <c r="SJZ6" s="50"/>
      <c r="SKA6" s="50"/>
      <c r="SKB6" s="50"/>
      <c r="SKC6" s="50"/>
      <c r="SKD6" s="50"/>
      <c r="SKE6" s="50"/>
      <c r="SKF6" s="50"/>
      <c r="SKG6" s="50"/>
      <c r="SKH6" s="50"/>
      <c r="SKI6" s="50"/>
      <c r="SKJ6" s="50"/>
      <c r="SKK6" s="50"/>
      <c r="SKL6" s="50"/>
      <c r="SKM6" s="50"/>
      <c r="SKN6" s="50"/>
      <c r="SKO6" s="50"/>
      <c r="SKP6" s="50"/>
      <c r="SKQ6" s="50"/>
      <c r="SKR6" s="50"/>
      <c r="SKS6" s="50"/>
      <c r="SKT6" s="50"/>
      <c r="SKU6" s="50"/>
      <c r="SKV6" s="50"/>
      <c r="SKW6" s="50"/>
      <c r="SKX6" s="50"/>
      <c r="SKY6" s="50"/>
      <c r="SKZ6" s="50"/>
      <c r="SLA6" s="50"/>
      <c r="SLB6" s="50"/>
      <c r="SLC6" s="50"/>
      <c r="SLD6" s="50"/>
      <c r="SLE6" s="50"/>
      <c r="SLF6" s="50"/>
      <c r="SLG6" s="50"/>
      <c r="SLH6" s="50"/>
      <c r="SLI6" s="50"/>
      <c r="SLJ6" s="50"/>
      <c r="SLK6" s="50"/>
      <c r="SLL6" s="50"/>
      <c r="SLM6" s="50"/>
      <c r="SLN6" s="50"/>
      <c r="SLO6" s="50"/>
      <c r="SLP6" s="50"/>
      <c r="SLQ6" s="50"/>
      <c r="SLR6" s="50"/>
      <c r="SLS6" s="50"/>
      <c r="SLT6" s="50"/>
      <c r="SLU6" s="50"/>
      <c r="SLV6" s="50"/>
      <c r="SLW6" s="50"/>
      <c r="SLX6" s="50"/>
      <c r="SLY6" s="50"/>
      <c r="SLZ6" s="50"/>
      <c r="SMA6" s="50"/>
      <c r="SMB6" s="50"/>
      <c r="SMC6" s="50"/>
      <c r="SMD6" s="50"/>
      <c r="SME6" s="50"/>
      <c r="SMF6" s="50"/>
      <c r="SMG6" s="50"/>
      <c r="SMH6" s="50"/>
      <c r="SMI6" s="50"/>
      <c r="SMJ6" s="50"/>
      <c r="SMK6" s="50"/>
      <c r="SML6" s="50"/>
      <c r="SMM6" s="50"/>
      <c r="SMN6" s="50"/>
      <c r="SMO6" s="50"/>
      <c r="SMP6" s="50"/>
      <c r="SMQ6" s="50"/>
      <c r="SMR6" s="50"/>
      <c r="SMS6" s="50"/>
      <c r="SMT6" s="50"/>
      <c r="SMU6" s="50"/>
      <c r="SMV6" s="50"/>
      <c r="SMW6" s="50"/>
      <c r="SMX6" s="50"/>
      <c r="SMY6" s="50"/>
      <c r="SMZ6" s="50"/>
      <c r="SNA6" s="50"/>
      <c r="SNB6" s="50"/>
      <c r="SNC6" s="50"/>
      <c r="SND6" s="50"/>
      <c r="SNE6" s="50"/>
      <c r="SNF6" s="50"/>
      <c r="SNG6" s="50"/>
      <c r="SNH6" s="50"/>
      <c r="SNI6" s="50"/>
      <c r="SNJ6" s="50"/>
      <c r="SNK6" s="50"/>
      <c r="SNL6" s="50"/>
      <c r="SNM6" s="50"/>
      <c r="SNN6" s="50"/>
      <c r="SNO6" s="50"/>
      <c r="SNP6" s="50"/>
      <c r="SNQ6" s="50"/>
      <c r="SNR6" s="50"/>
      <c r="SNS6" s="50"/>
      <c r="SNT6" s="50"/>
      <c r="SNU6" s="50"/>
      <c r="SNV6" s="50"/>
      <c r="SNW6" s="50"/>
      <c r="SNX6" s="50"/>
      <c r="SNY6" s="50"/>
      <c r="SNZ6" s="50"/>
      <c r="SOA6" s="50"/>
      <c r="SOB6" s="50"/>
      <c r="SOC6" s="50"/>
      <c r="SOD6" s="50"/>
      <c r="SOE6" s="50"/>
      <c r="SOF6" s="50"/>
      <c r="SOG6" s="50"/>
      <c r="SOH6" s="50"/>
      <c r="SOI6" s="50"/>
      <c r="SOJ6" s="50"/>
      <c r="SOK6" s="50"/>
      <c r="SOL6" s="50"/>
      <c r="SOM6" s="50"/>
      <c r="SON6" s="50"/>
      <c r="SOO6" s="50"/>
      <c r="SOP6" s="50"/>
      <c r="SOQ6" s="50"/>
      <c r="SOR6" s="50"/>
      <c r="SOS6" s="50"/>
      <c r="SOT6" s="50"/>
      <c r="SOU6" s="50"/>
      <c r="SOV6" s="50"/>
      <c r="SOW6" s="50"/>
      <c r="SOX6" s="50"/>
      <c r="SOY6" s="50"/>
      <c r="SOZ6" s="50"/>
      <c r="SPA6" s="50"/>
      <c r="SPB6" s="50"/>
      <c r="SPC6" s="50"/>
      <c r="SPD6" s="50"/>
      <c r="SPE6" s="50"/>
      <c r="SPF6" s="50"/>
      <c r="SPG6" s="50"/>
      <c r="SPH6" s="50"/>
      <c r="SPI6" s="50"/>
      <c r="SPJ6" s="50"/>
      <c r="SPK6" s="50"/>
      <c r="SPL6" s="50"/>
      <c r="SPM6" s="50"/>
      <c r="SPN6" s="50"/>
      <c r="SPO6" s="50"/>
      <c r="SPP6" s="50"/>
      <c r="SPQ6" s="50"/>
      <c r="SPR6" s="50"/>
      <c r="SPS6" s="50"/>
      <c r="SPT6" s="50"/>
      <c r="SPU6" s="50"/>
      <c r="SPV6" s="50"/>
      <c r="SPW6" s="50"/>
      <c r="SPX6" s="50"/>
      <c r="SPY6" s="50"/>
      <c r="SPZ6" s="50"/>
      <c r="SQA6" s="50"/>
      <c r="SQB6" s="50"/>
      <c r="SQC6" s="50"/>
      <c r="SQD6" s="50"/>
      <c r="SQE6" s="50"/>
      <c r="SQF6" s="50"/>
      <c r="SQG6" s="50"/>
      <c r="SQH6" s="50"/>
      <c r="SQI6" s="50"/>
      <c r="SQJ6" s="50"/>
      <c r="SQK6" s="50"/>
      <c r="SQL6" s="50"/>
      <c r="SQM6" s="50"/>
      <c r="SQN6" s="50"/>
      <c r="SQO6" s="50"/>
      <c r="SQP6" s="50"/>
      <c r="SQQ6" s="50"/>
      <c r="SQR6" s="50"/>
      <c r="SQS6" s="50"/>
      <c r="SQT6" s="50"/>
      <c r="SQU6" s="50"/>
      <c r="SQV6" s="50"/>
      <c r="SQW6" s="50"/>
      <c r="SQX6" s="50"/>
      <c r="SQY6" s="50"/>
      <c r="SQZ6" s="50"/>
      <c r="SRA6" s="50"/>
      <c r="SRB6" s="50"/>
      <c r="SRC6" s="50"/>
      <c r="SRD6" s="50"/>
      <c r="SRE6" s="50"/>
      <c r="SRF6" s="50"/>
      <c r="SRG6" s="50"/>
      <c r="SRH6" s="50"/>
      <c r="SRI6" s="50"/>
      <c r="SRJ6" s="50"/>
      <c r="SRK6" s="50"/>
      <c r="SRL6" s="50"/>
      <c r="SRM6" s="50"/>
      <c r="SRN6" s="50"/>
      <c r="SRO6" s="50"/>
      <c r="SRP6" s="50"/>
      <c r="SRQ6" s="50"/>
      <c r="SRR6" s="50"/>
      <c r="SRS6" s="50"/>
      <c r="SRT6" s="50"/>
      <c r="SRU6" s="50"/>
      <c r="SRV6" s="50"/>
      <c r="SRW6" s="50"/>
      <c r="SRX6" s="50"/>
      <c r="SRY6" s="50"/>
      <c r="SRZ6" s="50"/>
      <c r="SSA6" s="50"/>
      <c r="SSB6" s="50"/>
      <c r="SSC6" s="50"/>
      <c r="SSD6" s="50"/>
      <c r="SSE6" s="50"/>
      <c r="SSF6" s="50"/>
      <c r="SSG6" s="50"/>
      <c r="SSH6" s="50"/>
      <c r="SSI6" s="50"/>
      <c r="SSJ6" s="50"/>
      <c r="SSK6" s="50"/>
      <c r="SSL6" s="50"/>
      <c r="SSM6" s="50"/>
      <c r="SSN6" s="50"/>
      <c r="SSO6" s="50"/>
      <c r="SSP6" s="50"/>
      <c r="SSQ6" s="50"/>
      <c r="SSR6" s="50"/>
      <c r="SSS6" s="50"/>
      <c r="SST6" s="50"/>
      <c r="SSU6" s="50"/>
      <c r="SSV6" s="50"/>
      <c r="SSW6" s="50"/>
      <c r="SSX6" s="50"/>
      <c r="SSY6" s="50"/>
      <c r="SSZ6" s="50"/>
      <c r="STA6" s="50"/>
      <c r="STB6" s="50"/>
      <c r="STC6" s="50"/>
      <c r="STD6" s="50"/>
      <c r="STE6" s="50"/>
      <c r="STF6" s="50"/>
      <c r="STG6" s="50"/>
      <c r="STH6" s="50"/>
      <c r="STI6" s="50"/>
      <c r="STJ6" s="50"/>
      <c r="STK6" s="50"/>
      <c r="STL6" s="50"/>
      <c r="STM6" s="50"/>
      <c r="STN6" s="50"/>
      <c r="STO6" s="50"/>
      <c r="STP6" s="50"/>
      <c r="STQ6" s="50"/>
      <c r="STR6" s="50"/>
      <c r="STS6" s="50"/>
      <c r="STT6" s="50"/>
      <c r="STU6" s="50"/>
      <c r="STV6" s="50"/>
      <c r="STW6" s="50"/>
      <c r="STX6" s="50"/>
      <c r="STY6" s="50"/>
      <c r="STZ6" s="50"/>
      <c r="SUA6" s="50"/>
      <c r="SUB6" s="50"/>
      <c r="SUC6" s="50"/>
      <c r="SUD6" s="50"/>
      <c r="SUE6" s="50"/>
      <c r="SUF6" s="50"/>
      <c r="SUG6" s="50"/>
      <c r="SUH6" s="50"/>
      <c r="SUI6" s="50"/>
      <c r="SUJ6" s="50"/>
      <c r="SUK6" s="50"/>
      <c r="SUL6" s="50"/>
      <c r="SUM6" s="50"/>
      <c r="SUN6" s="50"/>
      <c r="SUO6" s="50"/>
      <c r="SUP6" s="50"/>
      <c r="SUQ6" s="50"/>
      <c r="SUR6" s="50"/>
      <c r="SUS6" s="50"/>
      <c r="SUT6" s="50"/>
      <c r="SUU6" s="50"/>
      <c r="SUV6" s="50"/>
      <c r="SUW6" s="50"/>
      <c r="SUX6" s="50"/>
      <c r="SUY6" s="50"/>
      <c r="SUZ6" s="50"/>
      <c r="SVA6" s="50"/>
      <c r="SVB6" s="50"/>
      <c r="SVC6" s="50"/>
      <c r="SVD6" s="50"/>
      <c r="SVE6" s="50"/>
      <c r="SVF6" s="50"/>
      <c r="SVG6" s="50"/>
      <c r="SVH6" s="50"/>
      <c r="SVI6" s="50"/>
      <c r="SVJ6" s="50"/>
      <c r="SVK6" s="50"/>
      <c r="SVL6" s="50"/>
      <c r="SVM6" s="50"/>
      <c r="SVN6" s="50"/>
      <c r="SVO6" s="50"/>
      <c r="SVP6" s="50"/>
      <c r="SVQ6" s="50"/>
      <c r="SVR6" s="50"/>
      <c r="SVS6" s="50"/>
      <c r="SVT6" s="50"/>
      <c r="SVU6" s="50"/>
      <c r="SVV6" s="50"/>
      <c r="SVW6" s="50"/>
      <c r="SVX6" s="50"/>
      <c r="SVY6" s="50"/>
      <c r="SVZ6" s="50"/>
      <c r="SWA6" s="50"/>
      <c r="SWB6" s="50"/>
      <c r="SWC6" s="50"/>
      <c r="SWD6" s="50"/>
      <c r="SWE6" s="50"/>
      <c r="SWF6" s="50"/>
      <c r="SWG6" s="50"/>
      <c r="SWH6" s="50"/>
      <c r="SWI6" s="50"/>
      <c r="SWJ6" s="50"/>
      <c r="SWK6" s="50"/>
      <c r="SWL6" s="50"/>
      <c r="SWM6" s="50"/>
      <c r="SWN6" s="50"/>
      <c r="SWO6" s="50"/>
      <c r="SWP6" s="50"/>
      <c r="SWQ6" s="50"/>
      <c r="SWR6" s="50"/>
      <c r="SWS6" s="50"/>
      <c r="SWT6" s="50"/>
      <c r="SWU6" s="50"/>
      <c r="SWV6" s="50"/>
      <c r="SWW6" s="50"/>
      <c r="SWX6" s="50"/>
      <c r="SWY6" s="50"/>
      <c r="SWZ6" s="50"/>
      <c r="SXA6" s="50"/>
      <c r="SXB6" s="50"/>
      <c r="SXC6" s="50"/>
      <c r="SXD6" s="50"/>
      <c r="SXE6" s="50"/>
      <c r="SXF6" s="50"/>
      <c r="SXG6" s="50"/>
      <c r="SXH6" s="50"/>
      <c r="SXI6" s="50"/>
      <c r="SXJ6" s="50"/>
      <c r="SXK6" s="50"/>
      <c r="SXL6" s="50"/>
      <c r="SXM6" s="50"/>
      <c r="SXN6" s="50"/>
      <c r="SXO6" s="50"/>
      <c r="SXP6" s="50"/>
      <c r="SXQ6" s="50"/>
      <c r="SXR6" s="50"/>
      <c r="SXS6" s="50"/>
      <c r="SXT6" s="50"/>
      <c r="SXU6" s="50"/>
      <c r="SXV6" s="50"/>
      <c r="SXW6" s="50"/>
      <c r="SXX6" s="50"/>
      <c r="SXY6" s="50"/>
      <c r="SXZ6" s="50"/>
      <c r="SYA6" s="50"/>
      <c r="SYB6" s="50"/>
      <c r="SYC6" s="50"/>
      <c r="SYD6" s="50"/>
      <c r="SYE6" s="50"/>
      <c r="SYF6" s="50"/>
      <c r="SYG6" s="50"/>
      <c r="SYH6" s="50"/>
      <c r="SYI6" s="50"/>
      <c r="SYJ6" s="50"/>
      <c r="SYK6" s="50"/>
      <c r="SYL6" s="50"/>
      <c r="SYM6" s="50"/>
      <c r="SYN6" s="50"/>
      <c r="SYO6" s="50"/>
      <c r="SYP6" s="50"/>
      <c r="SYQ6" s="50"/>
      <c r="SYR6" s="50"/>
      <c r="SYS6" s="50"/>
      <c r="SYT6" s="50"/>
      <c r="SYU6" s="50"/>
      <c r="SYV6" s="50"/>
      <c r="SYW6" s="50"/>
      <c r="SYX6" s="50"/>
      <c r="SYY6" s="50"/>
      <c r="SYZ6" s="50"/>
      <c r="SZA6" s="50"/>
      <c r="SZB6" s="50"/>
      <c r="SZC6" s="50"/>
      <c r="SZD6" s="50"/>
      <c r="SZE6" s="50"/>
      <c r="SZF6" s="50"/>
      <c r="SZG6" s="50"/>
      <c r="SZH6" s="50"/>
      <c r="SZI6" s="50"/>
      <c r="SZJ6" s="50"/>
      <c r="SZK6" s="50"/>
      <c r="SZL6" s="50"/>
      <c r="SZM6" s="50"/>
      <c r="SZN6" s="50"/>
      <c r="SZO6" s="50"/>
      <c r="SZP6" s="50"/>
      <c r="SZQ6" s="50"/>
      <c r="SZR6" s="50"/>
      <c r="SZS6" s="50"/>
      <c r="SZT6" s="50"/>
      <c r="SZU6" s="50"/>
      <c r="SZV6" s="50"/>
      <c r="SZW6" s="50"/>
      <c r="SZX6" s="50"/>
      <c r="SZY6" s="50"/>
      <c r="SZZ6" s="50"/>
      <c r="TAA6" s="50"/>
      <c r="TAB6" s="50"/>
      <c r="TAC6" s="50"/>
      <c r="TAD6" s="50"/>
      <c r="TAE6" s="50"/>
      <c r="TAF6" s="50"/>
      <c r="TAG6" s="50"/>
      <c r="TAH6" s="50"/>
      <c r="TAI6" s="50"/>
      <c r="TAJ6" s="50"/>
      <c r="TAK6" s="50"/>
      <c r="TAL6" s="50"/>
      <c r="TAM6" s="50"/>
      <c r="TAN6" s="50"/>
      <c r="TAO6" s="50"/>
      <c r="TAP6" s="50"/>
      <c r="TAQ6" s="50"/>
      <c r="TAR6" s="50"/>
      <c r="TAS6" s="50"/>
      <c r="TAT6" s="50"/>
      <c r="TAU6" s="50"/>
      <c r="TAV6" s="50"/>
      <c r="TAW6" s="50"/>
      <c r="TAX6" s="50"/>
      <c r="TAY6" s="50"/>
      <c r="TAZ6" s="50"/>
      <c r="TBA6" s="50"/>
      <c r="TBB6" s="50"/>
      <c r="TBC6" s="50"/>
      <c r="TBD6" s="50"/>
      <c r="TBE6" s="50"/>
      <c r="TBF6" s="50"/>
      <c r="TBG6" s="50"/>
      <c r="TBH6" s="50"/>
      <c r="TBI6" s="50"/>
      <c r="TBJ6" s="50"/>
      <c r="TBK6" s="50"/>
      <c r="TBL6" s="50"/>
      <c r="TBM6" s="50"/>
      <c r="TBN6" s="50"/>
      <c r="TBO6" s="50"/>
      <c r="TBP6" s="50"/>
      <c r="TBQ6" s="50"/>
      <c r="TBR6" s="50"/>
      <c r="TBS6" s="50"/>
      <c r="TBT6" s="50"/>
      <c r="TBU6" s="50"/>
      <c r="TBV6" s="50"/>
      <c r="TBW6" s="50"/>
      <c r="TBX6" s="50"/>
      <c r="TBY6" s="50"/>
      <c r="TBZ6" s="50"/>
      <c r="TCA6" s="50"/>
      <c r="TCB6" s="50"/>
      <c r="TCC6" s="50"/>
      <c r="TCD6" s="50"/>
      <c r="TCE6" s="50"/>
      <c r="TCF6" s="50"/>
      <c r="TCG6" s="50"/>
      <c r="TCH6" s="50"/>
      <c r="TCI6" s="50"/>
      <c r="TCJ6" s="50"/>
      <c r="TCK6" s="50"/>
      <c r="TCL6" s="50"/>
      <c r="TCM6" s="50"/>
      <c r="TCN6" s="50"/>
      <c r="TCO6" s="50"/>
      <c r="TCP6" s="50"/>
      <c r="TCQ6" s="50"/>
      <c r="TCR6" s="50"/>
      <c r="TCS6" s="50"/>
      <c r="TCT6" s="50"/>
      <c r="TCU6" s="50"/>
      <c r="TCV6" s="50"/>
      <c r="TCW6" s="50"/>
      <c r="TCX6" s="50"/>
      <c r="TCY6" s="50"/>
      <c r="TCZ6" s="50"/>
      <c r="TDA6" s="50"/>
      <c r="TDB6" s="50"/>
      <c r="TDC6" s="50"/>
      <c r="TDD6" s="50"/>
      <c r="TDE6" s="50"/>
      <c r="TDF6" s="50"/>
      <c r="TDG6" s="50"/>
      <c r="TDH6" s="50"/>
      <c r="TDI6" s="50"/>
      <c r="TDJ6" s="50"/>
      <c r="TDK6" s="50"/>
      <c r="TDL6" s="50"/>
      <c r="TDM6" s="50"/>
      <c r="TDN6" s="50"/>
      <c r="TDO6" s="50"/>
      <c r="TDP6" s="50"/>
      <c r="TDQ6" s="50"/>
      <c r="TDR6" s="50"/>
      <c r="TDS6" s="50"/>
      <c r="TDT6" s="50"/>
      <c r="TDU6" s="50"/>
      <c r="TDV6" s="50"/>
      <c r="TDW6" s="50"/>
      <c r="TDX6" s="50"/>
      <c r="TDY6" s="50"/>
      <c r="TDZ6" s="50"/>
      <c r="TEA6" s="50"/>
      <c r="TEB6" s="50"/>
      <c r="TEC6" s="50"/>
      <c r="TED6" s="50"/>
      <c r="TEE6" s="50"/>
      <c r="TEF6" s="50"/>
      <c r="TEG6" s="50"/>
      <c r="TEH6" s="50"/>
      <c r="TEI6" s="50"/>
      <c r="TEJ6" s="50"/>
      <c r="TEK6" s="50"/>
      <c r="TEL6" s="50"/>
      <c r="TEM6" s="50"/>
      <c r="TEN6" s="50"/>
      <c r="TEO6" s="50"/>
      <c r="TEP6" s="50"/>
      <c r="TEQ6" s="50"/>
      <c r="TER6" s="50"/>
      <c r="TES6" s="50"/>
      <c r="TET6" s="50"/>
      <c r="TEU6" s="50"/>
      <c r="TEV6" s="50"/>
      <c r="TEW6" s="50"/>
      <c r="TEX6" s="50"/>
      <c r="TEY6" s="50"/>
      <c r="TEZ6" s="50"/>
      <c r="TFA6" s="50"/>
      <c r="TFB6" s="50"/>
      <c r="TFC6" s="50"/>
      <c r="TFD6" s="50"/>
      <c r="TFE6" s="50"/>
      <c r="TFF6" s="50"/>
      <c r="TFG6" s="50"/>
      <c r="TFH6" s="50"/>
      <c r="TFI6" s="50"/>
      <c r="TFJ6" s="50"/>
      <c r="TFK6" s="50"/>
      <c r="TFL6" s="50"/>
      <c r="TFM6" s="50"/>
      <c r="TFN6" s="50"/>
      <c r="TFO6" s="50"/>
      <c r="TFP6" s="50"/>
      <c r="TFQ6" s="50"/>
      <c r="TFR6" s="50"/>
      <c r="TFS6" s="50"/>
      <c r="TFT6" s="50"/>
      <c r="TFU6" s="50"/>
      <c r="TFV6" s="50"/>
      <c r="TFW6" s="50"/>
      <c r="TFX6" s="50"/>
      <c r="TFY6" s="50"/>
      <c r="TFZ6" s="50"/>
      <c r="TGA6" s="50"/>
      <c r="TGB6" s="50"/>
      <c r="TGC6" s="50"/>
      <c r="TGD6" s="50"/>
      <c r="TGE6" s="50"/>
      <c r="TGF6" s="50"/>
      <c r="TGG6" s="50"/>
      <c r="TGH6" s="50"/>
      <c r="TGI6" s="50"/>
      <c r="TGJ6" s="50"/>
      <c r="TGK6" s="50"/>
      <c r="TGL6" s="50"/>
      <c r="TGM6" s="50"/>
      <c r="TGN6" s="50"/>
      <c r="TGO6" s="50"/>
      <c r="TGP6" s="50"/>
      <c r="TGQ6" s="50"/>
      <c r="TGR6" s="50"/>
      <c r="TGS6" s="50"/>
      <c r="TGT6" s="50"/>
      <c r="TGU6" s="50"/>
      <c r="TGV6" s="50"/>
      <c r="TGW6" s="50"/>
      <c r="TGX6" s="50"/>
      <c r="TGY6" s="50"/>
      <c r="TGZ6" s="50"/>
      <c r="THA6" s="50"/>
      <c r="THB6" s="50"/>
      <c r="THC6" s="50"/>
      <c r="THD6" s="50"/>
      <c r="THE6" s="50"/>
      <c r="THF6" s="50"/>
      <c r="THG6" s="50"/>
      <c r="THH6" s="50"/>
      <c r="THI6" s="50"/>
      <c r="THJ6" s="50"/>
      <c r="THK6" s="50"/>
      <c r="THL6" s="50"/>
      <c r="THM6" s="50"/>
      <c r="THN6" s="50"/>
      <c r="THO6" s="50"/>
      <c r="THP6" s="50"/>
      <c r="THQ6" s="50"/>
      <c r="THR6" s="50"/>
      <c r="THS6" s="50"/>
      <c r="THT6" s="50"/>
      <c r="THU6" s="50"/>
      <c r="THV6" s="50"/>
      <c r="THW6" s="50"/>
      <c r="THX6" s="50"/>
      <c r="THY6" s="50"/>
      <c r="THZ6" s="50"/>
      <c r="TIA6" s="50"/>
      <c r="TIB6" s="50"/>
      <c r="TIC6" s="50"/>
      <c r="TID6" s="50"/>
      <c r="TIE6" s="50"/>
      <c r="TIF6" s="50"/>
      <c r="TIG6" s="50"/>
      <c r="TIH6" s="50"/>
      <c r="TII6" s="50"/>
      <c r="TIJ6" s="50"/>
      <c r="TIK6" s="50"/>
      <c r="TIL6" s="50"/>
      <c r="TIM6" s="50"/>
      <c r="TIN6" s="50"/>
      <c r="TIO6" s="50"/>
      <c r="TIP6" s="50"/>
      <c r="TIQ6" s="50"/>
      <c r="TIR6" s="50"/>
      <c r="TIS6" s="50"/>
      <c r="TIT6" s="50"/>
      <c r="TIU6" s="50"/>
      <c r="TIV6" s="50"/>
      <c r="TIW6" s="50"/>
      <c r="TIX6" s="50"/>
      <c r="TIY6" s="50"/>
      <c r="TIZ6" s="50"/>
      <c r="TJA6" s="50"/>
      <c r="TJB6" s="50"/>
      <c r="TJC6" s="50"/>
      <c r="TJD6" s="50"/>
      <c r="TJE6" s="50"/>
      <c r="TJF6" s="50"/>
      <c r="TJG6" s="50"/>
      <c r="TJH6" s="50"/>
      <c r="TJI6" s="50"/>
      <c r="TJJ6" s="50"/>
      <c r="TJK6" s="50"/>
      <c r="TJL6" s="50"/>
      <c r="TJM6" s="50"/>
      <c r="TJN6" s="50"/>
      <c r="TJO6" s="50"/>
      <c r="TJP6" s="50"/>
      <c r="TJQ6" s="50"/>
      <c r="TJR6" s="50"/>
      <c r="TJS6" s="50"/>
      <c r="TJT6" s="50"/>
      <c r="TJU6" s="50"/>
      <c r="TJV6" s="50"/>
      <c r="TJW6" s="50"/>
      <c r="TJX6" s="50"/>
      <c r="TJY6" s="50"/>
      <c r="TJZ6" s="50"/>
      <c r="TKA6" s="50"/>
      <c r="TKB6" s="50"/>
      <c r="TKC6" s="50"/>
      <c r="TKD6" s="50"/>
      <c r="TKE6" s="50"/>
      <c r="TKF6" s="50"/>
      <c r="TKG6" s="50"/>
      <c r="TKH6" s="50"/>
      <c r="TKI6" s="50"/>
      <c r="TKJ6" s="50"/>
      <c r="TKK6" s="50"/>
      <c r="TKL6" s="50"/>
      <c r="TKM6" s="50"/>
      <c r="TKN6" s="50"/>
      <c r="TKO6" s="50"/>
      <c r="TKP6" s="50"/>
      <c r="TKQ6" s="50"/>
      <c r="TKR6" s="50"/>
      <c r="TKS6" s="50"/>
      <c r="TKT6" s="50"/>
      <c r="TKU6" s="50"/>
      <c r="TKV6" s="50"/>
      <c r="TKW6" s="50"/>
      <c r="TKX6" s="50"/>
      <c r="TKY6" s="50"/>
      <c r="TKZ6" s="50"/>
      <c r="TLA6" s="50"/>
      <c r="TLB6" s="50"/>
      <c r="TLC6" s="50"/>
      <c r="TLD6" s="50"/>
      <c r="TLE6" s="50"/>
      <c r="TLF6" s="50"/>
      <c r="TLG6" s="50"/>
      <c r="TLH6" s="50"/>
      <c r="TLI6" s="50"/>
      <c r="TLJ6" s="50"/>
      <c r="TLK6" s="50"/>
      <c r="TLL6" s="50"/>
      <c r="TLM6" s="50"/>
      <c r="TLN6" s="50"/>
      <c r="TLO6" s="50"/>
      <c r="TLP6" s="50"/>
      <c r="TLQ6" s="50"/>
      <c r="TLR6" s="50"/>
      <c r="TLS6" s="50"/>
      <c r="TLT6" s="50"/>
      <c r="TLU6" s="50"/>
      <c r="TLV6" s="50"/>
      <c r="TLW6" s="50"/>
      <c r="TLX6" s="50"/>
      <c r="TLY6" s="50"/>
      <c r="TLZ6" s="50"/>
      <c r="TMA6" s="50"/>
      <c r="TMB6" s="50"/>
      <c r="TMC6" s="50"/>
      <c r="TMD6" s="50"/>
      <c r="TME6" s="50"/>
      <c r="TMF6" s="50"/>
      <c r="TMG6" s="50"/>
      <c r="TMH6" s="50"/>
      <c r="TMI6" s="50"/>
      <c r="TMJ6" s="50"/>
      <c r="TMK6" s="50"/>
      <c r="TML6" s="50"/>
      <c r="TMM6" s="50"/>
      <c r="TMN6" s="50"/>
      <c r="TMO6" s="50"/>
      <c r="TMP6" s="50"/>
      <c r="TMQ6" s="50"/>
      <c r="TMR6" s="50"/>
      <c r="TMS6" s="50"/>
      <c r="TMT6" s="50"/>
      <c r="TMU6" s="50"/>
      <c r="TMV6" s="50"/>
      <c r="TMW6" s="50"/>
      <c r="TMX6" s="50"/>
      <c r="TMY6" s="50"/>
      <c r="TMZ6" s="50"/>
      <c r="TNA6" s="50"/>
      <c r="TNB6" s="50"/>
      <c r="TNC6" s="50"/>
      <c r="TND6" s="50"/>
      <c r="TNE6" s="50"/>
      <c r="TNF6" s="50"/>
      <c r="TNG6" s="50"/>
      <c r="TNH6" s="50"/>
      <c r="TNI6" s="50"/>
      <c r="TNJ6" s="50"/>
      <c r="TNK6" s="50"/>
      <c r="TNL6" s="50"/>
      <c r="TNM6" s="50"/>
      <c r="TNN6" s="50"/>
      <c r="TNO6" s="50"/>
      <c r="TNP6" s="50"/>
      <c r="TNQ6" s="50"/>
      <c r="TNR6" s="50"/>
      <c r="TNS6" s="50"/>
      <c r="TNT6" s="50"/>
      <c r="TNU6" s="50"/>
      <c r="TNV6" s="50"/>
      <c r="TNW6" s="50"/>
      <c r="TNX6" s="50"/>
      <c r="TNY6" s="50"/>
      <c r="TNZ6" s="50"/>
      <c r="TOA6" s="50"/>
      <c r="TOB6" s="50"/>
      <c r="TOC6" s="50"/>
      <c r="TOD6" s="50"/>
      <c r="TOE6" s="50"/>
      <c r="TOF6" s="50"/>
      <c r="TOG6" s="50"/>
      <c r="TOH6" s="50"/>
      <c r="TOI6" s="50"/>
      <c r="TOJ6" s="50"/>
      <c r="TOK6" s="50"/>
      <c r="TOL6" s="50"/>
      <c r="TOM6" s="50"/>
      <c r="TON6" s="50"/>
      <c r="TOO6" s="50"/>
      <c r="TOP6" s="50"/>
      <c r="TOQ6" s="50"/>
      <c r="TOR6" s="50"/>
      <c r="TOS6" s="50"/>
      <c r="TOT6" s="50"/>
      <c r="TOU6" s="50"/>
      <c r="TOV6" s="50"/>
      <c r="TOW6" s="50"/>
      <c r="TOX6" s="50"/>
      <c r="TOY6" s="50"/>
      <c r="TOZ6" s="50"/>
      <c r="TPA6" s="50"/>
      <c r="TPB6" s="50"/>
      <c r="TPC6" s="50"/>
      <c r="TPD6" s="50"/>
      <c r="TPE6" s="50"/>
      <c r="TPF6" s="50"/>
      <c r="TPG6" s="50"/>
      <c r="TPH6" s="50"/>
      <c r="TPI6" s="50"/>
      <c r="TPJ6" s="50"/>
      <c r="TPK6" s="50"/>
      <c r="TPL6" s="50"/>
      <c r="TPM6" s="50"/>
      <c r="TPN6" s="50"/>
      <c r="TPO6" s="50"/>
      <c r="TPP6" s="50"/>
      <c r="TPQ6" s="50"/>
      <c r="TPR6" s="50"/>
      <c r="TPS6" s="50"/>
      <c r="TPT6" s="50"/>
      <c r="TPU6" s="50"/>
      <c r="TPV6" s="50"/>
      <c r="TPW6" s="50"/>
      <c r="TPX6" s="50"/>
      <c r="TPY6" s="50"/>
      <c r="TPZ6" s="50"/>
      <c r="TQA6" s="50"/>
      <c r="TQB6" s="50"/>
      <c r="TQC6" s="50"/>
      <c r="TQD6" s="50"/>
      <c r="TQE6" s="50"/>
      <c r="TQF6" s="50"/>
      <c r="TQG6" s="50"/>
      <c r="TQH6" s="50"/>
      <c r="TQI6" s="50"/>
      <c r="TQJ6" s="50"/>
      <c r="TQK6" s="50"/>
      <c r="TQL6" s="50"/>
      <c r="TQM6" s="50"/>
      <c r="TQN6" s="50"/>
      <c r="TQO6" s="50"/>
      <c r="TQP6" s="50"/>
      <c r="TQQ6" s="50"/>
      <c r="TQR6" s="50"/>
      <c r="TQS6" s="50"/>
      <c r="TQT6" s="50"/>
      <c r="TQU6" s="50"/>
      <c r="TQV6" s="50"/>
      <c r="TQW6" s="50"/>
      <c r="TQX6" s="50"/>
      <c r="TQY6" s="50"/>
      <c r="TQZ6" s="50"/>
      <c r="TRA6" s="50"/>
      <c r="TRB6" s="50"/>
      <c r="TRC6" s="50"/>
      <c r="TRD6" s="50"/>
      <c r="TRE6" s="50"/>
      <c r="TRF6" s="50"/>
      <c r="TRG6" s="50"/>
      <c r="TRH6" s="50"/>
      <c r="TRI6" s="50"/>
      <c r="TRJ6" s="50"/>
      <c r="TRK6" s="50"/>
      <c r="TRL6" s="50"/>
      <c r="TRM6" s="50"/>
      <c r="TRN6" s="50"/>
      <c r="TRO6" s="50"/>
      <c r="TRP6" s="50"/>
      <c r="TRQ6" s="50"/>
      <c r="TRR6" s="50"/>
      <c r="TRS6" s="50"/>
      <c r="TRT6" s="50"/>
      <c r="TRU6" s="50"/>
      <c r="TRV6" s="50"/>
      <c r="TRW6" s="50"/>
      <c r="TRX6" s="50"/>
      <c r="TRY6" s="50"/>
      <c r="TRZ6" s="50"/>
      <c r="TSA6" s="50"/>
      <c r="TSB6" s="50"/>
      <c r="TSC6" s="50"/>
      <c r="TSD6" s="50"/>
      <c r="TSE6" s="50"/>
      <c r="TSF6" s="50"/>
      <c r="TSG6" s="50"/>
      <c r="TSH6" s="50"/>
      <c r="TSI6" s="50"/>
      <c r="TSJ6" s="50"/>
      <c r="TSK6" s="50"/>
      <c r="TSL6" s="50"/>
      <c r="TSM6" s="50"/>
      <c r="TSN6" s="50"/>
      <c r="TSO6" s="50"/>
      <c r="TSP6" s="50"/>
      <c r="TSQ6" s="50"/>
      <c r="TSR6" s="50"/>
      <c r="TSS6" s="50"/>
      <c r="TST6" s="50"/>
      <c r="TSU6" s="50"/>
      <c r="TSV6" s="50"/>
      <c r="TSW6" s="50"/>
      <c r="TSX6" s="50"/>
      <c r="TSY6" s="50"/>
      <c r="TSZ6" s="50"/>
      <c r="TTA6" s="50"/>
      <c r="TTB6" s="50"/>
      <c r="TTC6" s="50"/>
      <c r="TTD6" s="50"/>
      <c r="TTE6" s="50"/>
      <c r="TTF6" s="50"/>
      <c r="TTG6" s="50"/>
      <c r="TTH6" s="50"/>
      <c r="TTI6" s="50"/>
      <c r="TTJ6" s="50"/>
      <c r="TTK6" s="50"/>
      <c r="TTL6" s="50"/>
      <c r="TTM6" s="50"/>
      <c r="TTN6" s="50"/>
      <c r="TTO6" s="50"/>
      <c r="TTP6" s="50"/>
      <c r="TTQ6" s="50"/>
      <c r="TTR6" s="50"/>
      <c r="TTS6" s="50"/>
      <c r="TTT6" s="50"/>
      <c r="TTU6" s="50"/>
      <c r="TTV6" s="50"/>
      <c r="TTW6" s="50"/>
      <c r="TTX6" s="50"/>
      <c r="TTY6" s="50"/>
      <c r="TTZ6" s="50"/>
      <c r="TUA6" s="50"/>
      <c r="TUB6" s="50"/>
      <c r="TUC6" s="50"/>
      <c r="TUD6" s="50"/>
      <c r="TUE6" s="50"/>
      <c r="TUF6" s="50"/>
      <c r="TUG6" s="50"/>
      <c r="TUH6" s="50"/>
      <c r="TUI6" s="50"/>
      <c r="TUJ6" s="50"/>
      <c r="TUK6" s="50"/>
      <c r="TUL6" s="50"/>
      <c r="TUM6" s="50"/>
      <c r="TUN6" s="50"/>
      <c r="TUO6" s="50"/>
      <c r="TUP6" s="50"/>
      <c r="TUQ6" s="50"/>
      <c r="TUR6" s="50"/>
      <c r="TUS6" s="50"/>
      <c r="TUT6" s="50"/>
      <c r="TUU6" s="50"/>
      <c r="TUV6" s="50"/>
      <c r="TUW6" s="50"/>
      <c r="TUX6" s="50"/>
      <c r="TUY6" s="50"/>
      <c r="TUZ6" s="50"/>
      <c r="TVA6" s="50"/>
      <c r="TVB6" s="50"/>
      <c r="TVC6" s="50"/>
      <c r="TVD6" s="50"/>
      <c r="TVE6" s="50"/>
      <c r="TVF6" s="50"/>
      <c r="TVG6" s="50"/>
      <c r="TVH6" s="50"/>
      <c r="TVI6" s="50"/>
      <c r="TVJ6" s="50"/>
      <c r="TVK6" s="50"/>
      <c r="TVL6" s="50"/>
      <c r="TVM6" s="50"/>
      <c r="TVN6" s="50"/>
      <c r="TVO6" s="50"/>
      <c r="TVP6" s="50"/>
      <c r="TVQ6" s="50"/>
      <c r="TVR6" s="50"/>
      <c r="TVS6" s="50"/>
      <c r="TVT6" s="50"/>
      <c r="TVU6" s="50"/>
      <c r="TVV6" s="50"/>
      <c r="TVW6" s="50"/>
      <c r="TVX6" s="50"/>
      <c r="TVY6" s="50"/>
      <c r="TVZ6" s="50"/>
      <c r="TWA6" s="50"/>
      <c r="TWB6" s="50"/>
      <c r="TWC6" s="50"/>
      <c r="TWD6" s="50"/>
      <c r="TWE6" s="50"/>
      <c r="TWF6" s="50"/>
      <c r="TWG6" s="50"/>
      <c r="TWH6" s="50"/>
      <c r="TWI6" s="50"/>
      <c r="TWJ6" s="50"/>
      <c r="TWK6" s="50"/>
      <c r="TWL6" s="50"/>
      <c r="TWM6" s="50"/>
      <c r="TWN6" s="50"/>
      <c r="TWO6" s="50"/>
      <c r="TWP6" s="50"/>
      <c r="TWQ6" s="50"/>
      <c r="TWR6" s="50"/>
      <c r="TWS6" s="50"/>
      <c r="TWT6" s="50"/>
      <c r="TWU6" s="50"/>
      <c r="TWV6" s="50"/>
      <c r="TWW6" s="50"/>
      <c r="TWX6" s="50"/>
      <c r="TWY6" s="50"/>
      <c r="TWZ6" s="50"/>
      <c r="TXA6" s="50"/>
      <c r="TXB6" s="50"/>
      <c r="TXC6" s="50"/>
      <c r="TXD6" s="50"/>
      <c r="TXE6" s="50"/>
      <c r="TXF6" s="50"/>
      <c r="TXG6" s="50"/>
      <c r="TXH6" s="50"/>
      <c r="TXI6" s="50"/>
      <c r="TXJ6" s="50"/>
      <c r="TXK6" s="50"/>
      <c r="TXL6" s="50"/>
      <c r="TXM6" s="50"/>
      <c r="TXN6" s="50"/>
      <c r="TXO6" s="50"/>
      <c r="TXP6" s="50"/>
      <c r="TXQ6" s="50"/>
      <c r="TXR6" s="50"/>
      <c r="TXS6" s="50"/>
      <c r="TXT6" s="50"/>
      <c r="TXU6" s="50"/>
      <c r="TXV6" s="50"/>
      <c r="TXW6" s="50"/>
      <c r="TXX6" s="50"/>
      <c r="TXY6" s="50"/>
      <c r="TXZ6" s="50"/>
      <c r="TYA6" s="50"/>
      <c r="TYB6" s="50"/>
      <c r="TYC6" s="50"/>
      <c r="TYD6" s="50"/>
      <c r="TYE6" s="50"/>
      <c r="TYF6" s="50"/>
      <c r="TYG6" s="50"/>
      <c r="TYH6" s="50"/>
      <c r="TYI6" s="50"/>
      <c r="TYJ6" s="50"/>
      <c r="TYK6" s="50"/>
      <c r="TYL6" s="50"/>
      <c r="TYM6" s="50"/>
      <c r="TYN6" s="50"/>
      <c r="TYO6" s="50"/>
      <c r="TYP6" s="50"/>
      <c r="TYQ6" s="50"/>
      <c r="TYR6" s="50"/>
      <c r="TYS6" s="50"/>
      <c r="TYT6" s="50"/>
      <c r="TYU6" s="50"/>
      <c r="TYV6" s="50"/>
      <c r="TYW6" s="50"/>
      <c r="TYX6" s="50"/>
      <c r="TYY6" s="50"/>
      <c r="TYZ6" s="50"/>
      <c r="TZA6" s="50"/>
      <c r="TZB6" s="50"/>
      <c r="TZC6" s="50"/>
      <c r="TZD6" s="50"/>
      <c r="TZE6" s="50"/>
      <c r="TZF6" s="50"/>
      <c r="TZG6" s="50"/>
      <c r="TZH6" s="50"/>
      <c r="TZI6" s="50"/>
      <c r="TZJ6" s="50"/>
      <c r="TZK6" s="50"/>
      <c r="TZL6" s="50"/>
      <c r="TZM6" s="50"/>
      <c r="TZN6" s="50"/>
      <c r="TZO6" s="50"/>
      <c r="TZP6" s="50"/>
      <c r="TZQ6" s="50"/>
      <c r="TZR6" s="50"/>
      <c r="TZS6" s="50"/>
      <c r="TZT6" s="50"/>
      <c r="TZU6" s="50"/>
      <c r="TZV6" s="50"/>
      <c r="TZW6" s="50"/>
      <c r="TZX6" s="50"/>
      <c r="TZY6" s="50"/>
      <c r="TZZ6" s="50"/>
      <c r="UAA6" s="50"/>
      <c r="UAB6" s="50"/>
      <c r="UAC6" s="50"/>
      <c r="UAD6" s="50"/>
      <c r="UAE6" s="50"/>
      <c r="UAF6" s="50"/>
      <c r="UAG6" s="50"/>
      <c r="UAH6" s="50"/>
      <c r="UAI6" s="50"/>
      <c r="UAJ6" s="50"/>
      <c r="UAK6" s="50"/>
      <c r="UAL6" s="50"/>
      <c r="UAM6" s="50"/>
      <c r="UAN6" s="50"/>
      <c r="UAO6" s="50"/>
      <c r="UAP6" s="50"/>
      <c r="UAQ6" s="50"/>
      <c r="UAR6" s="50"/>
      <c r="UAS6" s="50"/>
      <c r="UAT6" s="50"/>
      <c r="UAU6" s="50"/>
      <c r="UAV6" s="50"/>
      <c r="UAW6" s="50"/>
      <c r="UAX6" s="50"/>
      <c r="UAY6" s="50"/>
      <c r="UAZ6" s="50"/>
      <c r="UBA6" s="50"/>
      <c r="UBB6" s="50"/>
      <c r="UBC6" s="50"/>
      <c r="UBD6" s="50"/>
      <c r="UBE6" s="50"/>
      <c r="UBF6" s="50"/>
      <c r="UBG6" s="50"/>
      <c r="UBH6" s="50"/>
      <c r="UBI6" s="50"/>
      <c r="UBJ6" s="50"/>
      <c r="UBK6" s="50"/>
      <c r="UBL6" s="50"/>
      <c r="UBM6" s="50"/>
      <c r="UBN6" s="50"/>
      <c r="UBO6" s="50"/>
      <c r="UBP6" s="50"/>
      <c r="UBQ6" s="50"/>
      <c r="UBR6" s="50"/>
      <c r="UBS6" s="50"/>
      <c r="UBT6" s="50"/>
      <c r="UBU6" s="50"/>
      <c r="UBV6" s="50"/>
      <c r="UBW6" s="50"/>
      <c r="UBX6" s="50"/>
      <c r="UBY6" s="50"/>
      <c r="UBZ6" s="50"/>
      <c r="UCA6" s="50"/>
      <c r="UCB6" s="50"/>
      <c r="UCC6" s="50"/>
      <c r="UCD6" s="50"/>
      <c r="UCE6" s="50"/>
      <c r="UCF6" s="50"/>
      <c r="UCG6" s="50"/>
      <c r="UCH6" s="50"/>
      <c r="UCI6" s="50"/>
      <c r="UCJ6" s="50"/>
      <c r="UCK6" s="50"/>
      <c r="UCL6" s="50"/>
      <c r="UCM6" s="50"/>
      <c r="UCN6" s="50"/>
      <c r="UCO6" s="50"/>
      <c r="UCP6" s="50"/>
      <c r="UCQ6" s="50"/>
      <c r="UCR6" s="50"/>
      <c r="UCS6" s="50"/>
      <c r="UCT6" s="50"/>
      <c r="UCU6" s="50"/>
      <c r="UCV6" s="50"/>
      <c r="UCW6" s="50"/>
      <c r="UCX6" s="50"/>
      <c r="UCY6" s="50"/>
      <c r="UCZ6" s="50"/>
      <c r="UDA6" s="50"/>
      <c r="UDB6" s="50"/>
      <c r="UDC6" s="50"/>
      <c r="UDD6" s="50"/>
      <c r="UDE6" s="50"/>
      <c r="UDF6" s="50"/>
      <c r="UDG6" s="50"/>
      <c r="UDH6" s="50"/>
      <c r="UDI6" s="50"/>
      <c r="UDJ6" s="50"/>
      <c r="UDK6" s="50"/>
      <c r="UDL6" s="50"/>
      <c r="UDM6" s="50"/>
      <c r="UDN6" s="50"/>
      <c r="UDO6" s="50"/>
      <c r="UDP6" s="50"/>
      <c r="UDQ6" s="50"/>
      <c r="UDR6" s="50"/>
      <c r="UDS6" s="50"/>
      <c r="UDT6" s="50"/>
      <c r="UDU6" s="50"/>
      <c r="UDV6" s="50"/>
      <c r="UDW6" s="50"/>
      <c r="UDX6" s="50"/>
      <c r="UDY6" s="50"/>
      <c r="UDZ6" s="50"/>
      <c r="UEA6" s="50"/>
      <c r="UEB6" s="50"/>
      <c r="UEC6" s="50"/>
      <c r="UED6" s="50"/>
      <c r="UEE6" s="50"/>
      <c r="UEF6" s="50"/>
      <c r="UEG6" s="50"/>
      <c r="UEH6" s="50"/>
      <c r="UEI6" s="50"/>
      <c r="UEJ6" s="50"/>
      <c r="UEK6" s="50"/>
      <c r="UEL6" s="50"/>
      <c r="UEM6" s="50"/>
      <c r="UEN6" s="50"/>
      <c r="UEO6" s="50"/>
      <c r="UEP6" s="50"/>
      <c r="UEQ6" s="50"/>
      <c r="UER6" s="50"/>
      <c r="UES6" s="50"/>
      <c r="UET6" s="50"/>
      <c r="UEU6" s="50"/>
      <c r="UEV6" s="50"/>
      <c r="UEW6" s="50"/>
      <c r="UEX6" s="50"/>
      <c r="UEY6" s="50"/>
      <c r="UEZ6" s="50"/>
      <c r="UFA6" s="50"/>
      <c r="UFB6" s="50"/>
      <c r="UFC6" s="50"/>
      <c r="UFD6" s="50"/>
      <c r="UFE6" s="50"/>
      <c r="UFF6" s="50"/>
      <c r="UFG6" s="50"/>
      <c r="UFH6" s="50"/>
      <c r="UFI6" s="50"/>
      <c r="UFJ6" s="50"/>
      <c r="UFK6" s="50"/>
      <c r="UFL6" s="50"/>
      <c r="UFM6" s="50"/>
      <c r="UFN6" s="50"/>
      <c r="UFO6" s="50"/>
      <c r="UFP6" s="50"/>
      <c r="UFQ6" s="50"/>
      <c r="UFR6" s="50"/>
      <c r="UFS6" s="50"/>
      <c r="UFT6" s="50"/>
      <c r="UFU6" s="50"/>
      <c r="UFV6" s="50"/>
      <c r="UFW6" s="50"/>
      <c r="UFX6" s="50"/>
      <c r="UFY6" s="50"/>
      <c r="UFZ6" s="50"/>
      <c r="UGA6" s="50"/>
      <c r="UGB6" s="50"/>
      <c r="UGC6" s="50"/>
      <c r="UGD6" s="50"/>
      <c r="UGE6" s="50"/>
      <c r="UGF6" s="50"/>
      <c r="UGG6" s="50"/>
      <c r="UGH6" s="50"/>
      <c r="UGI6" s="50"/>
      <c r="UGJ6" s="50"/>
      <c r="UGK6" s="50"/>
      <c r="UGL6" s="50"/>
      <c r="UGM6" s="50"/>
      <c r="UGN6" s="50"/>
      <c r="UGO6" s="50"/>
      <c r="UGP6" s="50"/>
      <c r="UGQ6" s="50"/>
      <c r="UGR6" s="50"/>
      <c r="UGS6" s="50"/>
      <c r="UGT6" s="50"/>
      <c r="UGU6" s="50"/>
      <c r="UGV6" s="50"/>
      <c r="UGW6" s="50"/>
      <c r="UGX6" s="50"/>
      <c r="UGY6" s="50"/>
      <c r="UGZ6" s="50"/>
      <c r="UHA6" s="50"/>
      <c r="UHB6" s="50"/>
      <c r="UHC6" s="50"/>
      <c r="UHD6" s="50"/>
      <c r="UHE6" s="50"/>
      <c r="UHF6" s="50"/>
      <c r="UHG6" s="50"/>
      <c r="UHH6" s="50"/>
      <c r="UHI6" s="50"/>
      <c r="UHJ6" s="50"/>
      <c r="UHK6" s="50"/>
      <c r="UHL6" s="50"/>
      <c r="UHM6" s="50"/>
      <c r="UHN6" s="50"/>
      <c r="UHO6" s="50"/>
      <c r="UHP6" s="50"/>
      <c r="UHQ6" s="50"/>
      <c r="UHR6" s="50"/>
      <c r="UHS6" s="50"/>
      <c r="UHT6" s="50"/>
      <c r="UHU6" s="50"/>
      <c r="UHV6" s="50"/>
      <c r="UHW6" s="50"/>
      <c r="UHX6" s="50"/>
      <c r="UHY6" s="50"/>
      <c r="UHZ6" s="50"/>
      <c r="UIA6" s="50"/>
      <c r="UIB6" s="50"/>
      <c r="UIC6" s="50"/>
      <c r="UID6" s="50"/>
      <c r="UIE6" s="50"/>
      <c r="UIF6" s="50"/>
      <c r="UIG6" s="50"/>
      <c r="UIH6" s="50"/>
      <c r="UII6" s="50"/>
      <c r="UIJ6" s="50"/>
      <c r="UIK6" s="50"/>
      <c r="UIL6" s="50"/>
      <c r="UIM6" s="50"/>
      <c r="UIN6" s="50"/>
      <c r="UIO6" s="50"/>
      <c r="UIP6" s="50"/>
      <c r="UIQ6" s="50"/>
      <c r="UIR6" s="50"/>
      <c r="UIS6" s="50"/>
      <c r="UIT6" s="50"/>
      <c r="UIU6" s="50"/>
      <c r="UIV6" s="50"/>
      <c r="UIW6" s="50"/>
      <c r="UIX6" s="50"/>
      <c r="UIY6" s="50"/>
      <c r="UIZ6" s="50"/>
      <c r="UJA6" s="50"/>
      <c r="UJB6" s="50"/>
      <c r="UJC6" s="50"/>
      <c r="UJD6" s="50"/>
      <c r="UJE6" s="50"/>
      <c r="UJF6" s="50"/>
      <c r="UJG6" s="50"/>
      <c r="UJH6" s="50"/>
      <c r="UJI6" s="50"/>
      <c r="UJJ6" s="50"/>
      <c r="UJK6" s="50"/>
      <c r="UJL6" s="50"/>
      <c r="UJM6" s="50"/>
      <c r="UJN6" s="50"/>
      <c r="UJO6" s="50"/>
      <c r="UJP6" s="50"/>
      <c r="UJQ6" s="50"/>
      <c r="UJR6" s="50"/>
      <c r="UJS6" s="50"/>
      <c r="UJT6" s="50"/>
      <c r="UJU6" s="50"/>
      <c r="UJV6" s="50"/>
      <c r="UJW6" s="50"/>
      <c r="UJX6" s="50"/>
      <c r="UJY6" s="50"/>
      <c r="UJZ6" s="50"/>
      <c r="UKA6" s="50"/>
      <c r="UKB6" s="50"/>
      <c r="UKC6" s="50"/>
      <c r="UKD6" s="50"/>
      <c r="UKE6" s="50"/>
      <c r="UKF6" s="50"/>
      <c r="UKG6" s="50"/>
      <c r="UKH6" s="50"/>
      <c r="UKI6" s="50"/>
      <c r="UKJ6" s="50"/>
      <c r="UKK6" s="50"/>
      <c r="UKL6" s="50"/>
      <c r="UKM6" s="50"/>
      <c r="UKN6" s="50"/>
      <c r="UKO6" s="50"/>
      <c r="UKP6" s="50"/>
      <c r="UKQ6" s="50"/>
      <c r="UKR6" s="50"/>
      <c r="UKS6" s="50"/>
      <c r="UKT6" s="50"/>
      <c r="UKU6" s="50"/>
      <c r="UKV6" s="50"/>
      <c r="UKW6" s="50"/>
      <c r="UKX6" s="50"/>
      <c r="UKY6" s="50"/>
      <c r="UKZ6" s="50"/>
      <c r="ULA6" s="50"/>
      <c r="ULB6" s="50"/>
      <c r="ULC6" s="50"/>
      <c r="ULD6" s="50"/>
      <c r="ULE6" s="50"/>
      <c r="ULF6" s="50"/>
      <c r="ULG6" s="50"/>
      <c r="ULH6" s="50"/>
      <c r="ULI6" s="50"/>
      <c r="ULJ6" s="50"/>
      <c r="ULK6" s="50"/>
      <c r="ULL6" s="50"/>
      <c r="ULM6" s="50"/>
      <c r="ULN6" s="50"/>
      <c r="ULO6" s="50"/>
      <c r="ULP6" s="50"/>
      <c r="ULQ6" s="50"/>
      <c r="ULR6" s="50"/>
      <c r="ULS6" s="50"/>
      <c r="ULT6" s="50"/>
      <c r="ULU6" s="50"/>
      <c r="ULV6" s="50"/>
      <c r="ULW6" s="50"/>
      <c r="ULX6" s="50"/>
      <c r="ULY6" s="50"/>
      <c r="ULZ6" s="50"/>
      <c r="UMA6" s="50"/>
      <c r="UMB6" s="50"/>
      <c r="UMC6" s="50"/>
      <c r="UMD6" s="50"/>
      <c r="UME6" s="50"/>
      <c r="UMF6" s="50"/>
      <c r="UMG6" s="50"/>
      <c r="UMH6" s="50"/>
      <c r="UMI6" s="50"/>
      <c r="UMJ6" s="50"/>
      <c r="UMK6" s="50"/>
      <c r="UML6" s="50"/>
      <c r="UMM6" s="50"/>
      <c r="UMN6" s="50"/>
      <c r="UMO6" s="50"/>
      <c r="UMP6" s="50"/>
      <c r="UMQ6" s="50"/>
      <c r="UMR6" s="50"/>
      <c r="UMS6" s="50"/>
      <c r="UMT6" s="50"/>
      <c r="UMU6" s="50"/>
      <c r="UMV6" s="50"/>
      <c r="UMW6" s="50"/>
      <c r="UMX6" s="50"/>
      <c r="UMY6" s="50"/>
      <c r="UMZ6" s="50"/>
      <c r="UNA6" s="50"/>
      <c r="UNB6" s="50"/>
      <c r="UNC6" s="50"/>
      <c r="UND6" s="50"/>
      <c r="UNE6" s="50"/>
      <c r="UNF6" s="50"/>
      <c r="UNG6" s="50"/>
      <c r="UNH6" s="50"/>
      <c r="UNI6" s="50"/>
      <c r="UNJ6" s="50"/>
      <c r="UNK6" s="50"/>
      <c r="UNL6" s="50"/>
      <c r="UNM6" s="50"/>
      <c r="UNN6" s="50"/>
      <c r="UNO6" s="50"/>
      <c r="UNP6" s="50"/>
      <c r="UNQ6" s="50"/>
      <c r="UNR6" s="50"/>
      <c r="UNS6" s="50"/>
      <c r="UNT6" s="50"/>
      <c r="UNU6" s="50"/>
      <c r="UNV6" s="50"/>
      <c r="UNW6" s="50"/>
      <c r="UNX6" s="50"/>
      <c r="UNY6" s="50"/>
      <c r="UNZ6" s="50"/>
      <c r="UOA6" s="50"/>
      <c r="UOB6" s="50"/>
      <c r="UOC6" s="50"/>
      <c r="UOD6" s="50"/>
      <c r="UOE6" s="50"/>
      <c r="UOF6" s="50"/>
      <c r="UOG6" s="50"/>
      <c r="UOH6" s="50"/>
      <c r="UOI6" s="50"/>
      <c r="UOJ6" s="50"/>
      <c r="UOK6" s="50"/>
      <c r="UOL6" s="50"/>
      <c r="UOM6" s="50"/>
      <c r="UON6" s="50"/>
      <c r="UOO6" s="50"/>
      <c r="UOP6" s="50"/>
      <c r="UOQ6" s="50"/>
      <c r="UOR6" s="50"/>
      <c r="UOS6" s="50"/>
      <c r="UOT6" s="50"/>
      <c r="UOU6" s="50"/>
      <c r="UOV6" s="50"/>
      <c r="UOW6" s="50"/>
      <c r="UOX6" s="50"/>
      <c r="UOY6" s="50"/>
      <c r="UOZ6" s="50"/>
      <c r="UPA6" s="50"/>
      <c r="UPB6" s="50"/>
      <c r="UPC6" s="50"/>
      <c r="UPD6" s="50"/>
      <c r="UPE6" s="50"/>
      <c r="UPF6" s="50"/>
      <c r="UPG6" s="50"/>
      <c r="UPH6" s="50"/>
      <c r="UPI6" s="50"/>
      <c r="UPJ6" s="50"/>
      <c r="UPK6" s="50"/>
      <c r="UPL6" s="50"/>
      <c r="UPM6" s="50"/>
      <c r="UPN6" s="50"/>
      <c r="UPO6" s="50"/>
      <c r="UPP6" s="50"/>
      <c r="UPQ6" s="50"/>
      <c r="UPR6" s="50"/>
      <c r="UPS6" s="50"/>
      <c r="UPT6" s="50"/>
      <c r="UPU6" s="50"/>
      <c r="UPV6" s="50"/>
      <c r="UPW6" s="50"/>
      <c r="UPX6" s="50"/>
      <c r="UPY6" s="50"/>
      <c r="UPZ6" s="50"/>
      <c r="UQA6" s="50"/>
      <c r="UQB6" s="50"/>
      <c r="UQC6" s="50"/>
      <c r="UQD6" s="50"/>
      <c r="UQE6" s="50"/>
      <c r="UQF6" s="50"/>
      <c r="UQG6" s="50"/>
      <c r="UQH6" s="50"/>
      <c r="UQI6" s="50"/>
      <c r="UQJ6" s="50"/>
      <c r="UQK6" s="50"/>
      <c r="UQL6" s="50"/>
      <c r="UQM6" s="50"/>
      <c r="UQN6" s="50"/>
      <c r="UQO6" s="50"/>
      <c r="UQP6" s="50"/>
      <c r="UQQ6" s="50"/>
      <c r="UQR6" s="50"/>
      <c r="UQS6" s="50"/>
      <c r="UQT6" s="50"/>
      <c r="UQU6" s="50"/>
      <c r="UQV6" s="50"/>
      <c r="UQW6" s="50"/>
      <c r="UQX6" s="50"/>
      <c r="UQY6" s="50"/>
      <c r="UQZ6" s="50"/>
      <c r="URA6" s="50"/>
      <c r="URB6" s="50"/>
      <c r="URC6" s="50"/>
      <c r="URD6" s="50"/>
      <c r="URE6" s="50"/>
      <c r="URF6" s="50"/>
      <c r="URG6" s="50"/>
      <c r="URH6" s="50"/>
      <c r="URI6" s="50"/>
      <c r="URJ6" s="50"/>
      <c r="URK6" s="50"/>
      <c r="URL6" s="50"/>
      <c r="URM6" s="50"/>
      <c r="URN6" s="50"/>
      <c r="URO6" s="50"/>
      <c r="URP6" s="50"/>
      <c r="URQ6" s="50"/>
      <c r="URR6" s="50"/>
      <c r="URS6" s="50"/>
      <c r="URT6" s="50"/>
      <c r="URU6" s="50"/>
      <c r="URV6" s="50"/>
      <c r="URW6" s="50"/>
      <c r="URX6" s="50"/>
      <c r="URY6" s="50"/>
      <c r="URZ6" s="50"/>
      <c r="USA6" s="50"/>
      <c r="USB6" s="50"/>
      <c r="USC6" s="50"/>
      <c r="USD6" s="50"/>
      <c r="USE6" s="50"/>
      <c r="USF6" s="50"/>
      <c r="USG6" s="50"/>
      <c r="USH6" s="50"/>
      <c r="USI6" s="50"/>
      <c r="USJ6" s="50"/>
      <c r="USK6" s="50"/>
      <c r="USL6" s="50"/>
      <c r="USM6" s="50"/>
      <c r="USN6" s="50"/>
      <c r="USO6" s="50"/>
      <c r="USP6" s="50"/>
      <c r="USQ6" s="50"/>
      <c r="USR6" s="50"/>
      <c r="USS6" s="50"/>
      <c r="UST6" s="50"/>
      <c r="USU6" s="50"/>
      <c r="USV6" s="50"/>
      <c r="USW6" s="50"/>
      <c r="USX6" s="50"/>
      <c r="USY6" s="50"/>
      <c r="USZ6" s="50"/>
      <c r="UTA6" s="50"/>
      <c r="UTB6" s="50"/>
      <c r="UTC6" s="50"/>
      <c r="UTD6" s="50"/>
      <c r="UTE6" s="50"/>
      <c r="UTF6" s="50"/>
      <c r="UTG6" s="50"/>
      <c r="UTH6" s="50"/>
      <c r="UTI6" s="50"/>
      <c r="UTJ6" s="50"/>
      <c r="UTK6" s="50"/>
      <c r="UTL6" s="50"/>
      <c r="UTM6" s="50"/>
      <c r="UTN6" s="50"/>
      <c r="UTO6" s="50"/>
      <c r="UTP6" s="50"/>
      <c r="UTQ6" s="50"/>
      <c r="UTR6" s="50"/>
      <c r="UTS6" s="50"/>
      <c r="UTT6" s="50"/>
      <c r="UTU6" s="50"/>
      <c r="UTV6" s="50"/>
      <c r="UTW6" s="50"/>
      <c r="UTX6" s="50"/>
      <c r="UTY6" s="50"/>
      <c r="UTZ6" s="50"/>
      <c r="UUA6" s="50"/>
      <c r="UUB6" s="50"/>
      <c r="UUC6" s="50"/>
      <c r="UUD6" s="50"/>
      <c r="UUE6" s="50"/>
      <c r="UUF6" s="50"/>
      <c r="UUG6" s="50"/>
      <c r="UUH6" s="50"/>
      <c r="UUI6" s="50"/>
      <c r="UUJ6" s="50"/>
      <c r="UUK6" s="50"/>
      <c r="UUL6" s="50"/>
      <c r="UUM6" s="50"/>
      <c r="UUN6" s="50"/>
      <c r="UUO6" s="50"/>
      <c r="UUP6" s="50"/>
      <c r="UUQ6" s="50"/>
      <c r="UUR6" s="50"/>
      <c r="UUS6" s="50"/>
      <c r="UUT6" s="50"/>
      <c r="UUU6" s="50"/>
      <c r="UUV6" s="50"/>
      <c r="UUW6" s="50"/>
      <c r="UUX6" s="50"/>
      <c r="UUY6" s="50"/>
      <c r="UUZ6" s="50"/>
      <c r="UVA6" s="50"/>
      <c r="UVB6" s="50"/>
      <c r="UVC6" s="50"/>
      <c r="UVD6" s="50"/>
      <c r="UVE6" s="50"/>
      <c r="UVF6" s="50"/>
      <c r="UVG6" s="50"/>
      <c r="UVH6" s="50"/>
      <c r="UVI6" s="50"/>
      <c r="UVJ6" s="50"/>
      <c r="UVK6" s="50"/>
      <c r="UVL6" s="50"/>
      <c r="UVM6" s="50"/>
      <c r="UVN6" s="50"/>
      <c r="UVO6" s="50"/>
      <c r="UVP6" s="50"/>
      <c r="UVQ6" s="50"/>
      <c r="UVR6" s="50"/>
      <c r="UVS6" s="50"/>
      <c r="UVT6" s="50"/>
      <c r="UVU6" s="50"/>
      <c r="UVV6" s="50"/>
      <c r="UVW6" s="50"/>
      <c r="UVX6" s="50"/>
      <c r="UVY6" s="50"/>
      <c r="UVZ6" s="50"/>
      <c r="UWA6" s="50"/>
      <c r="UWB6" s="50"/>
      <c r="UWC6" s="50"/>
      <c r="UWD6" s="50"/>
      <c r="UWE6" s="50"/>
      <c r="UWF6" s="50"/>
      <c r="UWG6" s="50"/>
      <c r="UWH6" s="50"/>
      <c r="UWI6" s="50"/>
      <c r="UWJ6" s="50"/>
      <c r="UWK6" s="50"/>
      <c r="UWL6" s="50"/>
      <c r="UWM6" s="50"/>
      <c r="UWN6" s="50"/>
      <c r="UWO6" s="50"/>
      <c r="UWP6" s="50"/>
      <c r="UWQ6" s="50"/>
      <c r="UWR6" s="50"/>
      <c r="UWS6" s="50"/>
      <c r="UWT6" s="50"/>
      <c r="UWU6" s="50"/>
      <c r="UWV6" s="50"/>
      <c r="UWW6" s="50"/>
      <c r="UWX6" s="50"/>
      <c r="UWY6" s="50"/>
      <c r="UWZ6" s="50"/>
      <c r="UXA6" s="50"/>
      <c r="UXB6" s="50"/>
      <c r="UXC6" s="50"/>
      <c r="UXD6" s="50"/>
      <c r="UXE6" s="50"/>
      <c r="UXF6" s="50"/>
      <c r="UXG6" s="50"/>
      <c r="UXH6" s="50"/>
      <c r="UXI6" s="50"/>
      <c r="UXJ6" s="50"/>
      <c r="UXK6" s="50"/>
      <c r="UXL6" s="50"/>
      <c r="UXM6" s="50"/>
      <c r="UXN6" s="50"/>
      <c r="UXO6" s="50"/>
      <c r="UXP6" s="50"/>
      <c r="UXQ6" s="50"/>
      <c r="UXR6" s="50"/>
      <c r="UXS6" s="50"/>
      <c r="UXT6" s="50"/>
      <c r="UXU6" s="50"/>
      <c r="UXV6" s="50"/>
      <c r="UXW6" s="50"/>
      <c r="UXX6" s="50"/>
      <c r="UXY6" s="50"/>
      <c r="UXZ6" s="50"/>
      <c r="UYA6" s="50"/>
      <c r="UYB6" s="50"/>
      <c r="UYC6" s="50"/>
      <c r="UYD6" s="50"/>
      <c r="UYE6" s="50"/>
      <c r="UYF6" s="50"/>
      <c r="UYG6" s="50"/>
      <c r="UYH6" s="50"/>
      <c r="UYI6" s="50"/>
      <c r="UYJ6" s="50"/>
      <c r="UYK6" s="50"/>
      <c r="UYL6" s="50"/>
      <c r="UYM6" s="50"/>
      <c r="UYN6" s="50"/>
      <c r="UYO6" s="50"/>
      <c r="UYP6" s="50"/>
      <c r="UYQ6" s="50"/>
      <c r="UYR6" s="50"/>
      <c r="UYS6" s="50"/>
      <c r="UYT6" s="50"/>
      <c r="UYU6" s="50"/>
      <c r="UYV6" s="50"/>
      <c r="UYW6" s="50"/>
      <c r="UYX6" s="50"/>
      <c r="UYY6" s="50"/>
      <c r="UYZ6" s="50"/>
      <c r="UZA6" s="50"/>
      <c r="UZB6" s="50"/>
      <c r="UZC6" s="50"/>
      <c r="UZD6" s="50"/>
      <c r="UZE6" s="50"/>
      <c r="UZF6" s="50"/>
      <c r="UZG6" s="50"/>
      <c r="UZH6" s="50"/>
      <c r="UZI6" s="50"/>
      <c r="UZJ6" s="50"/>
      <c r="UZK6" s="50"/>
      <c r="UZL6" s="50"/>
      <c r="UZM6" s="50"/>
      <c r="UZN6" s="50"/>
      <c r="UZO6" s="50"/>
      <c r="UZP6" s="50"/>
      <c r="UZQ6" s="50"/>
      <c r="UZR6" s="50"/>
      <c r="UZS6" s="50"/>
      <c r="UZT6" s="50"/>
      <c r="UZU6" s="50"/>
      <c r="UZV6" s="50"/>
      <c r="UZW6" s="50"/>
      <c r="UZX6" s="50"/>
      <c r="UZY6" s="50"/>
      <c r="UZZ6" s="50"/>
      <c r="VAA6" s="50"/>
      <c r="VAB6" s="50"/>
      <c r="VAC6" s="50"/>
      <c r="VAD6" s="50"/>
      <c r="VAE6" s="50"/>
      <c r="VAF6" s="50"/>
      <c r="VAG6" s="50"/>
      <c r="VAH6" s="50"/>
      <c r="VAI6" s="50"/>
      <c r="VAJ6" s="50"/>
      <c r="VAK6" s="50"/>
      <c r="VAL6" s="50"/>
      <c r="VAM6" s="50"/>
      <c r="VAN6" s="50"/>
      <c r="VAO6" s="50"/>
      <c r="VAP6" s="50"/>
      <c r="VAQ6" s="50"/>
      <c r="VAR6" s="50"/>
      <c r="VAS6" s="50"/>
      <c r="VAT6" s="50"/>
      <c r="VAU6" s="50"/>
      <c r="VAV6" s="50"/>
      <c r="VAW6" s="50"/>
      <c r="VAX6" s="50"/>
      <c r="VAY6" s="50"/>
      <c r="VAZ6" s="50"/>
      <c r="VBA6" s="50"/>
      <c r="VBB6" s="50"/>
      <c r="VBC6" s="50"/>
      <c r="VBD6" s="50"/>
      <c r="VBE6" s="50"/>
      <c r="VBF6" s="50"/>
      <c r="VBG6" s="50"/>
      <c r="VBH6" s="50"/>
      <c r="VBI6" s="50"/>
      <c r="VBJ6" s="50"/>
      <c r="VBK6" s="50"/>
      <c r="VBL6" s="50"/>
      <c r="VBM6" s="50"/>
      <c r="VBN6" s="50"/>
      <c r="VBO6" s="50"/>
      <c r="VBP6" s="50"/>
      <c r="VBQ6" s="50"/>
      <c r="VBR6" s="50"/>
      <c r="VBS6" s="50"/>
      <c r="VBT6" s="50"/>
      <c r="VBU6" s="50"/>
      <c r="VBV6" s="50"/>
      <c r="VBW6" s="50"/>
      <c r="VBX6" s="50"/>
      <c r="VBY6" s="50"/>
      <c r="VBZ6" s="50"/>
      <c r="VCA6" s="50"/>
      <c r="VCB6" s="50"/>
      <c r="VCC6" s="50"/>
      <c r="VCD6" s="50"/>
      <c r="VCE6" s="50"/>
      <c r="VCF6" s="50"/>
      <c r="VCG6" s="50"/>
      <c r="VCH6" s="50"/>
      <c r="VCI6" s="50"/>
      <c r="VCJ6" s="50"/>
      <c r="VCK6" s="50"/>
      <c r="VCL6" s="50"/>
      <c r="VCM6" s="50"/>
      <c r="VCN6" s="50"/>
      <c r="VCO6" s="50"/>
      <c r="VCP6" s="50"/>
      <c r="VCQ6" s="50"/>
      <c r="VCR6" s="50"/>
      <c r="VCS6" s="50"/>
      <c r="VCT6" s="50"/>
      <c r="VCU6" s="50"/>
      <c r="VCV6" s="50"/>
      <c r="VCW6" s="50"/>
      <c r="VCX6" s="50"/>
      <c r="VCY6" s="50"/>
      <c r="VCZ6" s="50"/>
      <c r="VDA6" s="50"/>
      <c r="VDB6" s="50"/>
      <c r="VDC6" s="50"/>
      <c r="VDD6" s="50"/>
      <c r="VDE6" s="50"/>
      <c r="VDF6" s="50"/>
      <c r="VDG6" s="50"/>
      <c r="VDH6" s="50"/>
      <c r="VDI6" s="50"/>
      <c r="VDJ6" s="50"/>
      <c r="VDK6" s="50"/>
      <c r="VDL6" s="50"/>
      <c r="VDM6" s="50"/>
      <c r="VDN6" s="50"/>
      <c r="VDO6" s="50"/>
      <c r="VDP6" s="50"/>
      <c r="VDQ6" s="50"/>
      <c r="VDR6" s="50"/>
      <c r="VDS6" s="50"/>
      <c r="VDT6" s="50"/>
      <c r="VDU6" s="50"/>
      <c r="VDV6" s="50"/>
      <c r="VDW6" s="50"/>
      <c r="VDX6" s="50"/>
      <c r="VDY6" s="50"/>
      <c r="VDZ6" s="50"/>
      <c r="VEA6" s="50"/>
      <c r="VEB6" s="50"/>
      <c r="VEC6" s="50"/>
      <c r="VED6" s="50"/>
      <c r="VEE6" s="50"/>
      <c r="VEF6" s="50"/>
      <c r="VEG6" s="50"/>
      <c r="VEH6" s="50"/>
      <c r="VEI6" s="50"/>
      <c r="VEJ6" s="50"/>
      <c r="VEK6" s="50"/>
      <c r="VEL6" s="50"/>
      <c r="VEM6" s="50"/>
      <c r="VEN6" s="50"/>
      <c r="VEO6" s="50"/>
      <c r="VEP6" s="50"/>
      <c r="VEQ6" s="50"/>
      <c r="VER6" s="50"/>
      <c r="VES6" s="50"/>
      <c r="VET6" s="50"/>
      <c r="VEU6" s="50"/>
      <c r="VEV6" s="50"/>
      <c r="VEW6" s="50"/>
      <c r="VEX6" s="50"/>
      <c r="VEY6" s="50"/>
      <c r="VEZ6" s="50"/>
      <c r="VFA6" s="50"/>
      <c r="VFB6" s="50"/>
      <c r="VFC6" s="50"/>
      <c r="VFD6" s="50"/>
      <c r="VFE6" s="50"/>
      <c r="VFF6" s="50"/>
      <c r="VFG6" s="50"/>
      <c r="VFH6" s="50"/>
      <c r="VFI6" s="50"/>
      <c r="VFJ6" s="50"/>
      <c r="VFK6" s="50"/>
      <c r="VFL6" s="50"/>
      <c r="VFM6" s="50"/>
      <c r="VFN6" s="50"/>
      <c r="VFO6" s="50"/>
      <c r="VFP6" s="50"/>
      <c r="VFQ6" s="50"/>
      <c r="VFR6" s="50"/>
      <c r="VFS6" s="50"/>
      <c r="VFT6" s="50"/>
      <c r="VFU6" s="50"/>
      <c r="VFV6" s="50"/>
      <c r="VFW6" s="50"/>
      <c r="VFX6" s="50"/>
      <c r="VFY6" s="50"/>
      <c r="VFZ6" s="50"/>
      <c r="VGA6" s="50"/>
      <c r="VGB6" s="50"/>
      <c r="VGC6" s="50"/>
      <c r="VGD6" s="50"/>
      <c r="VGE6" s="50"/>
      <c r="VGF6" s="50"/>
      <c r="VGG6" s="50"/>
      <c r="VGH6" s="50"/>
      <c r="VGI6" s="50"/>
      <c r="VGJ6" s="50"/>
      <c r="VGK6" s="50"/>
      <c r="VGL6" s="50"/>
      <c r="VGM6" s="50"/>
      <c r="VGN6" s="50"/>
      <c r="VGO6" s="50"/>
      <c r="VGP6" s="50"/>
      <c r="VGQ6" s="50"/>
      <c r="VGR6" s="50"/>
      <c r="VGS6" s="50"/>
      <c r="VGT6" s="50"/>
      <c r="VGU6" s="50"/>
      <c r="VGV6" s="50"/>
      <c r="VGW6" s="50"/>
      <c r="VGX6" s="50"/>
      <c r="VGY6" s="50"/>
      <c r="VGZ6" s="50"/>
      <c r="VHA6" s="50"/>
      <c r="VHB6" s="50"/>
      <c r="VHC6" s="50"/>
      <c r="VHD6" s="50"/>
      <c r="VHE6" s="50"/>
      <c r="VHF6" s="50"/>
      <c r="VHG6" s="50"/>
      <c r="VHH6" s="50"/>
      <c r="VHI6" s="50"/>
      <c r="VHJ6" s="50"/>
      <c r="VHK6" s="50"/>
      <c r="VHL6" s="50"/>
      <c r="VHM6" s="50"/>
      <c r="VHN6" s="50"/>
      <c r="VHO6" s="50"/>
      <c r="VHP6" s="50"/>
      <c r="VHQ6" s="50"/>
      <c r="VHR6" s="50"/>
      <c r="VHS6" s="50"/>
      <c r="VHT6" s="50"/>
      <c r="VHU6" s="50"/>
      <c r="VHV6" s="50"/>
      <c r="VHW6" s="50"/>
      <c r="VHX6" s="50"/>
      <c r="VHY6" s="50"/>
      <c r="VHZ6" s="50"/>
      <c r="VIA6" s="50"/>
      <c r="VIB6" s="50"/>
      <c r="VIC6" s="50"/>
      <c r="VID6" s="50"/>
      <c r="VIE6" s="50"/>
      <c r="VIF6" s="50"/>
      <c r="VIG6" s="50"/>
      <c r="VIH6" s="50"/>
      <c r="VII6" s="50"/>
      <c r="VIJ6" s="50"/>
      <c r="VIK6" s="50"/>
      <c r="VIL6" s="50"/>
      <c r="VIM6" s="50"/>
      <c r="VIN6" s="50"/>
      <c r="VIO6" s="50"/>
      <c r="VIP6" s="50"/>
      <c r="VIQ6" s="50"/>
      <c r="VIR6" s="50"/>
      <c r="VIS6" s="50"/>
      <c r="VIT6" s="50"/>
      <c r="VIU6" s="50"/>
      <c r="VIV6" s="50"/>
      <c r="VIW6" s="50"/>
      <c r="VIX6" s="50"/>
      <c r="VIY6" s="50"/>
      <c r="VIZ6" s="50"/>
      <c r="VJA6" s="50"/>
      <c r="VJB6" s="50"/>
      <c r="VJC6" s="50"/>
      <c r="VJD6" s="50"/>
      <c r="VJE6" s="50"/>
      <c r="VJF6" s="50"/>
      <c r="VJG6" s="50"/>
      <c r="VJH6" s="50"/>
      <c r="VJI6" s="50"/>
      <c r="VJJ6" s="50"/>
      <c r="VJK6" s="50"/>
      <c r="VJL6" s="50"/>
      <c r="VJM6" s="50"/>
      <c r="VJN6" s="50"/>
      <c r="VJO6" s="50"/>
      <c r="VJP6" s="50"/>
      <c r="VJQ6" s="50"/>
      <c r="VJR6" s="50"/>
      <c r="VJS6" s="50"/>
      <c r="VJT6" s="50"/>
      <c r="VJU6" s="50"/>
      <c r="VJV6" s="50"/>
      <c r="VJW6" s="50"/>
      <c r="VJX6" s="50"/>
      <c r="VJY6" s="50"/>
      <c r="VJZ6" s="50"/>
      <c r="VKA6" s="50"/>
      <c r="VKB6" s="50"/>
      <c r="VKC6" s="50"/>
      <c r="VKD6" s="50"/>
      <c r="VKE6" s="50"/>
      <c r="VKF6" s="50"/>
      <c r="VKG6" s="50"/>
      <c r="VKH6" s="50"/>
      <c r="VKI6" s="50"/>
      <c r="VKJ6" s="50"/>
      <c r="VKK6" s="50"/>
      <c r="VKL6" s="50"/>
      <c r="VKM6" s="50"/>
      <c r="VKN6" s="50"/>
      <c r="VKO6" s="50"/>
      <c r="VKP6" s="50"/>
      <c r="VKQ6" s="50"/>
      <c r="VKR6" s="50"/>
      <c r="VKS6" s="50"/>
      <c r="VKT6" s="50"/>
      <c r="VKU6" s="50"/>
      <c r="VKV6" s="50"/>
      <c r="VKW6" s="50"/>
      <c r="VKX6" s="50"/>
      <c r="VKY6" s="50"/>
      <c r="VKZ6" s="50"/>
      <c r="VLA6" s="50"/>
      <c r="VLB6" s="50"/>
      <c r="VLC6" s="50"/>
      <c r="VLD6" s="50"/>
      <c r="VLE6" s="50"/>
      <c r="VLF6" s="50"/>
      <c r="VLG6" s="50"/>
      <c r="VLH6" s="50"/>
      <c r="VLI6" s="50"/>
      <c r="VLJ6" s="50"/>
      <c r="VLK6" s="50"/>
      <c r="VLL6" s="50"/>
      <c r="VLM6" s="50"/>
      <c r="VLN6" s="50"/>
      <c r="VLO6" s="50"/>
      <c r="VLP6" s="50"/>
      <c r="VLQ6" s="50"/>
      <c r="VLR6" s="50"/>
      <c r="VLS6" s="50"/>
      <c r="VLT6" s="50"/>
      <c r="VLU6" s="50"/>
      <c r="VLV6" s="50"/>
      <c r="VLW6" s="50"/>
      <c r="VLX6" s="50"/>
      <c r="VLY6" s="50"/>
      <c r="VLZ6" s="50"/>
      <c r="VMA6" s="50"/>
      <c r="VMB6" s="50"/>
      <c r="VMC6" s="50"/>
      <c r="VMD6" s="50"/>
      <c r="VME6" s="50"/>
      <c r="VMF6" s="50"/>
      <c r="VMG6" s="50"/>
      <c r="VMH6" s="50"/>
      <c r="VMI6" s="50"/>
      <c r="VMJ6" s="50"/>
      <c r="VMK6" s="50"/>
      <c r="VML6" s="50"/>
      <c r="VMM6" s="50"/>
      <c r="VMN6" s="50"/>
      <c r="VMO6" s="50"/>
      <c r="VMP6" s="50"/>
      <c r="VMQ6" s="50"/>
      <c r="VMR6" s="50"/>
      <c r="VMS6" s="50"/>
      <c r="VMT6" s="50"/>
      <c r="VMU6" s="50"/>
      <c r="VMV6" s="50"/>
      <c r="VMW6" s="50"/>
      <c r="VMX6" s="50"/>
      <c r="VMY6" s="50"/>
      <c r="VMZ6" s="50"/>
      <c r="VNA6" s="50"/>
      <c r="VNB6" s="50"/>
      <c r="VNC6" s="50"/>
      <c r="VND6" s="50"/>
      <c r="VNE6" s="50"/>
      <c r="VNF6" s="50"/>
      <c r="VNG6" s="50"/>
      <c r="VNH6" s="50"/>
      <c r="VNI6" s="50"/>
      <c r="VNJ6" s="50"/>
      <c r="VNK6" s="50"/>
      <c r="VNL6" s="50"/>
      <c r="VNM6" s="50"/>
      <c r="VNN6" s="50"/>
      <c r="VNO6" s="50"/>
      <c r="VNP6" s="50"/>
      <c r="VNQ6" s="50"/>
      <c r="VNR6" s="50"/>
      <c r="VNS6" s="50"/>
      <c r="VNT6" s="50"/>
      <c r="VNU6" s="50"/>
      <c r="VNV6" s="50"/>
      <c r="VNW6" s="50"/>
      <c r="VNX6" s="50"/>
      <c r="VNY6" s="50"/>
      <c r="VNZ6" s="50"/>
      <c r="VOA6" s="50"/>
      <c r="VOB6" s="50"/>
      <c r="VOC6" s="50"/>
      <c r="VOD6" s="50"/>
      <c r="VOE6" s="50"/>
      <c r="VOF6" s="50"/>
      <c r="VOG6" s="50"/>
      <c r="VOH6" s="50"/>
      <c r="VOI6" s="50"/>
      <c r="VOJ6" s="50"/>
      <c r="VOK6" s="50"/>
      <c r="VOL6" s="50"/>
      <c r="VOM6" s="50"/>
      <c r="VON6" s="50"/>
      <c r="VOO6" s="50"/>
      <c r="VOP6" s="50"/>
      <c r="VOQ6" s="50"/>
      <c r="VOR6" s="50"/>
      <c r="VOS6" s="50"/>
      <c r="VOT6" s="50"/>
      <c r="VOU6" s="50"/>
      <c r="VOV6" s="50"/>
      <c r="VOW6" s="50"/>
      <c r="VOX6" s="50"/>
      <c r="VOY6" s="50"/>
      <c r="VOZ6" s="50"/>
      <c r="VPA6" s="50"/>
      <c r="VPB6" s="50"/>
      <c r="VPC6" s="50"/>
      <c r="VPD6" s="50"/>
      <c r="VPE6" s="50"/>
      <c r="VPF6" s="50"/>
      <c r="VPG6" s="50"/>
      <c r="VPH6" s="50"/>
      <c r="VPI6" s="50"/>
      <c r="VPJ6" s="50"/>
      <c r="VPK6" s="50"/>
      <c r="VPL6" s="50"/>
      <c r="VPM6" s="50"/>
      <c r="VPN6" s="50"/>
      <c r="VPO6" s="50"/>
      <c r="VPP6" s="50"/>
      <c r="VPQ6" s="50"/>
      <c r="VPR6" s="50"/>
      <c r="VPS6" s="50"/>
      <c r="VPT6" s="50"/>
      <c r="VPU6" s="50"/>
      <c r="VPV6" s="50"/>
      <c r="VPW6" s="50"/>
      <c r="VPX6" s="50"/>
      <c r="VPY6" s="50"/>
      <c r="VPZ6" s="50"/>
      <c r="VQA6" s="50"/>
      <c r="VQB6" s="50"/>
      <c r="VQC6" s="50"/>
      <c r="VQD6" s="50"/>
      <c r="VQE6" s="50"/>
      <c r="VQF6" s="50"/>
      <c r="VQG6" s="50"/>
      <c r="VQH6" s="50"/>
      <c r="VQI6" s="50"/>
      <c r="VQJ6" s="50"/>
      <c r="VQK6" s="50"/>
      <c r="VQL6" s="50"/>
      <c r="VQM6" s="50"/>
      <c r="VQN6" s="50"/>
      <c r="VQO6" s="50"/>
      <c r="VQP6" s="50"/>
      <c r="VQQ6" s="50"/>
      <c r="VQR6" s="50"/>
      <c r="VQS6" s="50"/>
      <c r="VQT6" s="50"/>
      <c r="VQU6" s="50"/>
      <c r="VQV6" s="50"/>
      <c r="VQW6" s="50"/>
      <c r="VQX6" s="50"/>
      <c r="VQY6" s="50"/>
      <c r="VQZ6" s="50"/>
      <c r="VRA6" s="50"/>
      <c r="VRB6" s="50"/>
      <c r="VRC6" s="50"/>
      <c r="VRD6" s="50"/>
      <c r="VRE6" s="50"/>
      <c r="VRF6" s="50"/>
      <c r="VRG6" s="50"/>
      <c r="VRH6" s="50"/>
      <c r="VRI6" s="50"/>
      <c r="VRJ6" s="50"/>
      <c r="VRK6" s="50"/>
      <c r="VRL6" s="50"/>
      <c r="VRM6" s="50"/>
      <c r="VRN6" s="50"/>
      <c r="VRO6" s="50"/>
      <c r="VRP6" s="50"/>
      <c r="VRQ6" s="50"/>
      <c r="VRR6" s="50"/>
      <c r="VRS6" s="50"/>
      <c r="VRT6" s="50"/>
      <c r="VRU6" s="50"/>
      <c r="VRV6" s="50"/>
      <c r="VRW6" s="50"/>
      <c r="VRX6" s="50"/>
      <c r="VRY6" s="50"/>
      <c r="VRZ6" s="50"/>
      <c r="VSA6" s="50"/>
      <c r="VSB6" s="50"/>
      <c r="VSC6" s="50"/>
      <c r="VSD6" s="50"/>
      <c r="VSE6" s="50"/>
      <c r="VSF6" s="50"/>
      <c r="VSG6" s="50"/>
      <c r="VSH6" s="50"/>
      <c r="VSI6" s="50"/>
      <c r="VSJ6" s="50"/>
      <c r="VSK6" s="50"/>
      <c r="VSL6" s="50"/>
      <c r="VSM6" s="50"/>
      <c r="VSN6" s="50"/>
      <c r="VSO6" s="50"/>
      <c r="VSP6" s="50"/>
      <c r="VSQ6" s="50"/>
      <c r="VSR6" s="50"/>
      <c r="VSS6" s="50"/>
      <c r="VST6" s="50"/>
      <c r="VSU6" s="50"/>
      <c r="VSV6" s="50"/>
      <c r="VSW6" s="50"/>
      <c r="VSX6" s="50"/>
      <c r="VSY6" s="50"/>
      <c r="VSZ6" s="50"/>
      <c r="VTA6" s="50"/>
      <c r="VTB6" s="50"/>
      <c r="VTC6" s="50"/>
      <c r="VTD6" s="50"/>
      <c r="VTE6" s="50"/>
      <c r="VTF6" s="50"/>
      <c r="VTG6" s="50"/>
      <c r="VTH6" s="50"/>
      <c r="VTI6" s="50"/>
      <c r="VTJ6" s="50"/>
      <c r="VTK6" s="50"/>
      <c r="VTL6" s="50"/>
      <c r="VTM6" s="50"/>
      <c r="VTN6" s="50"/>
      <c r="VTO6" s="50"/>
      <c r="VTP6" s="50"/>
      <c r="VTQ6" s="50"/>
      <c r="VTR6" s="50"/>
      <c r="VTS6" s="50"/>
      <c r="VTT6" s="50"/>
      <c r="VTU6" s="50"/>
      <c r="VTV6" s="50"/>
      <c r="VTW6" s="50"/>
      <c r="VTX6" s="50"/>
      <c r="VTY6" s="50"/>
      <c r="VTZ6" s="50"/>
      <c r="VUA6" s="50"/>
      <c r="VUB6" s="50"/>
      <c r="VUC6" s="50"/>
      <c r="VUD6" s="50"/>
      <c r="VUE6" s="50"/>
      <c r="VUF6" s="50"/>
      <c r="VUG6" s="50"/>
      <c r="VUH6" s="50"/>
      <c r="VUI6" s="50"/>
      <c r="VUJ6" s="50"/>
      <c r="VUK6" s="50"/>
      <c r="VUL6" s="50"/>
      <c r="VUM6" s="50"/>
      <c r="VUN6" s="50"/>
      <c r="VUO6" s="50"/>
      <c r="VUP6" s="50"/>
      <c r="VUQ6" s="50"/>
      <c r="VUR6" s="50"/>
      <c r="VUS6" s="50"/>
      <c r="VUT6" s="50"/>
      <c r="VUU6" s="50"/>
      <c r="VUV6" s="50"/>
      <c r="VUW6" s="50"/>
      <c r="VUX6" s="50"/>
      <c r="VUY6" s="50"/>
      <c r="VUZ6" s="50"/>
      <c r="VVA6" s="50"/>
      <c r="VVB6" s="50"/>
      <c r="VVC6" s="50"/>
      <c r="VVD6" s="50"/>
      <c r="VVE6" s="50"/>
      <c r="VVF6" s="50"/>
      <c r="VVG6" s="50"/>
      <c r="VVH6" s="50"/>
      <c r="VVI6" s="50"/>
      <c r="VVJ6" s="50"/>
      <c r="VVK6" s="50"/>
      <c r="VVL6" s="50"/>
      <c r="VVM6" s="50"/>
      <c r="VVN6" s="50"/>
      <c r="VVO6" s="50"/>
      <c r="VVP6" s="50"/>
      <c r="VVQ6" s="50"/>
      <c r="VVR6" s="50"/>
      <c r="VVS6" s="50"/>
      <c r="VVT6" s="50"/>
      <c r="VVU6" s="50"/>
      <c r="VVV6" s="50"/>
      <c r="VVW6" s="50"/>
      <c r="VVX6" s="50"/>
      <c r="VVY6" s="50"/>
      <c r="VVZ6" s="50"/>
      <c r="VWA6" s="50"/>
      <c r="VWB6" s="50"/>
      <c r="VWC6" s="50"/>
      <c r="VWD6" s="50"/>
      <c r="VWE6" s="50"/>
      <c r="VWF6" s="50"/>
      <c r="VWG6" s="50"/>
      <c r="VWH6" s="50"/>
      <c r="VWI6" s="50"/>
      <c r="VWJ6" s="50"/>
      <c r="VWK6" s="50"/>
      <c r="VWL6" s="50"/>
      <c r="VWM6" s="50"/>
      <c r="VWN6" s="50"/>
      <c r="VWO6" s="50"/>
      <c r="VWP6" s="50"/>
      <c r="VWQ6" s="50"/>
      <c r="VWR6" s="50"/>
      <c r="VWS6" s="50"/>
      <c r="VWT6" s="50"/>
      <c r="VWU6" s="50"/>
      <c r="VWV6" s="50"/>
      <c r="VWW6" s="50"/>
      <c r="VWX6" s="50"/>
      <c r="VWY6" s="50"/>
      <c r="VWZ6" s="50"/>
      <c r="VXA6" s="50"/>
      <c r="VXB6" s="50"/>
      <c r="VXC6" s="50"/>
      <c r="VXD6" s="50"/>
      <c r="VXE6" s="50"/>
      <c r="VXF6" s="50"/>
      <c r="VXG6" s="50"/>
      <c r="VXH6" s="50"/>
      <c r="VXI6" s="50"/>
      <c r="VXJ6" s="50"/>
      <c r="VXK6" s="50"/>
      <c r="VXL6" s="50"/>
      <c r="VXM6" s="50"/>
      <c r="VXN6" s="50"/>
      <c r="VXO6" s="50"/>
      <c r="VXP6" s="50"/>
      <c r="VXQ6" s="50"/>
      <c r="VXR6" s="50"/>
      <c r="VXS6" s="50"/>
      <c r="VXT6" s="50"/>
      <c r="VXU6" s="50"/>
      <c r="VXV6" s="50"/>
      <c r="VXW6" s="50"/>
      <c r="VXX6" s="50"/>
      <c r="VXY6" s="50"/>
      <c r="VXZ6" s="50"/>
      <c r="VYA6" s="50"/>
      <c r="VYB6" s="50"/>
      <c r="VYC6" s="50"/>
      <c r="VYD6" s="50"/>
      <c r="VYE6" s="50"/>
      <c r="VYF6" s="50"/>
      <c r="VYG6" s="50"/>
      <c r="VYH6" s="50"/>
      <c r="VYI6" s="50"/>
      <c r="VYJ6" s="50"/>
      <c r="VYK6" s="50"/>
      <c r="VYL6" s="50"/>
      <c r="VYM6" s="50"/>
      <c r="VYN6" s="50"/>
      <c r="VYO6" s="50"/>
      <c r="VYP6" s="50"/>
      <c r="VYQ6" s="50"/>
      <c r="VYR6" s="50"/>
      <c r="VYS6" s="50"/>
      <c r="VYT6" s="50"/>
      <c r="VYU6" s="50"/>
      <c r="VYV6" s="50"/>
      <c r="VYW6" s="50"/>
      <c r="VYX6" s="50"/>
      <c r="VYY6" s="50"/>
      <c r="VYZ6" s="50"/>
      <c r="VZA6" s="50"/>
      <c r="VZB6" s="50"/>
      <c r="VZC6" s="50"/>
      <c r="VZD6" s="50"/>
      <c r="VZE6" s="50"/>
      <c r="VZF6" s="50"/>
      <c r="VZG6" s="50"/>
      <c r="VZH6" s="50"/>
      <c r="VZI6" s="50"/>
      <c r="VZJ6" s="50"/>
      <c r="VZK6" s="50"/>
      <c r="VZL6" s="50"/>
      <c r="VZM6" s="50"/>
      <c r="VZN6" s="50"/>
      <c r="VZO6" s="50"/>
      <c r="VZP6" s="50"/>
      <c r="VZQ6" s="50"/>
      <c r="VZR6" s="50"/>
      <c r="VZS6" s="50"/>
      <c r="VZT6" s="50"/>
      <c r="VZU6" s="50"/>
      <c r="VZV6" s="50"/>
      <c r="VZW6" s="50"/>
      <c r="VZX6" s="50"/>
      <c r="VZY6" s="50"/>
      <c r="VZZ6" s="50"/>
      <c r="WAA6" s="50"/>
      <c r="WAB6" s="50"/>
      <c r="WAC6" s="50"/>
      <c r="WAD6" s="50"/>
      <c r="WAE6" s="50"/>
      <c r="WAF6" s="50"/>
      <c r="WAG6" s="50"/>
      <c r="WAH6" s="50"/>
      <c r="WAI6" s="50"/>
      <c r="WAJ6" s="50"/>
      <c r="WAK6" s="50"/>
      <c r="WAL6" s="50"/>
      <c r="WAM6" s="50"/>
      <c r="WAN6" s="50"/>
      <c r="WAO6" s="50"/>
      <c r="WAP6" s="50"/>
      <c r="WAQ6" s="50"/>
      <c r="WAR6" s="50"/>
      <c r="WAS6" s="50"/>
      <c r="WAT6" s="50"/>
      <c r="WAU6" s="50"/>
      <c r="WAV6" s="50"/>
      <c r="WAW6" s="50"/>
      <c r="WAX6" s="50"/>
      <c r="WAY6" s="50"/>
      <c r="WAZ6" s="50"/>
      <c r="WBA6" s="50"/>
      <c r="WBB6" s="50"/>
      <c r="WBC6" s="50"/>
      <c r="WBD6" s="50"/>
      <c r="WBE6" s="50"/>
      <c r="WBF6" s="50"/>
      <c r="WBG6" s="50"/>
      <c r="WBH6" s="50"/>
      <c r="WBI6" s="50"/>
      <c r="WBJ6" s="50"/>
      <c r="WBK6" s="50"/>
      <c r="WBL6" s="50"/>
      <c r="WBM6" s="50"/>
      <c r="WBN6" s="50"/>
      <c r="WBO6" s="50"/>
      <c r="WBP6" s="50"/>
      <c r="WBQ6" s="50"/>
      <c r="WBR6" s="50"/>
      <c r="WBS6" s="50"/>
      <c r="WBT6" s="50"/>
      <c r="WBU6" s="50"/>
      <c r="WBV6" s="50"/>
      <c r="WBW6" s="50"/>
      <c r="WBX6" s="50"/>
      <c r="WBY6" s="50"/>
      <c r="WBZ6" s="50"/>
      <c r="WCA6" s="50"/>
      <c r="WCB6" s="50"/>
      <c r="WCC6" s="50"/>
      <c r="WCD6" s="50"/>
      <c r="WCE6" s="50"/>
      <c r="WCF6" s="50"/>
      <c r="WCG6" s="50"/>
      <c r="WCH6" s="50"/>
      <c r="WCI6" s="50"/>
      <c r="WCJ6" s="50"/>
      <c r="WCK6" s="50"/>
      <c r="WCL6" s="50"/>
      <c r="WCM6" s="50"/>
      <c r="WCN6" s="50"/>
      <c r="WCO6" s="50"/>
      <c r="WCP6" s="50"/>
      <c r="WCQ6" s="50"/>
      <c r="WCR6" s="50"/>
      <c r="WCS6" s="50"/>
      <c r="WCT6" s="50"/>
      <c r="WCU6" s="50"/>
      <c r="WCV6" s="50"/>
      <c r="WCW6" s="50"/>
      <c r="WCX6" s="50"/>
      <c r="WCY6" s="50"/>
      <c r="WCZ6" s="50"/>
      <c r="WDA6" s="50"/>
      <c r="WDB6" s="50"/>
      <c r="WDC6" s="50"/>
      <c r="WDD6" s="50"/>
      <c r="WDE6" s="50"/>
      <c r="WDF6" s="50"/>
      <c r="WDG6" s="50"/>
      <c r="WDH6" s="50"/>
      <c r="WDI6" s="50"/>
      <c r="WDJ6" s="50"/>
      <c r="WDK6" s="50"/>
      <c r="WDL6" s="50"/>
      <c r="WDM6" s="50"/>
      <c r="WDN6" s="50"/>
      <c r="WDO6" s="50"/>
      <c r="WDP6" s="50"/>
      <c r="WDQ6" s="50"/>
      <c r="WDR6" s="50"/>
      <c r="WDS6" s="50"/>
      <c r="WDT6" s="50"/>
      <c r="WDU6" s="50"/>
      <c r="WDV6" s="50"/>
      <c r="WDW6" s="50"/>
      <c r="WDX6" s="50"/>
      <c r="WDY6" s="50"/>
      <c r="WDZ6" s="50"/>
      <c r="WEA6" s="50"/>
      <c r="WEB6" s="50"/>
      <c r="WEC6" s="50"/>
      <c r="WED6" s="50"/>
      <c r="WEE6" s="50"/>
      <c r="WEF6" s="50"/>
      <c r="WEG6" s="50"/>
      <c r="WEH6" s="50"/>
      <c r="WEI6" s="50"/>
      <c r="WEJ6" s="50"/>
      <c r="WEK6" s="50"/>
      <c r="WEL6" s="50"/>
      <c r="WEM6" s="50"/>
      <c r="WEN6" s="50"/>
      <c r="WEO6" s="50"/>
      <c r="WEP6" s="50"/>
      <c r="WEQ6" s="50"/>
      <c r="WER6" s="50"/>
      <c r="WES6" s="50"/>
      <c r="WET6" s="50"/>
      <c r="WEU6" s="50"/>
      <c r="WEV6" s="50"/>
      <c r="WEW6" s="50"/>
      <c r="WEX6" s="50"/>
      <c r="WEY6" s="50"/>
      <c r="WEZ6" s="50"/>
      <c r="WFA6" s="50"/>
      <c r="WFB6" s="50"/>
      <c r="WFC6" s="50"/>
      <c r="WFD6" s="50"/>
      <c r="WFE6" s="50"/>
      <c r="WFF6" s="50"/>
      <c r="WFG6" s="50"/>
      <c r="WFH6" s="50"/>
      <c r="WFI6" s="50"/>
      <c r="WFJ6" s="50"/>
      <c r="WFK6" s="50"/>
      <c r="WFL6" s="50"/>
      <c r="WFM6" s="50"/>
      <c r="WFN6" s="50"/>
      <c r="WFO6" s="50"/>
      <c r="WFP6" s="50"/>
      <c r="WFQ6" s="50"/>
      <c r="WFR6" s="50"/>
      <c r="WFS6" s="50"/>
      <c r="WFT6" s="50"/>
      <c r="WFU6" s="50"/>
      <c r="WFV6" s="50"/>
      <c r="WFW6" s="50"/>
      <c r="WFX6" s="50"/>
      <c r="WFY6" s="50"/>
      <c r="WFZ6" s="50"/>
      <c r="WGA6" s="50"/>
      <c r="WGB6" s="50"/>
      <c r="WGC6" s="50"/>
      <c r="WGD6" s="50"/>
      <c r="WGE6" s="50"/>
      <c r="WGF6" s="50"/>
      <c r="WGG6" s="50"/>
      <c r="WGH6" s="50"/>
      <c r="WGI6" s="50"/>
      <c r="WGJ6" s="50"/>
      <c r="WGK6" s="50"/>
      <c r="WGL6" s="50"/>
      <c r="WGM6" s="50"/>
      <c r="WGN6" s="50"/>
      <c r="WGO6" s="50"/>
      <c r="WGP6" s="50"/>
      <c r="WGQ6" s="50"/>
      <c r="WGR6" s="50"/>
      <c r="WGS6" s="50"/>
      <c r="WGT6" s="50"/>
      <c r="WGU6" s="50"/>
      <c r="WGV6" s="50"/>
      <c r="WGW6" s="50"/>
      <c r="WGX6" s="50"/>
      <c r="WGY6" s="50"/>
      <c r="WGZ6" s="50"/>
      <c r="WHA6" s="50"/>
      <c r="WHB6" s="50"/>
      <c r="WHC6" s="50"/>
      <c r="WHD6" s="50"/>
      <c r="WHE6" s="50"/>
      <c r="WHF6" s="50"/>
      <c r="WHG6" s="50"/>
      <c r="WHH6" s="50"/>
      <c r="WHI6" s="50"/>
      <c r="WHJ6" s="50"/>
      <c r="WHK6" s="50"/>
      <c r="WHL6" s="50"/>
      <c r="WHM6" s="50"/>
      <c r="WHN6" s="50"/>
      <c r="WHO6" s="50"/>
      <c r="WHP6" s="50"/>
      <c r="WHQ6" s="50"/>
      <c r="WHR6" s="50"/>
      <c r="WHS6" s="50"/>
      <c r="WHT6" s="50"/>
      <c r="WHU6" s="50"/>
      <c r="WHV6" s="50"/>
      <c r="WHW6" s="50"/>
      <c r="WHX6" s="50"/>
      <c r="WHY6" s="50"/>
      <c r="WHZ6" s="50"/>
      <c r="WIA6" s="50"/>
      <c r="WIB6" s="50"/>
      <c r="WIC6" s="50"/>
      <c r="WID6" s="50"/>
      <c r="WIE6" s="50"/>
      <c r="WIF6" s="50"/>
      <c r="WIG6" s="50"/>
      <c r="WIH6" s="50"/>
      <c r="WII6" s="50"/>
      <c r="WIJ6" s="50"/>
      <c r="WIK6" s="50"/>
      <c r="WIL6" s="50"/>
      <c r="WIM6" s="50"/>
      <c r="WIN6" s="50"/>
      <c r="WIO6" s="50"/>
      <c r="WIP6" s="50"/>
      <c r="WIQ6" s="50"/>
      <c r="WIR6" s="50"/>
      <c r="WIS6" s="50"/>
      <c r="WIT6" s="50"/>
      <c r="WIU6" s="50"/>
      <c r="WIV6" s="50"/>
      <c r="WIW6" s="50"/>
      <c r="WIX6" s="50"/>
      <c r="WIY6" s="50"/>
      <c r="WIZ6" s="50"/>
      <c r="WJA6" s="50"/>
      <c r="WJB6" s="50"/>
      <c r="WJC6" s="50"/>
      <c r="WJD6" s="50"/>
      <c r="WJE6" s="50"/>
      <c r="WJF6" s="50"/>
      <c r="WJG6" s="50"/>
      <c r="WJH6" s="50"/>
      <c r="WJI6" s="50"/>
      <c r="WJJ6" s="50"/>
      <c r="WJK6" s="50"/>
      <c r="WJL6" s="50"/>
      <c r="WJM6" s="50"/>
      <c r="WJN6" s="50"/>
      <c r="WJO6" s="50"/>
      <c r="WJP6" s="50"/>
      <c r="WJQ6" s="50"/>
      <c r="WJR6" s="50"/>
      <c r="WJS6" s="50"/>
      <c r="WJT6" s="50"/>
      <c r="WJU6" s="50"/>
      <c r="WJV6" s="50"/>
      <c r="WJW6" s="50"/>
      <c r="WJX6" s="50"/>
      <c r="WJY6" s="50"/>
      <c r="WJZ6" s="50"/>
      <c r="WKA6" s="50"/>
      <c r="WKB6" s="50"/>
      <c r="WKC6" s="50"/>
      <c r="WKD6" s="50"/>
      <c r="WKE6" s="50"/>
      <c r="WKF6" s="50"/>
      <c r="WKG6" s="50"/>
      <c r="WKH6" s="50"/>
      <c r="WKI6" s="50"/>
      <c r="WKJ6" s="50"/>
      <c r="WKK6" s="50"/>
      <c r="WKL6" s="50"/>
      <c r="WKM6" s="50"/>
      <c r="WKN6" s="50"/>
      <c r="WKO6" s="50"/>
      <c r="WKP6" s="50"/>
      <c r="WKQ6" s="50"/>
      <c r="WKR6" s="50"/>
      <c r="WKS6" s="50"/>
      <c r="WKT6" s="50"/>
      <c r="WKU6" s="50"/>
      <c r="WKV6" s="50"/>
      <c r="WKW6" s="50"/>
      <c r="WKX6" s="50"/>
      <c r="WKY6" s="50"/>
      <c r="WKZ6" s="50"/>
      <c r="WLA6" s="50"/>
      <c r="WLB6" s="50"/>
      <c r="WLC6" s="50"/>
      <c r="WLD6" s="50"/>
      <c r="WLE6" s="50"/>
      <c r="WLF6" s="50"/>
      <c r="WLG6" s="50"/>
      <c r="WLH6" s="50"/>
      <c r="WLI6" s="50"/>
      <c r="WLJ6" s="50"/>
      <c r="WLK6" s="50"/>
      <c r="WLL6" s="50"/>
      <c r="WLM6" s="50"/>
      <c r="WLN6" s="50"/>
      <c r="WLO6" s="50"/>
      <c r="WLP6" s="50"/>
      <c r="WLQ6" s="50"/>
      <c r="WLR6" s="50"/>
      <c r="WLS6" s="50"/>
      <c r="WLT6" s="50"/>
      <c r="WLU6" s="50"/>
      <c r="WLV6" s="50"/>
      <c r="WLW6" s="50"/>
      <c r="WLX6" s="50"/>
      <c r="WLY6" s="50"/>
      <c r="WLZ6" s="50"/>
      <c r="WMA6" s="50"/>
      <c r="WMB6" s="50"/>
      <c r="WMC6" s="50"/>
      <c r="WMD6" s="50"/>
      <c r="WME6" s="50"/>
      <c r="WMF6" s="50"/>
      <c r="WMG6" s="50"/>
      <c r="WMH6" s="50"/>
      <c r="WMI6" s="50"/>
      <c r="WMJ6" s="50"/>
      <c r="WMK6" s="50"/>
      <c r="WML6" s="50"/>
      <c r="WMM6" s="50"/>
      <c r="WMN6" s="50"/>
      <c r="WMO6" s="50"/>
      <c r="WMP6" s="50"/>
      <c r="WMQ6" s="50"/>
      <c r="WMR6" s="50"/>
      <c r="WMS6" s="50"/>
      <c r="WMT6" s="50"/>
      <c r="WMU6" s="50"/>
      <c r="WMV6" s="50"/>
      <c r="WMW6" s="50"/>
      <c r="WMX6" s="50"/>
      <c r="WMY6" s="50"/>
      <c r="WMZ6" s="50"/>
      <c r="WNA6" s="50"/>
      <c r="WNB6" s="50"/>
      <c r="WNC6" s="50"/>
      <c r="WND6" s="50"/>
      <c r="WNE6" s="50"/>
      <c r="WNF6" s="50"/>
      <c r="WNG6" s="50"/>
      <c r="WNH6" s="50"/>
      <c r="WNI6" s="50"/>
      <c r="WNJ6" s="50"/>
      <c r="WNK6" s="50"/>
      <c r="WNL6" s="50"/>
      <c r="WNM6" s="50"/>
      <c r="WNN6" s="50"/>
      <c r="WNO6" s="50"/>
      <c r="WNP6" s="50"/>
      <c r="WNQ6" s="50"/>
      <c r="WNR6" s="50"/>
      <c r="WNS6" s="50"/>
      <c r="WNT6" s="50"/>
      <c r="WNU6" s="50"/>
      <c r="WNV6" s="50"/>
      <c r="WNW6" s="50"/>
      <c r="WNX6" s="50"/>
      <c r="WNY6" s="50"/>
      <c r="WNZ6" s="50"/>
      <c r="WOA6" s="50"/>
      <c r="WOB6" s="50"/>
      <c r="WOC6" s="50"/>
      <c r="WOD6" s="50"/>
      <c r="WOE6" s="50"/>
      <c r="WOF6" s="50"/>
      <c r="WOG6" s="50"/>
      <c r="WOH6" s="50"/>
      <c r="WOI6" s="50"/>
      <c r="WOJ6" s="50"/>
      <c r="WOK6" s="50"/>
      <c r="WOL6" s="50"/>
      <c r="WOM6" s="50"/>
      <c r="WON6" s="50"/>
      <c r="WOO6" s="50"/>
      <c r="WOP6" s="50"/>
      <c r="WOQ6" s="50"/>
      <c r="WOR6" s="50"/>
      <c r="WOS6" s="50"/>
      <c r="WOT6" s="50"/>
      <c r="WOU6" s="50"/>
      <c r="WOV6" s="50"/>
      <c r="WOW6" s="50"/>
      <c r="WOX6" s="50"/>
      <c r="WOY6" s="50"/>
      <c r="WOZ6" s="50"/>
      <c r="WPA6" s="50"/>
      <c r="WPB6" s="50"/>
      <c r="WPC6" s="50"/>
      <c r="WPD6" s="50"/>
      <c r="WPE6" s="50"/>
      <c r="WPF6" s="50"/>
      <c r="WPG6" s="50"/>
      <c r="WPH6" s="50"/>
      <c r="WPI6" s="50"/>
      <c r="WPJ6" s="50"/>
      <c r="WPK6" s="50"/>
      <c r="WPL6" s="50"/>
      <c r="WPM6" s="50"/>
      <c r="WPN6" s="50"/>
      <c r="WPO6" s="50"/>
      <c r="WPP6" s="50"/>
      <c r="WPQ6" s="50"/>
      <c r="WPR6" s="50"/>
      <c r="WPS6" s="50"/>
      <c r="WPT6" s="50"/>
      <c r="WPU6" s="50"/>
      <c r="WPV6" s="50"/>
      <c r="WPW6" s="50"/>
      <c r="WPX6" s="50"/>
      <c r="WPY6" s="50"/>
      <c r="WPZ6" s="50"/>
      <c r="WQA6" s="50"/>
      <c r="WQB6" s="50"/>
      <c r="WQC6" s="50"/>
      <c r="WQD6" s="50"/>
      <c r="WQE6" s="50"/>
      <c r="WQF6" s="50"/>
      <c r="WQG6" s="50"/>
      <c r="WQH6" s="50"/>
      <c r="WQI6" s="50"/>
      <c r="WQJ6" s="50"/>
      <c r="WQK6" s="50"/>
      <c r="WQL6" s="50"/>
      <c r="WQM6" s="50"/>
      <c r="WQN6" s="50"/>
      <c r="WQO6" s="50"/>
      <c r="WQP6" s="50"/>
      <c r="WQQ6" s="50"/>
      <c r="WQR6" s="50"/>
      <c r="WQS6" s="50"/>
      <c r="WQT6" s="50"/>
      <c r="WQU6" s="50"/>
      <c r="WQV6" s="50"/>
      <c r="WQW6" s="50"/>
      <c r="WQX6" s="50"/>
      <c r="WQY6" s="50"/>
      <c r="WQZ6" s="50"/>
      <c r="WRA6" s="50"/>
      <c r="WRB6" s="50"/>
      <c r="WRC6" s="50"/>
      <c r="WRD6" s="50"/>
      <c r="WRE6" s="50"/>
      <c r="WRF6" s="50"/>
      <c r="WRG6" s="50"/>
      <c r="WRH6" s="50"/>
      <c r="WRI6" s="50"/>
      <c r="WRJ6" s="50"/>
      <c r="WRK6" s="50"/>
      <c r="WRL6" s="50"/>
      <c r="WRM6" s="50"/>
      <c r="WRN6" s="50"/>
      <c r="WRO6" s="50"/>
      <c r="WRP6" s="50"/>
      <c r="WRQ6" s="50"/>
      <c r="WRR6" s="50"/>
      <c r="WRS6" s="50"/>
      <c r="WRT6" s="50"/>
      <c r="WRU6" s="50"/>
      <c r="WRV6" s="50"/>
      <c r="WRW6" s="50"/>
      <c r="WRX6" s="50"/>
      <c r="WRY6" s="50"/>
      <c r="WRZ6" s="50"/>
      <c r="WSA6" s="50"/>
      <c r="WSB6" s="50"/>
      <c r="WSC6" s="50"/>
      <c r="WSD6" s="50"/>
      <c r="WSE6" s="50"/>
      <c r="WSF6" s="50"/>
      <c r="WSG6" s="50"/>
      <c r="WSH6" s="50"/>
      <c r="WSI6" s="50"/>
      <c r="WSJ6" s="50"/>
      <c r="WSK6" s="50"/>
      <c r="WSL6" s="50"/>
      <c r="WSM6" s="50"/>
      <c r="WSN6" s="50"/>
      <c r="WSO6" s="50"/>
      <c r="WSP6" s="50"/>
      <c r="WSQ6" s="50"/>
      <c r="WSR6" s="50"/>
      <c r="WSS6" s="50"/>
      <c r="WST6" s="50"/>
      <c r="WSU6" s="50"/>
      <c r="WSV6" s="50"/>
      <c r="WSW6" s="50"/>
      <c r="WSX6" s="50"/>
      <c r="WSY6" s="50"/>
      <c r="WSZ6" s="50"/>
      <c r="WTA6" s="50"/>
      <c r="WTB6" s="50"/>
      <c r="WTC6" s="50"/>
      <c r="WTD6" s="50"/>
      <c r="WTE6" s="50"/>
      <c r="WTF6" s="50"/>
      <c r="WTG6" s="50"/>
      <c r="WTH6" s="50"/>
      <c r="WTI6" s="50"/>
      <c r="WTJ6" s="50"/>
      <c r="WTK6" s="50"/>
      <c r="WTL6" s="50"/>
      <c r="WTM6" s="50"/>
      <c r="WTN6" s="50"/>
      <c r="WTO6" s="50"/>
      <c r="WTP6" s="50"/>
      <c r="WTQ6" s="50"/>
      <c r="WTR6" s="50"/>
      <c r="WTS6" s="50"/>
      <c r="WTT6" s="50"/>
      <c r="WTU6" s="50"/>
      <c r="WTV6" s="50"/>
      <c r="WTW6" s="50"/>
      <c r="WTX6" s="50"/>
      <c r="WTY6" s="50"/>
      <c r="WTZ6" s="50"/>
      <c r="WUA6" s="50"/>
      <c r="WUB6" s="50"/>
      <c r="WUC6" s="50"/>
      <c r="WUD6" s="50"/>
      <c r="WUE6" s="50"/>
      <c r="WUF6" s="50"/>
      <c r="WUG6" s="50"/>
      <c r="WUH6" s="50"/>
      <c r="WUI6" s="50"/>
      <c r="WUJ6" s="50"/>
      <c r="WUK6" s="50"/>
      <c r="WUL6" s="50"/>
      <c r="WUM6" s="50"/>
      <c r="WUN6" s="50"/>
      <c r="WUO6" s="50"/>
      <c r="WUP6" s="50"/>
      <c r="WUQ6" s="50"/>
      <c r="WUR6" s="50"/>
      <c r="WUS6" s="50"/>
      <c r="WUT6" s="50"/>
      <c r="WUU6" s="50"/>
      <c r="WUV6" s="50"/>
      <c r="WUW6" s="50"/>
      <c r="WUX6" s="50"/>
      <c r="WUY6" s="50"/>
      <c r="WUZ6" s="50"/>
      <c r="WVA6" s="50"/>
      <c r="WVB6" s="50"/>
      <c r="WVC6" s="50"/>
      <c r="WVD6" s="50"/>
      <c r="WVE6" s="50"/>
      <c r="WVF6" s="50"/>
      <c r="WVG6" s="50"/>
      <c r="WVH6" s="50"/>
      <c r="WVI6" s="50"/>
      <c r="WVJ6" s="50"/>
      <c r="WVK6" s="50"/>
      <c r="WVL6" s="50"/>
      <c r="WVM6" s="50"/>
      <c r="WVN6" s="50"/>
      <c r="WVO6" s="50"/>
      <c r="WVP6" s="50"/>
      <c r="WVQ6" s="50"/>
      <c r="WVR6" s="50"/>
      <c r="WVS6" s="50"/>
      <c r="WVT6" s="50"/>
      <c r="WVU6" s="50"/>
      <c r="WVV6" s="50"/>
      <c r="WVW6" s="50"/>
      <c r="WVX6" s="50"/>
      <c r="WVY6" s="50"/>
      <c r="WVZ6" s="50"/>
      <c r="WWA6" s="50"/>
      <c r="WWB6" s="50"/>
      <c r="WWC6" s="50"/>
      <c r="WWD6" s="50"/>
      <c r="WWE6" s="50"/>
      <c r="WWF6" s="50"/>
      <c r="WWG6" s="50"/>
      <c r="WWH6" s="50"/>
      <c r="WWI6" s="50"/>
      <c r="WWJ6" s="50"/>
      <c r="WWK6" s="50"/>
      <c r="WWL6" s="50"/>
      <c r="WWM6" s="50"/>
      <c r="WWN6" s="50"/>
      <c r="WWO6" s="50"/>
      <c r="WWP6" s="50"/>
      <c r="WWQ6" s="50"/>
      <c r="WWR6" s="50"/>
      <c r="WWS6" s="50"/>
      <c r="WWT6" s="50"/>
      <c r="WWU6" s="50"/>
      <c r="WWV6" s="50"/>
      <c r="WWW6" s="50"/>
      <c r="WWX6" s="50"/>
      <c r="WWY6" s="50"/>
      <c r="WWZ6" s="50"/>
      <c r="WXA6" s="50"/>
      <c r="WXB6" s="50"/>
      <c r="WXC6" s="50"/>
      <c r="WXD6" s="50"/>
      <c r="WXE6" s="50"/>
      <c r="WXF6" s="50"/>
      <c r="WXG6" s="50"/>
      <c r="WXH6" s="50"/>
      <c r="WXI6" s="50"/>
      <c r="WXJ6" s="50"/>
      <c r="WXK6" s="50"/>
      <c r="WXL6" s="50"/>
      <c r="WXM6" s="50"/>
      <c r="WXN6" s="50"/>
      <c r="WXO6" s="50"/>
      <c r="WXP6" s="50"/>
      <c r="WXQ6" s="50"/>
      <c r="WXR6" s="50"/>
      <c r="WXS6" s="50"/>
      <c r="WXT6" s="50"/>
      <c r="WXU6" s="50"/>
      <c r="WXV6" s="50"/>
      <c r="WXW6" s="50"/>
      <c r="WXX6" s="50"/>
      <c r="WXY6" s="50"/>
      <c r="WXZ6" s="50"/>
      <c r="WYA6" s="50"/>
      <c r="WYB6" s="50"/>
      <c r="WYC6" s="50"/>
      <c r="WYD6" s="50"/>
      <c r="WYE6" s="50"/>
      <c r="WYF6" s="50"/>
      <c r="WYG6" s="50"/>
      <c r="WYH6" s="50"/>
      <c r="WYI6" s="50"/>
      <c r="WYJ6" s="50"/>
      <c r="WYK6" s="50"/>
      <c r="WYL6" s="50"/>
      <c r="WYM6" s="50"/>
      <c r="WYN6" s="50"/>
      <c r="WYO6" s="50"/>
      <c r="WYP6" s="50"/>
      <c r="WYQ6" s="50"/>
      <c r="WYR6" s="50"/>
      <c r="WYS6" s="50"/>
      <c r="WYT6" s="50"/>
      <c r="WYU6" s="50"/>
      <c r="WYV6" s="50"/>
      <c r="WYW6" s="50"/>
      <c r="WYX6" s="50"/>
      <c r="WYY6" s="50"/>
      <c r="WYZ6" s="50"/>
      <c r="WZA6" s="50"/>
      <c r="WZB6" s="50"/>
      <c r="WZC6" s="50"/>
      <c r="WZD6" s="50"/>
      <c r="WZE6" s="50"/>
      <c r="WZF6" s="50"/>
      <c r="WZG6" s="50"/>
      <c r="WZH6" s="50"/>
      <c r="WZI6" s="50"/>
      <c r="WZJ6" s="50"/>
      <c r="WZK6" s="50"/>
      <c r="WZL6" s="50"/>
      <c r="WZM6" s="50"/>
      <c r="WZN6" s="50"/>
      <c r="WZO6" s="50"/>
      <c r="WZP6" s="50"/>
      <c r="WZQ6" s="50"/>
      <c r="WZR6" s="50"/>
      <c r="WZS6" s="50"/>
      <c r="WZT6" s="50"/>
      <c r="WZU6" s="50"/>
      <c r="WZV6" s="50"/>
      <c r="WZW6" s="50"/>
      <c r="WZX6" s="50"/>
      <c r="WZY6" s="50"/>
      <c r="WZZ6" s="50"/>
      <c r="XAA6" s="50"/>
      <c r="XAB6" s="50"/>
      <c r="XAC6" s="50"/>
      <c r="XAD6" s="50"/>
      <c r="XAE6" s="50"/>
      <c r="XAF6" s="50"/>
      <c r="XAG6" s="50"/>
      <c r="XAH6" s="50"/>
      <c r="XAI6" s="50"/>
      <c r="XAJ6" s="50"/>
      <c r="XAK6" s="50"/>
      <c r="XAL6" s="50"/>
      <c r="XAM6" s="50"/>
      <c r="XAN6" s="50"/>
      <c r="XAO6" s="50"/>
      <c r="XAP6" s="50"/>
      <c r="XAQ6" s="50"/>
      <c r="XAR6" s="50"/>
      <c r="XAS6" s="50"/>
      <c r="XAT6" s="50"/>
      <c r="XAU6" s="50"/>
      <c r="XAV6" s="50"/>
      <c r="XAW6" s="50"/>
      <c r="XAX6" s="50"/>
      <c r="XAY6" s="50"/>
      <c r="XAZ6" s="50"/>
      <c r="XBA6" s="50"/>
      <c r="XBB6" s="50"/>
      <c r="XBC6" s="50"/>
      <c r="XBD6" s="50"/>
      <c r="XBE6" s="50"/>
      <c r="XBF6" s="50"/>
      <c r="XBG6" s="50"/>
      <c r="XBH6" s="50"/>
      <c r="XBI6" s="50"/>
      <c r="XBJ6" s="50"/>
      <c r="XBK6" s="50"/>
      <c r="XBL6" s="50"/>
      <c r="XBM6" s="50"/>
      <c r="XBN6" s="50"/>
      <c r="XBO6" s="50"/>
      <c r="XBP6" s="50"/>
      <c r="XBQ6" s="50"/>
      <c r="XBR6" s="50"/>
      <c r="XBS6" s="50"/>
      <c r="XBT6" s="50"/>
      <c r="XBU6" s="50"/>
      <c r="XBV6" s="50"/>
      <c r="XBW6" s="50"/>
      <c r="XBX6" s="50"/>
      <c r="XBY6" s="50"/>
      <c r="XBZ6" s="50"/>
      <c r="XCA6" s="50"/>
      <c r="XCB6" s="50"/>
      <c r="XCC6" s="50"/>
      <c r="XCD6" s="50"/>
      <c r="XCE6" s="50"/>
      <c r="XCF6" s="50"/>
      <c r="XCG6" s="50"/>
      <c r="XCH6" s="50"/>
      <c r="XCI6" s="50"/>
      <c r="XCJ6" s="50"/>
      <c r="XCK6" s="50"/>
      <c r="XCL6" s="50"/>
      <c r="XCM6" s="50"/>
      <c r="XCN6" s="50"/>
      <c r="XCO6" s="50"/>
      <c r="XCP6" s="50"/>
      <c r="XCQ6" s="50"/>
      <c r="XCR6" s="50"/>
      <c r="XCS6" s="50"/>
      <c r="XCT6" s="50"/>
      <c r="XCU6" s="50"/>
      <c r="XCV6" s="50"/>
      <c r="XCW6" s="50"/>
      <c r="XCX6" s="50"/>
      <c r="XCY6" s="50"/>
      <c r="XCZ6" s="50"/>
      <c r="XDA6" s="50"/>
      <c r="XDB6" s="50"/>
      <c r="XDC6" s="50"/>
      <c r="XDD6" s="50"/>
      <c r="XDE6" s="50"/>
      <c r="XDF6" s="50"/>
      <c r="XDG6" s="50"/>
      <c r="XDH6" s="50"/>
      <c r="XDI6" s="50"/>
      <c r="XDJ6" s="50"/>
      <c r="XDK6" s="50"/>
      <c r="XDL6" s="50"/>
      <c r="XDM6" s="50"/>
      <c r="XDN6" s="50"/>
      <c r="XDO6" s="50"/>
      <c r="XDP6" s="50"/>
      <c r="XDQ6" s="50"/>
      <c r="XDR6" s="50"/>
      <c r="XDS6" s="50"/>
      <c r="XDT6" s="50"/>
      <c r="XDU6" s="50"/>
      <c r="XDV6" s="50"/>
      <c r="XDW6" s="50"/>
      <c r="XDX6" s="50"/>
      <c r="XDY6" s="50"/>
      <c r="XDZ6" s="50"/>
      <c r="XEA6" s="50"/>
      <c r="XEB6" s="50"/>
      <c r="XEC6" s="50"/>
      <c r="XED6" s="50"/>
      <c r="XEE6" s="50"/>
      <c r="XEF6" s="50"/>
      <c r="XEG6" s="50"/>
      <c r="XEH6" s="50"/>
      <c r="XEI6" s="50"/>
      <c r="XEJ6" s="50"/>
      <c r="XEK6" s="50"/>
      <c r="XEL6" s="50"/>
      <c r="XEM6" s="50"/>
      <c r="XEN6" s="50"/>
      <c r="XEO6" s="50"/>
      <c r="XEP6" s="50"/>
    </row>
    <row r="7" spans="1:16370" s="51" customFormat="1" ht="15.75" x14ac:dyDescent="0.25">
      <c r="B7" s="33"/>
      <c r="C7" s="103"/>
      <c r="D7" s="103"/>
      <c r="E7" s="50"/>
      <c r="F7" s="76"/>
      <c r="G7" s="104"/>
      <c r="H7" s="104"/>
      <c r="I7" s="104" t="s">
        <v>441</v>
      </c>
      <c r="J7" s="104">
        <v>0</v>
      </c>
      <c r="K7" s="15">
        <v>45000</v>
      </c>
      <c r="L7" s="16" t="s">
        <v>265</v>
      </c>
      <c r="M7" s="104" t="s">
        <v>147</v>
      </c>
      <c r="N7" s="52" t="s">
        <v>266</v>
      </c>
      <c r="O7" s="33">
        <v>45000</v>
      </c>
      <c r="P7" s="20">
        <v>22500</v>
      </c>
      <c r="Q7" s="20">
        <v>11250</v>
      </c>
      <c r="R7" s="20">
        <v>5625</v>
      </c>
      <c r="S7" s="20">
        <v>5625</v>
      </c>
      <c r="T7" s="20"/>
      <c r="U7" s="20">
        <v>45000</v>
      </c>
      <c r="V7" s="20"/>
      <c r="W7" s="22">
        <v>0</v>
      </c>
      <c r="X7" s="22">
        <v>0</v>
      </c>
      <c r="Y7" s="22">
        <v>0</v>
      </c>
      <c r="Z7" s="22">
        <v>0</v>
      </c>
      <c r="AA7" s="20">
        <v>0</v>
      </c>
      <c r="AB7" s="42"/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4"/>
      <c r="AK7" s="80">
        <v>0</v>
      </c>
      <c r="AL7" s="24">
        <v>0</v>
      </c>
      <c r="AM7" s="24">
        <v>0</v>
      </c>
      <c r="AN7" s="24">
        <v>0</v>
      </c>
      <c r="AO7" s="25">
        <v>0</v>
      </c>
      <c r="AP7" s="26">
        <v>0</v>
      </c>
      <c r="AQ7" s="50"/>
      <c r="AR7" s="152">
        <v>0</v>
      </c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50"/>
      <c r="XDJ7" s="50"/>
      <c r="XDK7" s="50"/>
      <c r="XDL7" s="50"/>
      <c r="XDM7" s="50"/>
      <c r="XDN7" s="50"/>
      <c r="XDO7" s="50"/>
      <c r="XDP7" s="50"/>
      <c r="XDQ7" s="50"/>
      <c r="XDR7" s="50"/>
      <c r="XDS7" s="50"/>
      <c r="XDT7" s="50"/>
      <c r="XDU7" s="50"/>
      <c r="XDV7" s="50"/>
      <c r="XDW7" s="50"/>
      <c r="XDX7" s="50"/>
      <c r="XDY7" s="50"/>
      <c r="XDZ7" s="50"/>
      <c r="XEA7" s="50"/>
      <c r="XEB7" s="50"/>
      <c r="XEC7" s="50"/>
      <c r="XED7" s="50"/>
      <c r="XEE7" s="50"/>
      <c r="XEF7" s="50"/>
      <c r="XEG7" s="50"/>
      <c r="XEH7" s="50"/>
      <c r="XEI7" s="50"/>
      <c r="XEJ7" s="50"/>
      <c r="XEK7" s="50"/>
      <c r="XEL7" s="50"/>
      <c r="XEM7" s="50"/>
      <c r="XEN7" s="50"/>
      <c r="XEO7" s="50"/>
      <c r="XEP7" s="50"/>
    </row>
    <row r="8" spans="1:16370" s="51" customFormat="1" ht="15.75" x14ac:dyDescent="0.25">
      <c r="B8" s="21"/>
      <c r="C8" s="103"/>
      <c r="D8" s="104"/>
      <c r="E8" s="50"/>
      <c r="F8" s="76"/>
      <c r="G8" s="104"/>
      <c r="H8" s="104"/>
      <c r="I8" s="104" t="s">
        <v>441</v>
      </c>
      <c r="J8" s="104">
        <v>50000</v>
      </c>
      <c r="K8" s="15">
        <v>50000</v>
      </c>
      <c r="L8" s="30" t="s">
        <v>226</v>
      </c>
      <c r="M8" s="104" t="s">
        <v>145</v>
      </c>
      <c r="N8" s="30" t="s">
        <v>411</v>
      </c>
      <c r="O8" s="33">
        <v>50000</v>
      </c>
      <c r="P8" s="20">
        <v>25000</v>
      </c>
      <c r="Q8" s="20">
        <v>12500</v>
      </c>
      <c r="R8" s="20">
        <v>6250</v>
      </c>
      <c r="S8" s="20">
        <v>6250</v>
      </c>
      <c r="T8" s="20"/>
      <c r="U8" s="20">
        <v>50000</v>
      </c>
      <c r="V8" s="20"/>
      <c r="W8" s="22">
        <v>0</v>
      </c>
      <c r="X8" s="22">
        <v>0</v>
      </c>
      <c r="Y8" s="22">
        <v>0</v>
      </c>
      <c r="Z8" s="22">
        <v>0</v>
      </c>
      <c r="AA8" s="20">
        <v>0</v>
      </c>
      <c r="AB8" s="42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4"/>
      <c r="AK8" s="80">
        <v>0</v>
      </c>
      <c r="AL8" s="24">
        <v>0</v>
      </c>
      <c r="AM8" s="24">
        <v>0</v>
      </c>
      <c r="AN8" s="24">
        <v>0</v>
      </c>
      <c r="AO8" s="25">
        <v>0</v>
      </c>
      <c r="AP8" s="26">
        <v>0</v>
      </c>
      <c r="AQ8" s="50"/>
      <c r="AR8" s="152">
        <v>0</v>
      </c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50"/>
      <c r="XDJ8" s="50"/>
      <c r="XDK8" s="50"/>
      <c r="XDL8" s="50"/>
      <c r="XDM8" s="50"/>
      <c r="XDN8" s="50"/>
      <c r="XDO8" s="50"/>
      <c r="XDP8" s="50"/>
      <c r="XDQ8" s="50"/>
      <c r="XDR8" s="50"/>
      <c r="XDS8" s="50"/>
      <c r="XDT8" s="50"/>
      <c r="XDU8" s="50"/>
      <c r="XDV8" s="50"/>
      <c r="XDW8" s="50"/>
      <c r="XDX8" s="50"/>
      <c r="XDY8" s="50"/>
      <c r="XDZ8" s="50"/>
      <c r="XEA8" s="50"/>
      <c r="XEB8" s="50"/>
      <c r="XEC8" s="50"/>
      <c r="XED8" s="50"/>
      <c r="XEE8" s="50"/>
      <c r="XEF8" s="50"/>
      <c r="XEG8" s="50"/>
      <c r="XEH8" s="50"/>
      <c r="XEI8" s="50"/>
      <c r="XEJ8" s="50"/>
      <c r="XEK8" s="50"/>
      <c r="XEL8" s="50"/>
      <c r="XEM8" s="50"/>
      <c r="XEN8" s="50"/>
      <c r="XEO8" s="50"/>
      <c r="XEP8" s="50"/>
    </row>
    <row r="9" spans="1:16370" s="51" customFormat="1" ht="15.75" customHeight="1" x14ac:dyDescent="0.25">
      <c r="B9" s="21"/>
      <c r="C9" s="103"/>
      <c r="D9" s="104"/>
      <c r="E9" s="50"/>
      <c r="F9" s="76"/>
      <c r="G9" s="104"/>
      <c r="H9" s="104"/>
      <c r="I9" s="104" t="s">
        <v>441</v>
      </c>
      <c r="J9" s="104">
        <v>30000</v>
      </c>
      <c r="K9" s="15">
        <v>30000</v>
      </c>
      <c r="L9" s="30" t="s">
        <v>227</v>
      </c>
      <c r="M9" s="104" t="s">
        <v>188</v>
      </c>
      <c r="N9" s="30" t="s">
        <v>415</v>
      </c>
      <c r="O9" s="33">
        <v>30000</v>
      </c>
      <c r="P9" s="20">
        <v>15000</v>
      </c>
      <c r="Q9" s="20">
        <v>7500</v>
      </c>
      <c r="R9" s="20">
        <v>3750</v>
      </c>
      <c r="S9" s="20">
        <v>3750</v>
      </c>
      <c r="T9" s="20"/>
      <c r="U9" s="20">
        <v>30000</v>
      </c>
      <c r="V9" s="20"/>
      <c r="W9" s="22">
        <v>0</v>
      </c>
      <c r="X9" s="22">
        <v>0</v>
      </c>
      <c r="Y9" s="22">
        <v>0</v>
      </c>
      <c r="Z9" s="22">
        <v>0</v>
      </c>
      <c r="AA9" s="20">
        <v>0</v>
      </c>
      <c r="AB9" s="42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4"/>
      <c r="AK9" s="80">
        <v>0</v>
      </c>
      <c r="AL9" s="24">
        <v>0</v>
      </c>
      <c r="AM9" s="24">
        <v>0</v>
      </c>
      <c r="AN9" s="24">
        <v>0</v>
      </c>
      <c r="AO9" s="25">
        <v>0</v>
      </c>
      <c r="AP9" s="26">
        <v>0</v>
      </c>
      <c r="AQ9" s="50"/>
      <c r="AR9" s="152">
        <v>0</v>
      </c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  <c r="WVV9" s="50"/>
      <c r="WVW9" s="50"/>
      <c r="WVX9" s="50"/>
      <c r="WVY9" s="50"/>
      <c r="WVZ9" s="50"/>
      <c r="WWA9" s="50"/>
      <c r="WWB9" s="50"/>
      <c r="WWC9" s="50"/>
      <c r="WWD9" s="50"/>
      <c r="WWE9" s="50"/>
      <c r="WWF9" s="50"/>
      <c r="WWG9" s="50"/>
      <c r="WWH9" s="50"/>
      <c r="WWI9" s="50"/>
      <c r="WWJ9" s="50"/>
      <c r="WWK9" s="50"/>
      <c r="WWL9" s="50"/>
      <c r="WWM9" s="50"/>
      <c r="WWN9" s="50"/>
      <c r="WWO9" s="50"/>
      <c r="WWP9" s="50"/>
      <c r="WWQ9" s="50"/>
      <c r="WWR9" s="50"/>
      <c r="WWS9" s="50"/>
      <c r="WWT9" s="50"/>
      <c r="WWU9" s="50"/>
      <c r="WWV9" s="50"/>
      <c r="WWW9" s="50"/>
      <c r="WWX9" s="50"/>
      <c r="WWY9" s="50"/>
      <c r="WWZ9" s="50"/>
      <c r="WXA9" s="50"/>
      <c r="WXB9" s="50"/>
      <c r="WXC9" s="50"/>
      <c r="WXD9" s="50"/>
      <c r="WXE9" s="50"/>
      <c r="WXF9" s="50"/>
      <c r="WXG9" s="50"/>
      <c r="WXH9" s="50"/>
      <c r="WXI9" s="50"/>
      <c r="WXJ9" s="50"/>
      <c r="WXK9" s="50"/>
      <c r="WXL9" s="50"/>
      <c r="WXM9" s="50"/>
      <c r="WXN9" s="50"/>
      <c r="WXO9" s="50"/>
      <c r="WXP9" s="50"/>
      <c r="WXQ9" s="50"/>
      <c r="WXR9" s="50"/>
      <c r="WXS9" s="50"/>
      <c r="WXT9" s="50"/>
      <c r="WXU9" s="50"/>
      <c r="WXV9" s="50"/>
      <c r="WXW9" s="50"/>
      <c r="WXX9" s="50"/>
      <c r="WXY9" s="50"/>
      <c r="WXZ9" s="50"/>
      <c r="WYA9" s="50"/>
      <c r="WYB9" s="50"/>
      <c r="WYC9" s="50"/>
      <c r="WYD9" s="50"/>
      <c r="WYE9" s="50"/>
      <c r="WYF9" s="50"/>
      <c r="WYG9" s="50"/>
      <c r="WYH9" s="50"/>
      <c r="WYI9" s="50"/>
      <c r="WYJ9" s="50"/>
      <c r="WYK9" s="50"/>
      <c r="WYL9" s="50"/>
      <c r="WYM9" s="50"/>
      <c r="WYN9" s="50"/>
      <c r="WYO9" s="50"/>
      <c r="WYP9" s="50"/>
      <c r="WYQ9" s="50"/>
      <c r="WYR9" s="50"/>
      <c r="WYS9" s="50"/>
      <c r="WYT9" s="50"/>
      <c r="WYU9" s="50"/>
      <c r="WYV9" s="50"/>
      <c r="WYW9" s="50"/>
      <c r="WYX9" s="50"/>
      <c r="WYY9" s="50"/>
      <c r="WYZ9" s="50"/>
      <c r="WZA9" s="50"/>
      <c r="WZB9" s="50"/>
      <c r="WZC9" s="50"/>
      <c r="WZD9" s="50"/>
      <c r="WZE9" s="50"/>
      <c r="WZF9" s="50"/>
      <c r="WZG9" s="50"/>
      <c r="WZH9" s="50"/>
      <c r="WZI9" s="50"/>
      <c r="WZJ9" s="50"/>
      <c r="WZK9" s="50"/>
      <c r="WZL9" s="50"/>
      <c r="WZM9" s="50"/>
      <c r="WZN9" s="50"/>
      <c r="WZO9" s="50"/>
      <c r="WZP9" s="50"/>
      <c r="WZQ9" s="50"/>
      <c r="WZR9" s="50"/>
      <c r="WZS9" s="50"/>
      <c r="WZT9" s="50"/>
      <c r="WZU9" s="50"/>
      <c r="WZV9" s="50"/>
      <c r="WZW9" s="50"/>
      <c r="WZX9" s="50"/>
      <c r="WZY9" s="50"/>
      <c r="WZZ9" s="50"/>
      <c r="XAA9" s="50"/>
      <c r="XAB9" s="50"/>
      <c r="XAC9" s="50"/>
      <c r="XAD9" s="50"/>
      <c r="XAE9" s="50"/>
      <c r="XAF9" s="50"/>
      <c r="XAG9" s="50"/>
      <c r="XAH9" s="50"/>
      <c r="XAI9" s="50"/>
      <c r="XAJ9" s="50"/>
      <c r="XAK9" s="50"/>
      <c r="XAL9" s="50"/>
      <c r="XAM9" s="50"/>
      <c r="XAN9" s="50"/>
      <c r="XAO9" s="50"/>
      <c r="XAP9" s="50"/>
      <c r="XAQ9" s="50"/>
      <c r="XAR9" s="50"/>
      <c r="XAS9" s="50"/>
      <c r="XAT9" s="50"/>
      <c r="XAU9" s="50"/>
      <c r="XAV9" s="50"/>
      <c r="XAW9" s="50"/>
      <c r="XAX9" s="50"/>
      <c r="XAY9" s="50"/>
      <c r="XAZ9" s="50"/>
      <c r="XBA9" s="50"/>
      <c r="XBB9" s="50"/>
      <c r="XBC9" s="50"/>
      <c r="XBD9" s="50"/>
      <c r="XBE9" s="50"/>
      <c r="XBF9" s="50"/>
      <c r="XBG9" s="50"/>
      <c r="XBH9" s="50"/>
      <c r="XBI9" s="50"/>
      <c r="XBJ9" s="50"/>
      <c r="XBK9" s="50"/>
      <c r="XBL9" s="50"/>
      <c r="XBM9" s="50"/>
      <c r="XBN9" s="50"/>
      <c r="XBO9" s="50"/>
      <c r="XBP9" s="50"/>
      <c r="XBQ9" s="50"/>
      <c r="XBR9" s="50"/>
      <c r="XBS9" s="50"/>
      <c r="XBT9" s="50"/>
      <c r="XBU9" s="50"/>
      <c r="XBV9" s="50"/>
      <c r="XBW9" s="50"/>
      <c r="XBX9" s="50"/>
      <c r="XBY9" s="50"/>
      <c r="XBZ9" s="50"/>
      <c r="XCA9" s="50"/>
      <c r="XCB9" s="50"/>
      <c r="XCC9" s="50"/>
      <c r="XCD9" s="50"/>
      <c r="XCE9" s="50"/>
      <c r="XCF9" s="50"/>
      <c r="XCG9" s="50"/>
      <c r="XCH9" s="50"/>
      <c r="XCI9" s="50"/>
      <c r="XCJ9" s="50"/>
      <c r="XCK9" s="50"/>
      <c r="XCL9" s="50"/>
      <c r="XCM9" s="50"/>
      <c r="XCN9" s="50"/>
      <c r="XCO9" s="50"/>
      <c r="XCP9" s="50"/>
      <c r="XCQ9" s="50"/>
      <c r="XCR9" s="50"/>
      <c r="XCS9" s="50"/>
      <c r="XCT9" s="50"/>
      <c r="XCU9" s="50"/>
      <c r="XCV9" s="50"/>
      <c r="XCW9" s="50"/>
      <c r="XCX9" s="50"/>
      <c r="XCY9" s="50"/>
      <c r="XCZ9" s="50"/>
      <c r="XDA9" s="50"/>
      <c r="XDB9" s="50"/>
      <c r="XDC9" s="50"/>
      <c r="XDD9" s="50"/>
      <c r="XDE9" s="50"/>
      <c r="XDF9" s="50"/>
      <c r="XDG9" s="50"/>
      <c r="XDH9" s="50"/>
      <c r="XDI9" s="50"/>
      <c r="XDJ9" s="50"/>
      <c r="XDK9" s="50"/>
      <c r="XDL9" s="50"/>
      <c r="XDM9" s="50"/>
      <c r="XDN9" s="50"/>
      <c r="XDO9" s="50"/>
      <c r="XDP9" s="50"/>
      <c r="XDQ9" s="50"/>
      <c r="XDR9" s="50"/>
      <c r="XDS9" s="50"/>
      <c r="XDT9" s="50"/>
      <c r="XDU9" s="50"/>
      <c r="XDV9" s="50"/>
      <c r="XDW9" s="50"/>
      <c r="XDX9" s="50"/>
      <c r="XDY9" s="50"/>
      <c r="XDZ9" s="50"/>
      <c r="XEA9" s="50"/>
      <c r="XEB9" s="50"/>
      <c r="XEC9" s="50"/>
      <c r="XED9" s="50"/>
      <c r="XEE9" s="50"/>
      <c r="XEF9" s="50"/>
      <c r="XEG9" s="50"/>
      <c r="XEH9" s="50"/>
      <c r="XEI9" s="50"/>
      <c r="XEJ9" s="50"/>
      <c r="XEK9" s="50"/>
      <c r="XEL9" s="50"/>
      <c r="XEM9" s="50"/>
      <c r="XEN9" s="50"/>
      <c r="XEO9" s="50"/>
      <c r="XEP9" s="50"/>
    </row>
    <row r="10" spans="1:16370" s="51" customFormat="1" ht="22.5" x14ac:dyDescent="0.3">
      <c r="B10" s="21"/>
      <c r="C10" s="103"/>
      <c r="D10" s="104"/>
      <c r="E10" s="226"/>
      <c r="F10" s="161"/>
      <c r="G10" s="30"/>
      <c r="H10" s="104"/>
      <c r="I10" s="112"/>
      <c r="J10" s="30"/>
      <c r="K10" s="30"/>
      <c r="L10" s="17"/>
      <c r="M10" s="86"/>
      <c r="N10" s="55"/>
      <c r="O10" s="33"/>
      <c r="P10" s="20"/>
      <c r="Q10" s="20"/>
      <c r="R10" s="20"/>
      <c r="S10" s="20"/>
      <c r="T10" s="20"/>
      <c r="U10" s="20"/>
      <c r="V10" s="20"/>
      <c r="W10" s="22"/>
      <c r="X10" s="22"/>
      <c r="Y10" s="22"/>
      <c r="Z10" s="22"/>
      <c r="AA10" s="20"/>
      <c r="AB10" s="20"/>
      <c r="AC10" s="20"/>
      <c r="AD10" s="20"/>
      <c r="AE10" s="20"/>
      <c r="AF10" s="20"/>
      <c r="AG10" s="20"/>
      <c r="AH10" s="20"/>
      <c r="AI10" s="20"/>
      <c r="AJ10" s="24"/>
      <c r="AK10" s="24"/>
      <c r="AL10" s="24"/>
      <c r="AM10" s="24"/>
      <c r="AN10" s="24"/>
      <c r="AO10" s="24"/>
      <c r="AP10" s="60"/>
      <c r="AR10" s="152"/>
    </row>
    <row r="11" spans="1:16370" s="51" customFormat="1" ht="22.5" x14ac:dyDescent="0.3">
      <c r="B11" s="21"/>
      <c r="C11" s="104"/>
      <c r="D11" s="104"/>
      <c r="E11" s="21"/>
      <c r="F11" s="161"/>
      <c r="G11" s="30"/>
      <c r="H11" s="104"/>
      <c r="I11" s="21"/>
      <c r="J11" s="30"/>
      <c r="K11" s="30"/>
      <c r="L11" s="17"/>
      <c r="M11" s="86"/>
      <c r="N11" s="30"/>
      <c r="O11" s="21"/>
      <c r="P11" s="20"/>
      <c r="Q11" s="20"/>
      <c r="R11" s="20"/>
      <c r="S11" s="20"/>
      <c r="T11" s="20"/>
      <c r="U11" s="20"/>
      <c r="V11" s="20"/>
      <c r="W11" s="22"/>
      <c r="X11" s="22"/>
      <c r="Y11" s="22"/>
      <c r="Z11" s="22"/>
      <c r="AA11" s="20"/>
      <c r="AB11" s="20"/>
      <c r="AC11" s="20"/>
      <c r="AD11" s="20"/>
      <c r="AE11" s="20"/>
      <c r="AF11" s="20"/>
      <c r="AG11" s="20"/>
      <c r="AH11" s="20"/>
      <c r="AI11" s="20"/>
      <c r="AJ11" s="24"/>
      <c r="AK11" s="24"/>
      <c r="AL11" s="24"/>
      <c r="AM11" s="24"/>
      <c r="AN11" s="24"/>
      <c r="AO11" s="24"/>
      <c r="AP11" s="60"/>
      <c r="AR11" s="152"/>
    </row>
    <row r="12" spans="1:16370" s="51" customFormat="1" ht="20.25" x14ac:dyDescent="0.25">
      <c r="A12" s="101"/>
      <c r="B12" s="33"/>
      <c r="C12" s="103"/>
      <c r="D12" s="103"/>
      <c r="E12" s="103"/>
      <c r="F12" s="15"/>
      <c r="G12" s="16"/>
      <c r="H12" s="104"/>
      <c r="I12" s="112"/>
      <c r="L12" s="17"/>
      <c r="M12" s="86"/>
      <c r="N12" s="30"/>
      <c r="O12" s="33"/>
      <c r="P12" s="20"/>
      <c r="Q12" s="20"/>
      <c r="R12" s="20"/>
      <c r="S12" s="20"/>
      <c r="T12" s="20"/>
      <c r="U12" s="20"/>
      <c r="V12" s="20"/>
      <c r="W12" s="22"/>
      <c r="X12" s="22"/>
      <c r="Y12" s="22"/>
      <c r="Z12" s="22"/>
      <c r="AA12" s="20"/>
      <c r="AB12" s="20"/>
      <c r="AC12" s="20"/>
      <c r="AD12" s="20"/>
      <c r="AE12" s="20"/>
      <c r="AF12" s="20"/>
      <c r="AG12" s="20"/>
      <c r="AH12" s="20"/>
      <c r="AI12" s="20"/>
      <c r="AJ12" s="24"/>
      <c r="AK12" s="24"/>
      <c r="AL12" s="24"/>
      <c r="AM12" s="24"/>
      <c r="AN12" s="24"/>
      <c r="AO12" s="24"/>
      <c r="AP12" s="60"/>
      <c r="AX12" s="53"/>
      <c r="AY12" s="54"/>
      <c r="BE12" s="152"/>
      <c r="BI12" s="175"/>
    </row>
    <row r="13" spans="1:16370" s="51" customFormat="1" ht="20.25" x14ac:dyDescent="0.25">
      <c r="A13" s="101"/>
      <c r="B13" s="33"/>
      <c r="C13" s="103"/>
      <c r="D13" s="104"/>
      <c r="E13" s="104"/>
      <c r="F13" s="8"/>
      <c r="G13" s="16"/>
      <c r="H13" s="104"/>
      <c r="I13" s="112"/>
      <c r="J13" s="30"/>
      <c r="K13" s="30"/>
      <c r="L13" s="17"/>
      <c r="M13" s="86"/>
      <c r="N13" s="30"/>
      <c r="O13" s="33"/>
      <c r="P13" s="20"/>
      <c r="Q13" s="20"/>
      <c r="R13" s="20"/>
      <c r="S13" s="20"/>
      <c r="T13" s="20"/>
      <c r="U13" s="20"/>
      <c r="V13" s="20"/>
      <c r="W13" s="22"/>
      <c r="X13" s="22"/>
      <c r="Y13" s="22"/>
      <c r="Z13" s="22"/>
      <c r="AA13" s="20"/>
      <c r="AB13" s="20"/>
      <c r="AC13" s="20"/>
      <c r="AD13" s="20"/>
      <c r="AE13" s="20"/>
      <c r="AF13" s="20"/>
      <c r="AG13" s="20"/>
      <c r="AH13" s="20"/>
      <c r="AI13" s="20"/>
      <c r="AJ13" s="24"/>
      <c r="AK13" s="24"/>
      <c r="AL13" s="24"/>
      <c r="AM13" s="24"/>
      <c r="AN13" s="24"/>
      <c r="AO13" s="24"/>
      <c r="AP13" s="60"/>
      <c r="AX13" s="53"/>
      <c r="AY13" s="54"/>
      <c r="BE13" s="152"/>
      <c r="BI13" s="175"/>
    </row>
    <row r="14" spans="1:16370" s="51" customFormat="1" ht="20.25" x14ac:dyDescent="0.25">
      <c r="A14" s="101"/>
      <c r="B14" s="33"/>
      <c r="C14" s="103"/>
      <c r="D14" s="104"/>
      <c r="E14" s="104"/>
      <c r="F14" s="28"/>
      <c r="G14" s="16"/>
      <c r="H14" s="104"/>
      <c r="I14" s="112"/>
      <c r="J14" s="30"/>
      <c r="K14" s="30"/>
      <c r="L14" s="17"/>
      <c r="M14" s="86"/>
      <c r="N14" s="30"/>
      <c r="O14" s="33"/>
      <c r="P14" s="20"/>
      <c r="Q14" s="20"/>
      <c r="R14" s="20"/>
      <c r="S14" s="20"/>
      <c r="T14" s="20"/>
      <c r="U14" s="20"/>
      <c r="V14" s="20"/>
      <c r="W14" s="22"/>
      <c r="X14" s="22"/>
      <c r="Y14" s="22"/>
      <c r="Z14" s="22"/>
      <c r="AA14" s="20"/>
      <c r="AB14" s="20"/>
      <c r="AC14" s="20"/>
      <c r="AD14" s="20"/>
      <c r="AE14" s="20"/>
      <c r="AF14" s="20"/>
      <c r="AG14" s="20"/>
      <c r="AH14" s="20"/>
      <c r="AI14" s="20"/>
      <c r="AJ14" s="24"/>
      <c r="AK14" s="24"/>
      <c r="AL14" s="24"/>
      <c r="AM14" s="24"/>
      <c r="AN14" s="24"/>
      <c r="AO14" s="24"/>
      <c r="AP14" s="60"/>
      <c r="AS14" s="4"/>
      <c r="AX14" s="53"/>
      <c r="AY14" s="54"/>
      <c r="BE14" s="152"/>
      <c r="BI14" s="175"/>
    </row>
    <row r="15" spans="1:16370" s="51" customFormat="1" ht="20.25" x14ac:dyDescent="0.25">
      <c r="A15" s="101"/>
      <c r="B15" s="21"/>
      <c r="C15" s="103"/>
      <c r="D15" s="104"/>
      <c r="E15" s="104"/>
      <c r="F15" s="15"/>
      <c r="G15" s="30"/>
      <c r="H15" s="104"/>
      <c r="I15" s="112"/>
      <c r="J15" s="30"/>
      <c r="K15" s="30"/>
      <c r="L15" s="17"/>
      <c r="M15" s="86"/>
      <c r="N15" s="30"/>
      <c r="O15" s="33"/>
      <c r="P15" s="20"/>
      <c r="Q15" s="20"/>
      <c r="R15" s="20"/>
      <c r="S15" s="20"/>
      <c r="T15" s="20"/>
      <c r="U15" s="20"/>
      <c r="V15" s="20"/>
      <c r="W15" s="22"/>
      <c r="X15" s="22"/>
      <c r="Y15" s="22"/>
      <c r="Z15" s="22"/>
      <c r="AA15" s="20"/>
      <c r="AB15" s="20"/>
      <c r="AC15" s="20"/>
      <c r="AD15" s="20"/>
      <c r="AE15" s="20"/>
      <c r="AF15" s="20"/>
      <c r="AG15" s="20"/>
      <c r="AH15" s="20"/>
      <c r="AI15" s="20"/>
      <c r="AJ15" s="24"/>
      <c r="AK15" s="24"/>
      <c r="AL15" s="24"/>
      <c r="AM15" s="24"/>
      <c r="AN15" s="24"/>
      <c r="AO15" s="24"/>
      <c r="AP15" s="60"/>
      <c r="AX15" s="53"/>
      <c r="AY15" s="54"/>
      <c r="BE15" s="152"/>
      <c r="BI15" s="175"/>
    </row>
    <row r="16" spans="1:16370" s="30" customFormat="1" ht="15.75" customHeight="1" x14ac:dyDescent="0.3">
      <c r="A16" s="101"/>
      <c r="B16" s="33"/>
      <c r="C16" s="103"/>
      <c r="D16" s="104"/>
      <c r="E16" s="104"/>
      <c r="F16" s="161"/>
      <c r="G16" s="16"/>
      <c r="H16" s="104"/>
      <c r="I16" s="112"/>
      <c r="L16" s="17"/>
      <c r="M16" s="86"/>
      <c r="O16" s="21"/>
      <c r="P16" s="20"/>
      <c r="Q16" s="20"/>
      <c r="R16" s="20"/>
      <c r="S16" s="20"/>
      <c r="T16" s="20"/>
      <c r="U16" s="20"/>
      <c r="V16" s="20"/>
      <c r="W16" s="22"/>
      <c r="X16" s="22"/>
      <c r="Y16" s="22"/>
      <c r="Z16" s="22"/>
      <c r="AA16" s="20"/>
      <c r="AB16" s="20"/>
      <c r="AC16" s="20"/>
      <c r="AD16" s="20"/>
      <c r="AE16" s="20"/>
      <c r="AF16" s="20"/>
      <c r="AG16" s="20"/>
      <c r="AH16" s="20"/>
      <c r="AI16" s="20"/>
      <c r="AJ16" s="24"/>
      <c r="AK16" s="24"/>
      <c r="AL16" s="24"/>
      <c r="AM16" s="24"/>
      <c r="AN16" s="24"/>
      <c r="AO16" s="24"/>
      <c r="AP16" s="27"/>
      <c r="AX16" s="180"/>
      <c r="AY16" s="181"/>
      <c r="BE16" s="182"/>
      <c r="BI16" s="183"/>
    </row>
    <row r="17" spans="1:16367" s="55" customFormat="1" ht="22.5" x14ac:dyDescent="0.3">
      <c r="A17" s="101"/>
      <c r="B17" s="21"/>
      <c r="C17" s="104"/>
      <c r="D17" s="104"/>
      <c r="E17" s="104"/>
      <c r="F17" s="161"/>
      <c r="G17" s="30"/>
      <c r="H17" s="104"/>
      <c r="I17" s="112"/>
      <c r="J17" s="30"/>
      <c r="K17" s="30"/>
      <c r="L17" s="17"/>
      <c r="M17" s="86"/>
      <c r="N17" s="30"/>
      <c r="O17" s="33"/>
      <c r="P17" s="20"/>
      <c r="Q17" s="20"/>
      <c r="R17" s="20"/>
      <c r="S17" s="20"/>
      <c r="T17" s="20"/>
      <c r="U17" s="20"/>
      <c r="V17" s="20"/>
      <c r="W17" s="22"/>
      <c r="X17" s="22"/>
      <c r="Y17" s="22"/>
      <c r="Z17" s="22"/>
      <c r="AA17" s="20"/>
      <c r="AB17" s="20"/>
      <c r="AC17" s="20"/>
      <c r="AD17" s="20"/>
      <c r="AE17" s="20"/>
      <c r="AF17" s="20"/>
      <c r="AG17" s="20"/>
      <c r="AH17" s="20"/>
      <c r="AI17" s="20"/>
      <c r="AJ17" s="24"/>
      <c r="AK17" s="24"/>
      <c r="AL17" s="24"/>
      <c r="AM17" s="24"/>
      <c r="AN17" s="24"/>
      <c r="AO17" s="24"/>
      <c r="AP17" s="60"/>
      <c r="AQ17" s="51"/>
      <c r="AR17" s="175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  <c r="AMN17" s="51"/>
      <c r="AMO17" s="51"/>
      <c r="AMP17" s="51"/>
      <c r="AMQ17" s="51"/>
      <c r="AMR17" s="51"/>
      <c r="AMS17" s="51"/>
      <c r="AMT17" s="51"/>
      <c r="AMU17" s="51"/>
      <c r="AMV17" s="51"/>
      <c r="AMW17" s="51"/>
      <c r="AMX17" s="51"/>
      <c r="AMY17" s="51"/>
      <c r="AMZ17" s="51"/>
      <c r="ANA17" s="51"/>
      <c r="ANB17" s="51"/>
      <c r="ANC17" s="51"/>
      <c r="AND17" s="51"/>
      <c r="ANE17" s="51"/>
      <c r="ANF17" s="51"/>
      <c r="ANG17" s="51"/>
      <c r="ANH17" s="51"/>
      <c r="ANI17" s="51"/>
      <c r="ANJ17" s="51"/>
      <c r="ANK17" s="51"/>
      <c r="ANL17" s="51"/>
      <c r="ANM17" s="51"/>
      <c r="ANN17" s="51"/>
      <c r="ANO17" s="51"/>
      <c r="ANP17" s="51"/>
      <c r="ANQ17" s="51"/>
      <c r="ANR17" s="51"/>
      <c r="ANS17" s="51"/>
      <c r="ANT17" s="51"/>
      <c r="ANU17" s="51"/>
      <c r="ANV17" s="51"/>
      <c r="ANW17" s="51"/>
      <c r="ANX17" s="51"/>
      <c r="ANY17" s="51"/>
      <c r="ANZ17" s="51"/>
      <c r="AOA17" s="51"/>
      <c r="AOB17" s="51"/>
      <c r="AOC17" s="51"/>
      <c r="AOD17" s="51"/>
      <c r="AOE17" s="51"/>
      <c r="AOF17" s="51"/>
      <c r="AOG17" s="51"/>
      <c r="AOH17" s="51"/>
      <c r="AOI17" s="51"/>
      <c r="AOJ17" s="51"/>
      <c r="AOK17" s="51"/>
      <c r="AOL17" s="51"/>
      <c r="AOM17" s="51"/>
      <c r="AON17" s="51"/>
      <c r="AOO17" s="51"/>
      <c r="AOP17" s="51"/>
      <c r="AOQ17" s="51"/>
      <c r="AOR17" s="51"/>
      <c r="AOS17" s="51"/>
      <c r="AOT17" s="51"/>
      <c r="AOU17" s="51"/>
      <c r="AOV17" s="51"/>
      <c r="AOW17" s="51"/>
      <c r="AOX17" s="51"/>
      <c r="AOY17" s="51"/>
      <c r="AOZ17" s="51"/>
      <c r="APA17" s="51"/>
      <c r="APB17" s="51"/>
      <c r="APC17" s="51"/>
      <c r="APD17" s="51"/>
      <c r="APE17" s="51"/>
      <c r="APF17" s="51"/>
      <c r="APG17" s="51"/>
      <c r="APH17" s="51"/>
      <c r="API17" s="51"/>
      <c r="APJ17" s="51"/>
      <c r="APK17" s="51"/>
      <c r="APL17" s="51"/>
      <c r="APM17" s="51"/>
      <c r="APN17" s="51"/>
      <c r="APO17" s="51"/>
      <c r="APP17" s="51"/>
      <c r="APQ17" s="51"/>
      <c r="APR17" s="51"/>
      <c r="APS17" s="51"/>
      <c r="APT17" s="51"/>
      <c r="APU17" s="51"/>
      <c r="APV17" s="51"/>
      <c r="APW17" s="51"/>
      <c r="APX17" s="51"/>
      <c r="APY17" s="51"/>
      <c r="APZ17" s="51"/>
      <c r="AQA17" s="51"/>
      <c r="AQB17" s="51"/>
      <c r="AQC17" s="51"/>
      <c r="AQD17" s="51"/>
      <c r="AQE17" s="51"/>
      <c r="AQF17" s="51"/>
      <c r="AQG17" s="51"/>
      <c r="AQH17" s="51"/>
      <c r="AQI17" s="51"/>
      <c r="AQJ17" s="51"/>
      <c r="AQK17" s="51"/>
      <c r="AQL17" s="51"/>
      <c r="AQM17" s="51"/>
      <c r="AQN17" s="51"/>
      <c r="AQO17" s="51"/>
      <c r="AQP17" s="51"/>
      <c r="AQQ17" s="51"/>
      <c r="AQR17" s="51"/>
      <c r="AQS17" s="51"/>
      <c r="AQT17" s="51"/>
      <c r="AQU17" s="51"/>
      <c r="AQV17" s="51"/>
      <c r="AQW17" s="51"/>
      <c r="AQX17" s="51"/>
      <c r="AQY17" s="51"/>
      <c r="AQZ17" s="51"/>
      <c r="ARA17" s="51"/>
      <c r="ARB17" s="51"/>
      <c r="ARC17" s="51"/>
      <c r="ARD17" s="51"/>
      <c r="ARE17" s="51"/>
      <c r="ARF17" s="51"/>
      <c r="ARG17" s="51"/>
      <c r="ARH17" s="51"/>
      <c r="ARI17" s="51"/>
      <c r="ARJ17" s="51"/>
      <c r="ARK17" s="51"/>
      <c r="ARL17" s="51"/>
      <c r="ARM17" s="51"/>
      <c r="ARN17" s="51"/>
      <c r="ARO17" s="51"/>
      <c r="ARP17" s="51"/>
      <c r="ARQ17" s="51"/>
      <c r="ARR17" s="51"/>
      <c r="ARS17" s="51"/>
      <c r="ART17" s="51"/>
      <c r="ARU17" s="51"/>
      <c r="ARV17" s="51"/>
      <c r="ARW17" s="51"/>
      <c r="ARX17" s="51"/>
      <c r="ARY17" s="51"/>
      <c r="ARZ17" s="51"/>
      <c r="ASA17" s="51"/>
      <c r="ASB17" s="51"/>
      <c r="ASC17" s="51"/>
      <c r="ASD17" s="51"/>
      <c r="ASE17" s="51"/>
      <c r="ASF17" s="51"/>
      <c r="ASG17" s="51"/>
      <c r="ASH17" s="51"/>
      <c r="ASI17" s="51"/>
      <c r="ASJ17" s="51"/>
      <c r="ASK17" s="51"/>
      <c r="ASL17" s="51"/>
      <c r="ASM17" s="51"/>
      <c r="ASN17" s="51"/>
      <c r="ASO17" s="51"/>
      <c r="ASP17" s="51"/>
      <c r="ASQ17" s="51"/>
      <c r="ASR17" s="51"/>
      <c r="ASS17" s="51"/>
      <c r="AST17" s="51"/>
      <c r="ASU17" s="51"/>
      <c r="ASV17" s="51"/>
      <c r="ASW17" s="51"/>
      <c r="ASX17" s="51"/>
      <c r="ASY17" s="51"/>
      <c r="ASZ17" s="51"/>
      <c r="ATA17" s="51"/>
      <c r="ATB17" s="51"/>
      <c r="ATC17" s="51"/>
      <c r="ATD17" s="51"/>
      <c r="ATE17" s="51"/>
      <c r="ATF17" s="51"/>
      <c r="ATG17" s="51"/>
      <c r="ATH17" s="51"/>
      <c r="ATI17" s="51"/>
      <c r="ATJ17" s="51"/>
      <c r="ATK17" s="51"/>
      <c r="ATL17" s="51"/>
      <c r="ATM17" s="51"/>
      <c r="ATN17" s="51"/>
      <c r="ATO17" s="51"/>
      <c r="ATP17" s="51"/>
      <c r="ATQ17" s="51"/>
      <c r="ATR17" s="51"/>
      <c r="ATS17" s="51"/>
      <c r="ATT17" s="51"/>
      <c r="ATU17" s="51"/>
      <c r="ATV17" s="51"/>
      <c r="ATW17" s="51"/>
      <c r="ATX17" s="51"/>
      <c r="ATY17" s="51"/>
      <c r="ATZ17" s="51"/>
      <c r="AUA17" s="51"/>
      <c r="AUB17" s="51"/>
      <c r="AUC17" s="51"/>
      <c r="AUD17" s="51"/>
      <c r="AUE17" s="51"/>
      <c r="AUF17" s="51"/>
      <c r="AUG17" s="51"/>
      <c r="AUH17" s="51"/>
      <c r="AUI17" s="51"/>
      <c r="AUJ17" s="51"/>
      <c r="AUK17" s="51"/>
      <c r="AUL17" s="51"/>
      <c r="AUM17" s="51"/>
      <c r="AUN17" s="51"/>
      <c r="AUO17" s="51"/>
      <c r="AUP17" s="51"/>
      <c r="AUQ17" s="51"/>
      <c r="AUR17" s="51"/>
      <c r="AUS17" s="51"/>
      <c r="AUT17" s="51"/>
      <c r="AUU17" s="51"/>
      <c r="AUV17" s="51"/>
      <c r="AUW17" s="51"/>
      <c r="AUX17" s="51"/>
      <c r="AUY17" s="51"/>
      <c r="AUZ17" s="51"/>
      <c r="AVA17" s="51"/>
      <c r="AVB17" s="51"/>
      <c r="AVC17" s="51"/>
      <c r="AVD17" s="51"/>
      <c r="AVE17" s="51"/>
      <c r="AVF17" s="51"/>
      <c r="AVG17" s="51"/>
      <c r="AVH17" s="51"/>
      <c r="AVI17" s="51"/>
      <c r="AVJ17" s="51"/>
      <c r="AVK17" s="51"/>
      <c r="AVL17" s="51"/>
      <c r="AVM17" s="51"/>
      <c r="AVN17" s="51"/>
      <c r="AVO17" s="51"/>
      <c r="AVP17" s="51"/>
      <c r="AVQ17" s="51"/>
      <c r="AVR17" s="51"/>
      <c r="AVS17" s="51"/>
      <c r="AVT17" s="51"/>
      <c r="AVU17" s="51"/>
      <c r="AVV17" s="51"/>
      <c r="AVW17" s="51"/>
      <c r="AVX17" s="51"/>
      <c r="AVY17" s="51"/>
      <c r="AVZ17" s="51"/>
      <c r="AWA17" s="51"/>
      <c r="AWB17" s="51"/>
      <c r="AWC17" s="51"/>
      <c r="AWD17" s="51"/>
      <c r="AWE17" s="51"/>
      <c r="AWF17" s="51"/>
      <c r="AWG17" s="51"/>
      <c r="AWH17" s="51"/>
      <c r="AWI17" s="51"/>
      <c r="AWJ17" s="51"/>
      <c r="AWK17" s="51"/>
      <c r="AWL17" s="51"/>
      <c r="AWM17" s="51"/>
      <c r="AWN17" s="51"/>
      <c r="AWO17" s="51"/>
      <c r="AWP17" s="51"/>
      <c r="AWQ17" s="51"/>
      <c r="AWR17" s="51"/>
      <c r="AWS17" s="51"/>
      <c r="AWT17" s="51"/>
      <c r="AWU17" s="51"/>
      <c r="AWV17" s="51"/>
      <c r="AWW17" s="51"/>
      <c r="AWX17" s="51"/>
      <c r="AWY17" s="51"/>
      <c r="AWZ17" s="51"/>
      <c r="AXA17" s="51"/>
      <c r="AXB17" s="51"/>
      <c r="AXC17" s="51"/>
      <c r="AXD17" s="51"/>
      <c r="AXE17" s="51"/>
      <c r="AXF17" s="51"/>
      <c r="AXG17" s="51"/>
      <c r="AXH17" s="51"/>
      <c r="AXI17" s="51"/>
      <c r="AXJ17" s="51"/>
      <c r="AXK17" s="51"/>
      <c r="AXL17" s="51"/>
      <c r="AXM17" s="51"/>
      <c r="AXN17" s="51"/>
      <c r="AXO17" s="51"/>
      <c r="AXP17" s="51"/>
      <c r="AXQ17" s="51"/>
      <c r="AXR17" s="51"/>
      <c r="AXS17" s="51"/>
      <c r="AXT17" s="51"/>
      <c r="AXU17" s="51"/>
      <c r="AXV17" s="51"/>
      <c r="AXW17" s="51"/>
      <c r="AXX17" s="51"/>
      <c r="AXY17" s="51"/>
      <c r="AXZ17" s="51"/>
      <c r="AYA17" s="51"/>
      <c r="AYB17" s="51"/>
      <c r="AYC17" s="51"/>
      <c r="AYD17" s="51"/>
      <c r="AYE17" s="51"/>
      <c r="AYF17" s="51"/>
      <c r="AYG17" s="51"/>
      <c r="AYH17" s="51"/>
      <c r="AYI17" s="51"/>
      <c r="AYJ17" s="51"/>
      <c r="AYK17" s="51"/>
      <c r="AYL17" s="51"/>
      <c r="AYM17" s="51"/>
      <c r="AYN17" s="51"/>
      <c r="AYO17" s="51"/>
      <c r="AYP17" s="51"/>
      <c r="AYQ17" s="51"/>
      <c r="AYR17" s="51"/>
      <c r="AYS17" s="51"/>
      <c r="AYT17" s="51"/>
      <c r="AYU17" s="51"/>
      <c r="AYV17" s="51"/>
      <c r="AYW17" s="51"/>
      <c r="AYX17" s="51"/>
      <c r="AYY17" s="51"/>
      <c r="AYZ17" s="51"/>
      <c r="AZA17" s="51"/>
      <c r="AZB17" s="51"/>
      <c r="AZC17" s="51"/>
      <c r="AZD17" s="51"/>
      <c r="AZE17" s="51"/>
      <c r="AZF17" s="51"/>
      <c r="AZG17" s="51"/>
      <c r="AZH17" s="51"/>
      <c r="AZI17" s="51"/>
      <c r="AZJ17" s="51"/>
      <c r="AZK17" s="51"/>
      <c r="AZL17" s="51"/>
      <c r="AZM17" s="51"/>
      <c r="AZN17" s="51"/>
      <c r="AZO17" s="51"/>
      <c r="AZP17" s="51"/>
      <c r="AZQ17" s="51"/>
      <c r="AZR17" s="51"/>
      <c r="AZS17" s="51"/>
      <c r="AZT17" s="51"/>
      <c r="AZU17" s="51"/>
      <c r="AZV17" s="51"/>
      <c r="AZW17" s="51"/>
      <c r="AZX17" s="51"/>
      <c r="AZY17" s="51"/>
      <c r="AZZ17" s="51"/>
      <c r="BAA17" s="51"/>
      <c r="BAB17" s="51"/>
      <c r="BAC17" s="51"/>
      <c r="BAD17" s="51"/>
      <c r="BAE17" s="51"/>
      <c r="BAF17" s="51"/>
      <c r="BAG17" s="51"/>
      <c r="BAH17" s="51"/>
      <c r="BAI17" s="51"/>
      <c r="BAJ17" s="51"/>
      <c r="BAK17" s="51"/>
      <c r="BAL17" s="51"/>
      <c r="BAM17" s="51"/>
      <c r="BAN17" s="51"/>
      <c r="BAO17" s="51"/>
      <c r="BAP17" s="51"/>
      <c r="BAQ17" s="51"/>
      <c r="BAR17" s="51"/>
      <c r="BAS17" s="51"/>
      <c r="BAT17" s="51"/>
      <c r="BAU17" s="51"/>
      <c r="BAV17" s="51"/>
      <c r="BAW17" s="51"/>
      <c r="BAX17" s="51"/>
      <c r="BAY17" s="51"/>
      <c r="BAZ17" s="51"/>
      <c r="BBA17" s="51"/>
      <c r="BBB17" s="51"/>
      <c r="BBC17" s="51"/>
      <c r="BBD17" s="51"/>
      <c r="BBE17" s="51"/>
      <c r="BBF17" s="51"/>
      <c r="BBG17" s="51"/>
      <c r="BBH17" s="51"/>
      <c r="BBI17" s="51"/>
      <c r="BBJ17" s="51"/>
      <c r="BBK17" s="51"/>
      <c r="BBL17" s="51"/>
      <c r="BBM17" s="51"/>
      <c r="BBN17" s="51"/>
      <c r="BBO17" s="51"/>
      <c r="BBP17" s="51"/>
      <c r="BBQ17" s="51"/>
      <c r="BBR17" s="51"/>
      <c r="BBS17" s="51"/>
      <c r="BBT17" s="51"/>
      <c r="BBU17" s="51"/>
      <c r="BBV17" s="51"/>
      <c r="BBW17" s="51"/>
      <c r="BBX17" s="51"/>
      <c r="BBY17" s="51"/>
      <c r="BBZ17" s="51"/>
      <c r="BCA17" s="51"/>
      <c r="BCB17" s="51"/>
      <c r="BCC17" s="51"/>
      <c r="BCD17" s="51"/>
      <c r="BCE17" s="51"/>
      <c r="BCF17" s="51"/>
      <c r="BCG17" s="51"/>
      <c r="BCH17" s="51"/>
      <c r="BCI17" s="51"/>
      <c r="BCJ17" s="51"/>
      <c r="BCK17" s="51"/>
      <c r="BCL17" s="51"/>
      <c r="BCM17" s="51"/>
      <c r="BCN17" s="51"/>
      <c r="BCO17" s="51"/>
      <c r="BCP17" s="51"/>
      <c r="BCQ17" s="51"/>
      <c r="BCR17" s="51"/>
      <c r="BCS17" s="51"/>
      <c r="BCT17" s="51"/>
      <c r="BCU17" s="51"/>
      <c r="BCV17" s="51"/>
      <c r="BCW17" s="51"/>
      <c r="BCX17" s="51"/>
      <c r="BCY17" s="51"/>
      <c r="BCZ17" s="51"/>
      <c r="BDA17" s="51"/>
      <c r="BDB17" s="51"/>
      <c r="BDC17" s="51"/>
      <c r="BDD17" s="51"/>
      <c r="BDE17" s="51"/>
      <c r="BDF17" s="51"/>
      <c r="BDG17" s="51"/>
      <c r="BDH17" s="51"/>
      <c r="BDI17" s="51"/>
      <c r="BDJ17" s="51"/>
      <c r="BDK17" s="51"/>
      <c r="BDL17" s="51"/>
      <c r="BDM17" s="51"/>
      <c r="BDN17" s="51"/>
      <c r="BDO17" s="51"/>
      <c r="BDP17" s="51"/>
      <c r="BDQ17" s="51"/>
      <c r="BDR17" s="51"/>
      <c r="BDS17" s="51"/>
      <c r="BDT17" s="51"/>
      <c r="BDU17" s="51"/>
      <c r="BDV17" s="51"/>
      <c r="BDW17" s="51"/>
      <c r="BDX17" s="51"/>
      <c r="BDY17" s="51"/>
      <c r="BDZ17" s="51"/>
      <c r="BEA17" s="51"/>
      <c r="BEB17" s="51"/>
      <c r="BEC17" s="51"/>
      <c r="BED17" s="51"/>
      <c r="BEE17" s="51"/>
      <c r="BEF17" s="51"/>
      <c r="BEG17" s="51"/>
      <c r="BEH17" s="51"/>
      <c r="BEI17" s="51"/>
      <c r="BEJ17" s="51"/>
      <c r="BEK17" s="51"/>
      <c r="BEL17" s="51"/>
      <c r="BEM17" s="51"/>
      <c r="BEN17" s="51"/>
      <c r="BEO17" s="51"/>
      <c r="BEP17" s="51"/>
      <c r="BEQ17" s="51"/>
      <c r="BER17" s="51"/>
      <c r="BES17" s="51"/>
      <c r="BET17" s="51"/>
      <c r="BEU17" s="51"/>
      <c r="BEV17" s="51"/>
      <c r="BEW17" s="51"/>
      <c r="BEX17" s="51"/>
      <c r="BEY17" s="51"/>
      <c r="BEZ17" s="51"/>
      <c r="BFA17" s="51"/>
      <c r="BFB17" s="51"/>
      <c r="BFC17" s="51"/>
      <c r="BFD17" s="51"/>
      <c r="BFE17" s="51"/>
      <c r="BFF17" s="51"/>
      <c r="BFG17" s="51"/>
      <c r="BFH17" s="51"/>
      <c r="BFI17" s="51"/>
      <c r="BFJ17" s="51"/>
      <c r="BFK17" s="51"/>
      <c r="BFL17" s="51"/>
      <c r="BFM17" s="51"/>
      <c r="BFN17" s="51"/>
      <c r="BFO17" s="51"/>
      <c r="BFP17" s="51"/>
      <c r="BFQ17" s="51"/>
      <c r="BFR17" s="51"/>
      <c r="BFS17" s="51"/>
      <c r="BFT17" s="51"/>
      <c r="BFU17" s="51"/>
      <c r="BFV17" s="51"/>
      <c r="BFW17" s="51"/>
      <c r="BFX17" s="51"/>
      <c r="BFY17" s="51"/>
      <c r="BFZ17" s="51"/>
      <c r="BGA17" s="51"/>
      <c r="BGB17" s="51"/>
      <c r="BGC17" s="51"/>
      <c r="BGD17" s="51"/>
      <c r="BGE17" s="51"/>
      <c r="BGF17" s="51"/>
      <c r="BGG17" s="51"/>
      <c r="BGH17" s="51"/>
      <c r="BGI17" s="51"/>
      <c r="BGJ17" s="51"/>
      <c r="BGK17" s="51"/>
      <c r="BGL17" s="51"/>
      <c r="BGM17" s="51"/>
      <c r="BGN17" s="51"/>
      <c r="BGO17" s="51"/>
      <c r="BGP17" s="51"/>
      <c r="BGQ17" s="51"/>
      <c r="BGR17" s="51"/>
      <c r="BGS17" s="51"/>
      <c r="BGT17" s="51"/>
      <c r="BGU17" s="51"/>
      <c r="BGV17" s="51"/>
      <c r="BGW17" s="51"/>
      <c r="BGX17" s="51"/>
      <c r="BGY17" s="51"/>
      <c r="BGZ17" s="51"/>
      <c r="BHA17" s="51"/>
      <c r="BHB17" s="51"/>
      <c r="BHC17" s="51"/>
      <c r="BHD17" s="51"/>
      <c r="BHE17" s="51"/>
      <c r="BHF17" s="51"/>
      <c r="BHG17" s="51"/>
      <c r="BHH17" s="51"/>
      <c r="BHI17" s="51"/>
      <c r="BHJ17" s="51"/>
      <c r="BHK17" s="51"/>
      <c r="BHL17" s="51"/>
      <c r="BHM17" s="51"/>
      <c r="BHN17" s="51"/>
      <c r="BHO17" s="51"/>
      <c r="BHP17" s="51"/>
      <c r="BHQ17" s="51"/>
      <c r="BHR17" s="51"/>
      <c r="BHS17" s="51"/>
      <c r="BHT17" s="51"/>
      <c r="BHU17" s="51"/>
      <c r="BHV17" s="51"/>
      <c r="BHW17" s="51"/>
      <c r="BHX17" s="51"/>
      <c r="BHY17" s="51"/>
      <c r="BHZ17" s="51"/>
      <c r="BIA17" s="51"/>
      <c r="BIB17" s="51"/>
      <c r="BIC17" s="51"/>
      <c r="BID17" s="51"/>
      <c r="BIE17" s="51"/>
      <c r="BIF17" s="51"/>
      <c r="BIG17" s="51"/>
      <c r="BIH17" s="51"/>
      <c r="BII17" s="51"/>
      <c r="BIJ17" s="51"/>
      <c r="BIK17" s="51"/>
      <c r="BIL17" s="51"/>
      <c r="BIM17" s="51"/>
      <c r="BIN17" s="51"/>
      <c r="BIO17" s="51"/>
      <c r="BIP17" s="51"/>
      <c r="BIQ17" s="51"/>
      <c r="BIR17" s="51"/>
      <c r="BIS17" s="51"/>
      <c r="BIT17" s="51"/>
      <c r="BIU17" s="51"/>
      <c r="BIV17" s="51"/>
      <c r="BIW17" s="51"/>
      <c r="BIX17" s="51"/>
      <c r="BIY17" s="51"/>
      <c r="BIZ17" s="51"/>
      <c r="BJA17" s="51"/>
      <c r="BJB17" s="51"/>
      <c r="BJC17" s="51"/>
      <c r="BJD17" s="51"/>
      <c r="BJE17" s="51"/>
      <c r="BJF17" s="51"/>
      <c r="BJG17" s="51"/>
      <c r="BJH17" s="51"/>
      <c r="BJI17" s="51"/>
      <c r="BJJ17" s="51"/>
      <c r="BJK17" s="51"/>
      <c r="BJL17" s="51"/>
      <c r="BJM17" s="51"/>
      <c r="BJN17" s="51"/>
      <c r="BJO17" s="51"/>
      <c r="BJP17" s="51"/>
      <c r="BJQ17" s="51"/>
      <c r="BJR17" s="51"/>
      <c r="BJS17" s="51"/>
      <c r="BJT17" s="51"/>
      <c r="BJU17" s="51"/>
      <c r="BJV17" s="51"/>
      <c r="BJW17" s="51"/>
      <c r="BJX17" s="51"/>
      <c r="BJY17" s="51"/>
      <c r="BJZ17" s="51"/>
      <c r="BKA17" s="51"/>
      <c r="BKB17" s="51"/>
      <c r="BKC17" s="51"/>
      <c r="BKD17" s="51"/>
      <c r="BKE17" s="51"/>
      <c r="BKF17" s="51"/>
      <c r="BKG17" s="51"/>
      <c r="BKH17" s="51"/>
      <c r="BKI17" s="51"/>
      <c r="BKJ17" s="51"/>
      <c r="BKK17" s="51"/>
      <c r="BKL17" s="51"/>
      <c r="BKM17" s="51"/>
      <c r="BKN17" s="51"/>
      <c r="BKO17" s="51"/>
      <c r="BKP17" s="51"/>
      <c r="BKQ17" s="51"/>
      <c r="BKR17" s="51"/>
      <c r="BKS17" s="51"/>
      <c r="BKT17" s="51"/>
      <c r="BKU17" s="51"/>
      <c r="BKV17" s="51"/>
      <c r="BKW17" s="51"/>
      <c r="BKX17" s="51"/>
      <c r="BKY17" s="51"/>
      <c r="BKZ17" s="51"/>
      <c r="BLA17" s="51"/>
      <c r="BLB17" s="51"/>
      <c r="BLC17" s="51"/>
      <c r="BLD17" s="51"/>
      <c r="BLE17" s="51"/>
      <c r="BLF17" s="51"/>
      <c r="BLG17" s="51"/>
      <c r="BLH17" s="51"/>
      <c r="BLI17" s="51"/>
      <c r="BLJ17" s="51"/>
      <c r="BLK17" s="51"/>
      <c r="BLL17" s="51"/>
      <c r="BLM17" s="51"/>
      <c r="BLN17" s="51"/>
      <c r="BLO17" s="51"/>
      <c r="BLP17" s="51"/>
      <c r="BLQ17" s="51"/>
      <c r="BLR17" s="51"/>
      <c r="BLS17" s="51"/>
      <c r="BLT17" s="51"/>
      <c r="BLU17" s="51"/>
      <c r="BLV17" s="51"/>
      <c r="BLW17" s="51"/>
      <c r="BLX17" s="51"/>
      <c r="BLY17" s="51"/>
      <c r="BLZ17" s="51"/>
      <c r="BMA17" s="51"/>
      <c r="BMB17" s="51"/>
      <c r="BMC17" s="51"/>
      <c r="BMD17" s="51"/>
      <c r="BME17" s="51"/>
      <c r="BMF17" s="51"/>
      <c r="BMG17" s="51"/>
      <c r="BMH17" s="51"/>
      <c r="BMI17" s="51"/>
      <c r="BMJ17" s="51"/>
      <c r="BMK17" s="51"/>
      <c r="BML17" s="51"/>
      <c r="BMM17" s="51"/>
      <c r="BMN17" s="51"/>
      <c r="BMO17" s="51"/>
      <c r="BMP17" s="51"/>
      <c r="BMQ17" s="51"/>
      <c r="BMR17" s="51"/>
      <c r="BMS17" s="51"/>
      <c r="BMT17" s="51"/>
      <c r="BMU17" s="51"/>
      <c r="BMV17" s="51"/>
      <c r="BMW17" s="51"/>
      <c r="BMX17" s="51"/>
      <c r="BMY17" s="51"/>
      <c r="BMZ17" s="51"/>
      <c r="BNA17" s="51"/>
      <c r="BNB17" s="51"/>
      <c r="BNC17" s="51"/>
      <c r="BND17" s="51"/>
      <c r="BNE17" s="51"/>
      <c r="BNF17" s="51"/>
      <c r="BNG17" s="51"/>
      <c r="BNH17" s="51"/>
      <c r="BNI17" s="51"/>
      <c r="BNJ17" s="51"/>
      <c r="BNK17" s="51"/>
      <c r="BNL17" s="51"/>
      <c r="BNM17" s="51"/>
      <c r="BNN17" s="51"/>
      <c r="BNO17" s="51"/>
      <c r="BNP17" s="51"/>
      <c r="BNQ17" s="51"/>
      <c r="BNR17" s="51"/>
      <c r="BNS17" s="51"/>
      <c r="BNT17" s="51"/>
      <c r="BNU17" s="51"/>
      <c r="BNV17" s="51"/>
      <c r="BNW17" s="51"/>
      <c r="BNX17" s="51"/>
      <c r="BNY17" s="51"/>
      <c r="BNZ17" s="51"/>
      <c r="BOA17" s="51"/>
      <c r="BOB17" s="51"/>
      <c r="BOC17" s="51"/>
      <c r="BOD17" s="51"/>
      <c r="BOE17" s="51"/>
      <c r="BOF17" s="51"/>
      <c r="BOG17" s="51"/>
      <c r="BOH17" s="51"/>
      <c r="BOI17" s="51"/>
      <c r="BOJ17" s="51"/>
      <c r="BOK17" s="51"/>
      <c r="BOL17" s="51"/>
      <c r="BOM17" s="51"/>
      <c r="BON17" s="51"/>
      <c r="BOO17" s="51"/>
      <c r="BOP17" s="51"/>
      <c r="BOQ17" s="51"/>
      <c r="BOR17" s="51"/>
      <c r="BOS17" s="51"/>
      <c r="BOT17" s="51"/>
      <c r="BOU17" s="51"/>
      <c r="BOV17" s="51"/>
      <c r="BOW17" s="51"/>
      <c r="BOX17" s="51"/>
      <c r="BOY17" s="51"/>
      <c r="BOZ17" s="51"/>
      <c r="BPA17" s="51"/>
      <c r="BPB17" s="51"/>
      <c r="BPC17" s="51"/>
      <c r="BPD17" s="51"/>
      <c r="BPE17" s="51"/>
      <c r="BPF17" s="51"/>
      <c r="BPG17" s="51"/>
      <c r="BPH17" s="51"/>
      <c r="BPI17" s="51"/>
      <c r="BPJ17" s="51"/>
      <c r="BPK17" s="51"/>
      <c r="BPL17" s="51"/>
      <c r="BPM17" s="51"/>
      <c r="BPN17" s="51"/>
      <c r="BPO17" s="51"/>
      <c r="BPP17" s="51"/>
      <c r="BPQ17" s="51"/>
      <c r="BPR17" s="51"/>
      <c r="BPS17" s="51"/>
      <c r="BPT17" s="51"/>
      <c r="BPU17" s="51"/>
      <c r="BPV17" s="51"/>
      <c r="BPW17" s="51"/>
      <c r="BPX17" s="51"/>
      <c r="BPY17" s="51"/>
      <c r="BPZ17" s="51"/>
      <c r="BQA17" s="51"/>
      <c r="BQB17" s="51"/>
      <c r="BQC17" s="51"/>
      <c r="BQD17" s="51"/>
      <c r="BQE17" s="51"/>
      <c r="BQF17" s="51"/>
      <c r="BQG17" s="51"/>
      <c r="BQH17" s="51"/>
      <c r="BQI17" s="51"/>
      <c r="BQJ17" s="51"/>
      <c r="BQK17" s="51"/>
      <c r="BQL17" s="51"/>
      <c r="BQM17" s="51"/>
      <c r="BQN17" s="51"/>
      <c r="BQO17" s="51"/>
      <c r="BQP17" s="51"/>
      <c r="BQQ17" s="51"/>
      <c r="BQR17" s="51"/>
      <c r="BQS17" s="51"/>
      <c r="BQT17" s="51"/>
      <c r="BQU17" s="51"/>
      <c r="BQV17" s="51"/>
      <c r="BQW17" s="51"/>
      <c r="BQX17" s="51"/>
      <c r="BQY17" s="51"/>
      <c r="BQZ17" s="51"/>
      <c r="BRA17" s="51"/>
      <c r="BRB17" s="51"/>
      <c r="BRC17" s="51"/>
      <c r="BRD17" s="51"/>
      <c r="BRE17" s="51"/>
      <c r="BRF17" s="51"/>
      <c r="BRG17" s="51"/>
      <c r="BRH17" s="51"/>
      <c r="BRI17" s="51"/>
      <c r="BRJ17" s="51"/>
      <c r="BRK17" s="51"/>
      <c r="BRL17" s="51"/>
      <c r="BRM17" s="51"/>
      <c r="BRN17" s="51"/>
      <c r="BRO17" s="51"/>
      <c r="BRP17" s="51"/>
      <c r="BRQ17" s="51"/>
      <c r="BRR17" s="51"/>
      <c r="BRS17" s="51"/>
      <c r="BRT17" s="51"/>
      <c r="BRU17" s="51"/>
      <c r="BRV17" s="51"/>
      <c r="BRW17" s="51"/>
      <c r="BRX17" s="51"/>
      <c r="BRY17" s="51"/>
      <c r="BRZ17" s="51"/>
      <c r="BSA17" s="51"/>
      <c r="BSB17" s="51"/>
      <c r="BSC17" s="51"/>
      <c r="BSD17" s="51"/>
      <c r="BSE17" s="51"/>
      <c r="BSF17" s="51"/>
      <c r="BSG17" s="51"/>
      <c r="BSH17" s="51"/>
      <c r="BSI17" s="51"/>
      <c r="BSJ17" s="51"/>
      <c r="BSK17" s="51"/>
      <c r="BSL17" s="51"/>
      <c r="BSM17" s="51"/>
      <c r="BSN17" s="51"/>
      <c r="BSO17" s="51"/>
      <c r="BSP17" s="51"/>
      <c r="BSQ17" s="51"/>
      <c r="BSR17" s="51"/>
      <c r="BSS17" s="51"/>
      <c r="BST17" s="51"/>
      <c r="BSU17" s="51"/>
      <c r="BSV17" s="51"/>
      <c r="BSW17" s="51"/>
      <c r="BSX17" s="51"/>
      <c r="BSY17" s="51"/>
      <c r="BSZ17" s="51"/>
      <c r="BTA17" s="51"/>
      <c r="BTB17" s="51"/>
      <c r="BTC17" s="51"/>
      <c r="BTD17" s="51"/>
      <c r="BTE17" s="51"/>
      <c r="BTF17" s="51"/>
      <c r="BTG17" s="51"/>
      <c r="BTH17" s="51"/>
      <c r="BTI17" s="51"/>
      <c r="BTJ17" s="51"/>
      <c r="BTK17" s="51"/>
      <c r="BTL17" s="51"/>
      <c r="BTM17" s="51"/>
      <c r="BTN17" s="51"/>
      <c r="BTO17" s="51"/>
      <c r="BTP17" s="51"/>
      <c r="BTQ17" s="51"/>
      <c r="BTR17" s="51"/>
      <c r="BTS17" s="51"/>
      <c r="BTT17" s="51"/>
      <c r="BTU17" s="51"/>
      <c r="BTV17" s="51"/>
      <c r="BTW17" s="51"/>
      <c r="BTX17" s="51"/>
      <c r="BTY17" s="51"/>
      <c r="BTZ17" s="51"/>
      <c r="BUA17" s="51"/>
      <c r="BUB17" s="51"/>
      <c r="BUC17" s="51"/>
      <c r="BUD17" s="51"/>
      <c r="BUE17" s="51"/>
      <c r="BUF17" s="51"/>
      <c r="BUG17" s="51"/>
      <c r="BUH17" s="51"/>
      <c r="BUI17" s="51"/>
      <c r="BUJ17" s="51"/>
      <c r="BUK17" s="51"/>
      <c r="BUL17" s="51"/>
      <c r="BUM17" s="51"/>
      <c r="BUN17" s="51"/>
      <c r="BUO17" s="51"/>
      <c r="BUP17" s="51"/>
      <c r="BUQ17" s="51"/>
      <c r="BUR17" s="51"/>
      <c r="BUS17" s="51"/>
      <c r="BUT17" s="51"/>
      <c r="BUU17" s="51"/>
      <c r="BUV17" s="51"/>
      <c r="BUW17" s="51"/>
      <c r="BUX17" s="51"/>
      <c r="BUY17" s="51"/>
      <c r="BUZ17" s="51"/>
      <c r="BVA17" s="51"/>
      <c r="BVB17" s="51"/>
      <c r="BVC17" s="51"/>
      <c r="BVD17" s="51"/>
      <c r="BVE17" s="51"/>
      <c r="BVF17" s="51"/>
      <c r="BVG17" s="51"/>
      <c r="BVH17" s="51"/>
      <c r="BVI17" s="51"/>
      <c r="BVJ17" s="51"/>
      <c r="BVK17" s="51"/>
      <c r="BVL17" s="51"/>
      <c r="BVM17" s="51"/>
      <c r="BVN17" s="51"/>
      <c r="BVO17" s="51"/>
      <c r="BVP17" s="51"/>
      <c r="BVQ17" s="51"/>
      <c r="BVR17" s="51"/>
      <c r="BVS17" s="51"/>
      <c r="BVT17" s="51"/>
      <c r="BVU17" s="51"/>
      <c r="BVV17" s="51"/>
      <c r="BVW17" s="51"/>
      <c r="BVX17" s="51"/>
      <c r="BVY17" s="51"/>
      <c r="BVZ17" s="51"/>
      <c r="BWA17" s="51"/>
      <c r="BWB17" s="51"/>
      <c r="BWC17" s="51"/>
      <c r="BWD17" s="51"/>
      <c r="BWE17" s="51"/>
      <c r="BWF17" s="51"/>
      <c r="BWG17" s="51"/>
      <c r="BWH17" s="51"/>
      <c r="BWI17" s="51"/>
      <c r="BWJ17" s="51"/>
      <c r="BWK17" s="51"/>
      <c r="BWL17" s="51"/>
      <c r="BWM17" s="51"/>
      <c r="BWN17" s="51"/>
      <c r="BWO17" s="51"/>
      <c r="BWP17" s="51"/>
      <c r="BWQ17" s="51"/>
      <c r="BWR17" s="51"/>
      <c r="BWS17" s="51"/>
      <c r="BWT17" s="51"/>
      <c r="BWU17" s="51"/>
      <c r="BWV17" s="51"/>
      <c r="BWW17" s="51"/>
      <c r="BWX17" s="51"/>
      <c r="BWY17" s="51"/>
      <c r="BWZ17" s="51"/>
      <c r="BXA17" s="51"/>
      <c r="BXB17" s="51"/>
      <c r="BXC17" s="51"/>
      <c r="BXD17" s="51"/>
      <c r="BXE17" s="51"/>
      <c r="BXF17" s="51"/>
      <c r="BXG17" s="51"/>
      <c r="BXH17" s="51"/>
      <c r="BXI17" s="51"/>
      <c r="BXJ17" s="51"/>
      <c r="BXK17" s="51"/>
      <c r="BXL17" s="51"/>
      <c r="BXM17" s="51"/>
      <c r="BXN17" s="51"/>
      <c r="BXO17" s="51"/>
      <c r="BXP17" s="51"/>
      <c r="BXQ17" s="51"/>
      <c r="BXR17" s="51"/>
      <c r="BXS17" s="51"/>
      <c r="BXT17" s="51"/>
      <c r="BXU17" s="51"/>
      <c r="BXV17" s="51"/>
      <c r="BXW17" s="51"/>
      <c r="BXX17" s="51"/>
      <c r="BXY17" s="51"/>
      <c r="BXZ17" s="51"/>
      <c r="BYA17" s="51"/>
      <c r="BYB17" s="51"/>
      <c r="BYC17" s="51"/>
      <c r="BYD17" s="51"/>
      <c r="BYE17" s="51"/>
      <c r="BYF17" s="51"/>
      <c r="BYG17" s="51"/>
      <c r="BYH17" s="51"/>
      <c r="BYI17" s="51"/>
      <c r="BYJ17" s="51"/>
      <c r="BYK17" s="51"/>
      <c r="BYL17" s="51"/>
      <c r="BYM17" s="51"/>
      <c r="BYN17" s="51"/>
      <c r="BYO17" s="51"/>
      <c r="BYP17" s="51"/>
      <c r="BYQ17" s="51"/>
      <c r="BYR17" s="51"/>
      <c r="BYS17" s="51"/>
      <c r="BYT17" s="51"/>
      <c r="BYU17" s="51"/>
      <c r="BYV17" s="51"/>
      <c r="BYW17" s="51"/>
      <c r="BYX17" s="51"/>
      <c r="BYY17" s="51"/>
      <c r="BYZ17" s="51"/>
      <c r="BZA17" s="51"/>
      <c r="BZB17" s="51"/>
      <c r="BZC17" s="51"/>
      <c r="BZD17" s="51"/>
      <c r="BZE17" s="51"/>
      <c r="BZF17" s="51"/>
      <c r="BZG17" s="51"/>
      <c r="BZH17" s="51"/>
      <c r="BZI17" s="51"/>
      <c r="BZJ17" s="51"/>
      <c r="BZK17" s="51"/>
      <c r="BZL17" s="51"/>
      <c r="BZM17" s="51"/>
      <c r="BZN17" s="51"/>
      <c r="BZO17" s="51"/>
      <c r="BZP17" s="51"/>
      <c r="BZQ17" s="51"/>
      <c r="BZR17" s="51"/>
      <c r="BZS17" s="51"/>
      <c r="BZT17" s="51"/>
      <c r="BZU17" s="51"/>
      <c r="BZV17" s="51"/>
      <c r="BZW17" s="51"/>
      <c r="BZX17" s="51"/>
      <c r="BZY17" s="51"/>
      <c r="BZZ17" s="51"/>
      <c r="CAA17" s="51"/>
      <c r="CAB17" s="51"/>
      <c r="CAC17" s="51"/>
      <c r="CAD17" s="51"/>
      <c r="CAE17" s="51"/>
      <c r="CAF17" s="51"/>
      <c r="CAG17" s="51"/>
      <c r="CAH17" s="51"/>
      <c r="CAI17" s="51"/>
      <c r="CAJ17" s="51"/>
      <c r="CAK17" s="51"/>
      <c r="CAL17" s="51"/>
      <c r="CAM17" s="51"/>
      <c r="CAN17" s="51"/>
      <c r="CAO17" s="51"/>
      <c r="CAP17" s="51"/>
      <c r="CAQ17" s="51"/>
      <c r="CAR17" s="51"/>
      <c r="CAS17" s="51"/>
      <c r="CAT17" s="51"/>
      <c r="CAU17" s="51"/>
      <c r="CAV17" s="51"/>
      <c r="CAW17" s="51"/>
      <c r="CAX17" s="51"/>
      <c r="CAY17" s="51"/>
      <c r="CAZ17" s="51"/>
      <c r="CBA17" s="51"/>
      <c r="CBB17" s="51"/>
      <c r="CBC17" s="51"/>
      <c r="CBD17" s="51"/>
      <c r="CBE17" s="51"/>
      <c r="CBF17" s="51"/>
      <c r="CBG17" s="51"/>
      <c r="CBH17" s="51"/>
      <c r="CBI17" s="51"/>
      <c r="CBJ17" s="51"/>
      <c r="CBK17" s="51"/>
      <c r="CBL17" s="51"/>
      <c r="CBM17" s="51"/>
      <c r="CBN17" s="51"/>
      <c r="CBO17" s="51"/>
      <c r="CBP17" s="51"/>
      <c r="CBQ17" s="51"/>
      <c r="CBR17" s="51"/>
      <c r="CBS17" s="51"/>
      <c r="CBT17" s="51"/>
      <c r="CBU17" s="51"/>
      <c r="CBV17" s="51"/>
      <c r="CBW17" s="51"/>
      <c r="CBX17" s="51"/>
      <c r="CBY17" s="51"/>
      <c r="CBZ17" s="51"/>
      <c r="CCA17" s="51"/>
      <c r="CCB17" s="51"/>
      <c r="CCC17" s="51"/>
      <c r="CCD17" s="51"/>
      <c r="CCE17" s="51"/>
      <c r="CCF17" s="51"/>
      <c r="CCG17" s="51"/>
      <c r="CCH17" s="51"/>
      <c r="CCI17" s="51"/>
      <c r="CCJ17" s="51"/>
      <c r="CCK17" s="51"/>
      <c r="CCL17" s="51"/>
      <c r="CCM17" s="51"/>
      <c r="CCN17" s="51"/>
      <c r="CCO17" s="51"/>
      <c r="CCP17" s="51"/>
      <c r="CCQ17" s="51"/>
      <c r="CCR17" s="51"/>
      <c r="CCS17" s="51"/>
      <c r="CCT17" s="51"/>
      <c r="CCU17" s="51"/>
      <c r="CCV17" s="51"/>
      <c r="CCW17" s="51"/>
      <c r="CCX17" s="51"/>
      <c r="CCY17" s="51"/>
      <c r="CCZ17" s="51"/>
      <c r="CDA17" s="51"/>
      <c r="CDB17" s="51"/>
      <c r="CDC17" s="51"/>
      <c r="CDD17" s="51"/>
      <c r="CDE17" s="51"/>
      <c r="CDF17" s="51"/>
      <c r="CDG17" s="51"/>
      <c r="CDH17" s="51"/>
      <c r="CDI17" s="51"/>
      <c r="CDJ17" s="51"/>
      <c r="CDK17" s="51"/>
      <c r="CDL17" s="51"/>
      <c r="CDM17" s="51"/>
      <c r="CDN17" s="51"/>
      <c r="CDO17" s="51"/>
      <c r="CDP17" s="51"/>
      <c r="CDQ17" s="51"/>
      <c r="CDR17" s="51"/>
      <c r="CDS17" s="51"/>
      <c r="CDT17" s="51"/>
      <c r="CDU17" s="51"/>
      <c r="CDV17" s="51"/>
      <c r="CDW17" s="51"/>
      <c r="CDX17" s="51"/>
      <c r="CDY17" s="51"/>
      <c r="CDZ17" s="51"/>
      <c r="CEA17" s="51"/>
      <c r="CEB17" s="51"/>
      <c r="CEC17" s="51"/>
      <c r="CED17" s="51"/>
      <c r="CEE17" s="51"/>
      <c r="CEF17" s="51"/>
      <c r="CEG17" s="51"/>
      <c r="CEH17" s="51"/>
      <c r="CEI17" s="51"/>
      <c r="CEJ17" s="51"/>
      <c r="CEK17" s="51"/>
      <c r="CEL17" s="51"/>
      <c r="CEM17" s="51"/>
      <c r="CEN17" s="51"/>
      <c r="CEO17" s="51"/>
      <c r="CEP17" s="51"/>
      <c r="CEQ17" s="51"/>
      <c r="CER17" s="51"/>
      <c r="CES17" s="51"/>
      <c r="CET17" s="51"/>
      <c r="CEU17" s="51"/>
      <c r="CEV17" s="51"/>
      <c r="CEW17" s="51"/>
      <c r="CEX17" s="51"/>
      <c r="CEY17" s="51"/>
      <c r="CEZ17" s="51"/>
      <c r="CFA17" s="51"/>
      <c r="CFB17" s="51"/>
      <c r="CFC17" s="51"/>
      <c r="CFD17" s="51"/>
      <c r="CFE17" s="51"/>
      <c r="CFF17" s="51"/>
      <c r="CFG17" s="51"/>
      <c r="CFH17" s="51"/>
      <c r="CFI17" s="51"/>
      <c r="CFJ17" s="51"/>
      <c r="CFK17" s="51"/>
      <c r="CFL17" s="51"/>
      <c r="CFM17" s="51"/>
      <c r="CFN17" s="51"/>
      <c r="CFO17" s="51"/>
      <c r="CFP17" s="51"/>
      <c r="CFQ17" s="51"/>
      <c r="CFR17" s="51"/>
      <c r="CFS17" s="51"/>
      <c r="CFT17" s="51"/>
      <c r="CFU17" s="51"/>
      <c r="CFV17" s="51"/>
      <c r="CFW17" s="51"/>
      <c r="CFX17" s="51"/>
      <c r="CFY17" s="51"/>
      <c r="CFZ17" s="51"/>
      <c r="CGA17" s="51"/>
      <c r="CGB17" s="51"/>
      <c r="CGC17" s="51"/>
      <c r="CGD17" s="51"/>
      <c r="CGE17" s="51"/>
      <c r="CGF17" s="51"/>
      <c r="CGG17" s="51"/>
      <c r="CGH17" s="51"/>
      <c r="CGI17" s="51"/>
      <c r="CGJ17" s="51"/>
      <c r="CGK17" s="51"/>
      <c r="CGL17" s="51"/>
      <c r="CGM17" s="51"/>
      <c r="CGN17" s="51"/>
      <c r="CGO17" s="51"/>
      <c r="CGP17" s="51"/>
      <c r="CGQ17" s="51"/>
      <c r="CGR17" s="51"/>
      <c r="CGS17" s="51"/>
      <c r="CGT17" s="51"/>
      <c r="CGU17" s="51"/>
      <c r="CGV17" s="51"/>
      <c r="CGW17" s="51"/>
      <c r="CGX17" s="51"/>
      <c r="CGY17" s="51"/>
      <c r="CGZ17" s="51"/>
      <c r="CHA17" s="51"/>
      <c r="CHB17" s="51"/>
      <c r="CHC17" s="51"/>
      <c r="CHD17" s="51"/>
      <c r="CHE17" s="51"/>
      <c r="CHF17" s="51"/>
      <c r="CHG17" s="51"/>
      <c r="CHH17" s="51"/>
      <c r="CHI17" s="51"/>
      <c r="CHJ17" s="51"/>
      <c r="CHK17" s="51"/>
      <c r="CHL17" s="51"/>
      <c r="CHM17" s="51"/>
      <c r="CHN17" s="51"/>
      <c r="CHO17" s="51"/>
      <c r="CHP17" s="51"/>
      <c r="CHQ17" s="51"/>
      <c r="CHR17" s="51"/>
      <c r="CHS17" s="51"/>
      <c r="CHT17" s="51"/>
      <c r="CHU17" s="51"/>
      <c r="CHV17" s="51"/>
      <c r="CHW17" s="51"/>
      <c r="CHX17" s="51"/>
      <c r="CHY17" s="51"/>
      <c r="CHZ17" s="51"/>
      <c r="CIA17" s="51"/>
      <c r="CIB17" s="51"/>
      <c r="CIC17" s="51"/>
      <c r="CID17" s="51"/>
      <c r="CIE17" s="51"/>
      <c r="CIF17" s="51"/>
      <c r="CIG17" s="51"/>
      <c r="CIH17" s="51"/>
      <c r="CII17" s="51"/>
      <c r="CIJ17" s="51"/>
      <c r="CIK17" s="51"/>
      <c r="CIL17" s="51"/>
      <c r="CIM17" s="51"/>
      <c r="CIN17" s="51"/>
      <c r="CIO17" s="51"/>
      <c r="CIP17" s="51"/>
      <c r="CIQ17" s="51"/>
      <c r="CIR17" s="51"/>
      <c r="CIS17" s="51"/>
      <c r="CIT17" s="51"/>
      <c r="CIU17" s="51"/>
      <c r="CIV17" s="51"/>
      <c r="CIW17" s="51"/>
      <c r="CIX17" s="51"/>
      <c r="CIY17" s="51"/>
      <c r="CIZ17" s="51"/>
      <c r="CJA17" s="51"/>
      <c r="CJB17" s="51"/>
      <c r="CJC17" s="51"/>
      <c r="CJD17" s="51"/>
      <c r="CJE17" s="51"/>
      <c r="CJF17" s="51"/>
      <c r="CJG17" s="51"/>
      <c r="CJH17" s="51"/>
      <c r="CJI17" s="51"/>
      <c r="CJJ17" s="51"/>
      <c r="CJK17" s="51"/>
      <c r="CJL17" s="51"/>
      <c r="CJM17" s="51"/>
      <c r="CJN17" s="51"/>
      <c r="CJO17" s="51"/>
      <c r="CJP17" s="51"/>
      <c r="CJQ17" s="51"/>
      <c r="CJR17" s="51"/>
      <c r="CJS17" s="51"/>
      <c r="CJT17" s="51"/>
      <c r="CJU17" s="51"/>
      <c r="CJV17" s="51"/>
      <c r="CJW17" s="51"/>
      <c r="CJX17" s="51"/>
      <c r="CJY17" s="51"/>
      <c r="CJZ17" s="51"/>
      <c r="CKA17" s="51"/>
      <c r="CKB17" s="51"/>
      <c r="CKC17" s="51"/>
      <c r="CKD17" s="51"/>
      <c r="CKE17" s="51"/>
      <c r="CKF17" s="51"/>
      <c r="CKG17" s="51"/>
      <c r="CKH17" s="51"/>
      <c r="CKI17" s="51"/>
      <c r="CKJ17" s="51"/>
      <c r="CKK17" s="51"/>
      <c r="CKL17" s="51"/>
      <c r="CKM17" s="51"/>
      <c r="CKN17" s="51"/>
      <c r="CKO17" s="51"/>
      <c r="CKP17" s="51"/>
      <c r="CKQ17" s="51"/>
      <c r="CKR17" s="51"/>
      <c r="CKS17" s="51"/>
      <c r="CKT17" s="51"/>
      <c r="CKU17" s="51"/>
      <c r="CKV17" s="51"/>
      <c r="CKW17" s="51"/>
      <c r="CKX17" s="51"/>
      <c r="CKY17" s="51"/>
      <c r="CKZ17" s="51"/>
      <c r="CLA17" s="51"/>
      <c r="CLB17" s="51"/>
      <c r="CLC17" s="51"/>
      <c r="CLD17" s="51"/>
      <c r="CLE17" s="51"/>
      <c r="CLF17" s="51"/>
      <c r="CLG17" s="51"/>
      <c r="CLH17" s="51"/>
      <c r="CLI17" s="51"/>
      <c r="CLJ17" s="51"/>
      <c r="CLK17" s="51"/>
      <c r="CLL17" s="51"/>
      <c r="CLM17" s="51"/>
      <c r="CLN17" s="51"/>
      <c r="CLO17" s="51"/>
      <c r="CLP17" s="51"/>
      <c r="CLQ17" s="51"/>
      <c r="CLR17" s="51"/>
      <c r="CLS17" s="51"/>
      <c r="CLT17" s="51"/>
      <c r="CLU17" s="51"/>
      <c r="CLV17" s="51"/>
      <c r="CLW17" s="51"/>
      <c r="CLX17" s="51"/>
      <c r="CLY17" s="51"/>
      <c r="CLZ17" s="51"/>
      <c r="CMA17" s="51"/>
      <c r="CMB17" s="51"/>
      <c r="CMC17" s="51"/>
      <c r="CMD17" s="51"/>
      <c r="CME17" s="51"/>
      <c r="CMF17" s="51"/>
      <c r="CMG17" s="51"/>
      <c r="CMH17" s="51"/>
      <c r="CMI17" s="51"/>
      <c r="CMJ17" s="51"/>
      <c r="CMK17" s="51"/>
      <c r="CML17" s="51"/>
      <c r="CMM17" s="51"/>
      <c r="CMN17" s="51"/>
      <c r="CMO17" s="51"/>
      <c r="CMP17" s="51"/>
      <c r="CMQ17" s="51"/>
      <c r="CMR17" s="51"/>
      <c r="CMS17" s="51"/>
      <c r="CMT17" s="51"/>
      <c r="CMU17" s="51"/>
      <c r="CMV17" s="51"/>
      <c r="CMW17" s="51"/>
      <c r="CMX17" s="51"/>
      <c r="CMY17" s="51"/>
      <c r="CMZ17" s="51"/>
      <c r="CNA17" s="51"/>
      <c r="CNB17" s="51"/>
      <c r="CNC17" s="51"/>
      <c r="CND17" s="51"/>
      <c r="CNE17" s="51"/>
      <c r="CNF17" s="51"/>
      <c r="CNG17" s="51"/>
      <c r="CNH17" s="51"/>
      <c r="CNI17" s="51"/>
      <c r="CNJ17" s="51"/>
      <c r="CNK17" s="51"/>
      <c r="CNL17" s="51"/>
      <c r="CNM17" s="51"/>
      <c r="CNN17" s="51"/>
      <c r="CNO17" s="51"/>
      <c r="CNP17" s="51"/>
      <c r="CNQ17" s="51"/>
      <c r="CNR17" s="51"/>
      <c r="CNS17" s="51"/>
      <c r="CNT17" s="51"/>
      <c r="CNU17" s="51"/>
      <c r="CNV17" s="51"/>
      <c r="CNW17" s="51"/>
      <c r="CNX17" s="51"/>
      <c r="CNY17" s="51"/>
      <c r="CNZ17" s="51"/>
      <c r="COA17" s="51"/>
      <c r="COB17" s="51"/>
      <c r="COC17" s="51"/>
      <c r="COD17" s="51"/>
      <c r="COE17" s="51"/>
      <c r="COF17" s="51"/>
      <c r="COG17" s="51"/>
      <c r="COH17" s="51"/>
      <c r="COI17" s="51"/>
      <c r="COJ17" s="51"/>
      <c r="COK17" s="51"/>
      <c r="COL17" s="51"/>
      <c r="COM17" s="51"/>
      <c r="CON17" s="51"/>
      <c r="COO17" s="51"/>
      <c r="COP17" s="51"/>
      <c r="COQ17" s="51"/>
      <c r="COR17" s="51"/>
      <c r="COS17" s="51"/>
      <c r="COT17" s="51"/>
      <c r="COU17" s="51"/>
      <c r="COV17" s="51"/>
      <c r="COW17" s="51"/>
      <c r="COX17" s="51"/>
      <c r="COY17" s="51"/>
      <c r="COZ17" s="51"/>
      <c r="CPA17" s="51"/>
      <c r="CPB17" s="51"/>
      <c r="CPC17" s="51"/>
      <c r="CPD17" s="51"/>
      <c r="CPE17" s="51"/>
      <c r="CPF17" s="51"/>
      <c r="CPG17" s="51"/>
      <c r="CPH17" s="51"/>
      <c r="CPI17" s="51"/>
      <c r="CPJ17" s="51"/>
      <c r="CPK17" s="51"/>
      <c r="CPL17" s="51"/>
      <c r="CPM17" s="51"/>
      <c r="CPN17" s="51"/>
      <c r="CPO17" s="51"/>
      <c r="CPP17" s="51"/>
      <c r="CPQ17" s="51"/>
      <c r="CPR17" s="51"/>
      <c r="CPS17" s="51"/>
      <c r="CPT17" s="51"/>
      <c r="CPU17" s="51"/>
      <c r="CPV17" s="51"/>
      <c r="CPW17" s="51"/>
      <c r="CPX17" s="51"/>
      <c r="CPY17" s="51"/>
      <c r="CPZ17" s="51"/>
      <c r="CQA17" s="51"/>
      <c r="CQB17" s="51"/>
      <c r="CQC17" s="51"/>
      <c r="CQD17" s="51"/>
      <c r="CQE17" s="51"/>
      <c r="CQF17" s="51"/>
      <c r="CQG17" s="51"/>
      <c r="CQH17" s="51"/>
      <c r="CQI17" s="51"/>
      <c r="CQJ17" s="51"/>
      <c r="CQK17" s="51"/>
      <c r="CQL17" s="51"/>
      <c r="CQM17" s="51"/>
      <c r="CQN17" s="51"/>
      <c r="CQO17" s="51"/>
      <c r="CQP17" s="51"/>
      <c r="CQQ17" s="51"/>
      <c r="CQR17" s="51"/>
      <c r="CQS17" s="51"/>
      <c r="CQT17" s="51"/>
      <c r="CQU17" s="51"/>
      <c r="CQV17" s="51"/>
      <c r="CQW17" s="51"/>
      <c r="CQX17" s="51"/>
      <c r="CQY17" s="51"/>
      <c r="CQZ17" s="51"/>
      <c r="CRA17" s="51"/>
      <c r="CRB17" s="51"/>
      <c r="CRC17" s="51"/>
      <c r="CRD17" s="51"/>
      <c r="CRE17" s="51"/>
      <c r="CRF17" s="51"/>
      <c r="CRG17" s="51"/>
      <c r="CRH17" s="51"/>
      <c r="CRI17" s="51"/>
      <c r="CRJ17" s="51"/>
      <c r="CRK17" s="51"/>
      <c r="CRL17" s="51"/>
      <c r="CRM17" s="51"/>
      <c r="CRN17" s="51"/>
      <c r="CRO17" s="51"/>
      <c r="CRP17" s="51"/>
      <c r="CRQ17" s="51"/>
      <c r="CRR17" s="51"/>
      <c r="CRS17" s="51"/>
      <c r="CRT17" s="51"/>
      <c r="CRU17" s="51"/>
      <c r="CRV17" s="51"/>
      <c r="CRW17" s="51"/>
      <c r="CRX17" s="51"/>
      <c r="CRY17" s="51"/>
      <c r="CRZ17" s="51"/>
      <c r="CSA17" s="51"/>
      <c r="CSB17" s="51"/>
      <c r="CSC17" s="51"/>
      <c r="CSD17" s="51"/>
      <c r="CSE17" s="51"/>
      <c r="CSF17" s="51"/>
      <c r="CSG17" s="51"/>
      <c r="CSH17" s="51"/>
      <c r="CSI17" s="51"/>
      <c r="CSJ17" s="51"/>
      <c r="CSK17" s="51"/>
      <c r="CSL17" s="51"/>
      <c r="CSM17" s="51"/>
      <c r="CSN17" s="51"/>
      <c r="CSO17" s="51"/>
      <c r="CSP17" s="51"/>
      <c r="CSQ17" s="51"/>
      <c r="CSR17" s="51"/>
      <c r="CSS17" s="51"/>
      <c r="CST17" s="51"/>
      <c r="CSU17" s="51"/>
      <c r="CSV17" s="51"/>
      <c r="CSW17" s="51"/>
      <c r="CSX17" s="51"/>
      <c r="CSY17" s="51"/>
      <c r="CSZ17" s="51"/>
      <c r="CTA17" s="51"/>
      <c r="CTB17" s="51"/>
      <c r="CTC17" s="51"/>
      <c r="CTD17" s="51"/>
      <c r="CTE17" s="51"/>
      <c r="CTF17" s="51"/>
      <c r="CTG17" s="51"/>
      <c r="CTH17" s="51"/>
      <c r="CTI17" s="51"/>
      <c r="CTJ17" s="51"/>
      <c r="CTK17" s="51"/>
      <c r="CTL17" s="51"/>
      <c r="CTM17" s="51"/>
      <c r="CTN17" s="51"/>
      <c r="CTO17" s="51"/>
      <c r="CTP17" s="51"/>
      <c r="CTQ17" s="51"/>
      <c r="CTR17" s="51"/>
      <c r="CTS17" s="51"/>
      <c r="CTT17" s="51"/>
      <c r="CTU17" s="51"/>
      <c r="CTV17" s="51"/>
      <c r="CTW17" s="51"/>
      <c r="CTX17" s="51"/>
      <c r="CTY17" s="51"/>
      <c r="CTZ17" s="51"/>
      <c r="CUA17" s="51"/>
      <c r="CUB17" s="51"/>
      <c r="CUC17" s="51"/>
      <c r="CUD17" s="51"/>
      <c r="CUE17" s="51"/>
      <c r="CUF17" s="51"/>
      <c r="CUG17" s="51"/>
      <c r="CUH17" s="51"/>
      <c r="CUI17" s="51"/>
      <c r="CUJ17" s="51"/>
      <c r="CUK17" s="51"/>
      <c r="CUL17" s="51"/>
      <c r="CUM17" s="51"/>
      <c r="CUN17" s="51"/>
      <c r="CUO17" s="51"/>
      <c r="CUP17" s="51"/>
      <c r="CUQ17" s="51"/>
      <c r="CUR17" s="51"/>
      <c r="CUS17" s="51"/>
      <c r="CUT17" s="51"/>
      <c r="CUU17" s="51"/>
      <c r="CUV17" s="51"/>
      <c r="CUW17" s="51"/>
      <c r="CUX17" s="51"/>
      <c r="CUY17" s="51"/>
      <c r="CUZ17" s="51"/>
      <c r="CVA17" s="51"/>
      <c r="CVB17" s="51"/>
      <c r="CVC17" s="51"/>
      <c r="CVD17" s="51"/>
      <c r="CVE17" s="51"/>
      <c r="CVF17" s="51"/>
      <c r="CVG17" s="51"/>
      <c r="CVH17" s="51"/>
      <c r="CVI17" s="51"/>
      <c r="CVJ17" s="51"/>
      <c r="CVK17" s="51"/>
      <c r="CVL17" s="51"/>
      <c r="CVM17" s="51"/>
      <c r="CVN17" s="51"/>
      <c r="CVO17" s="51"/>
      <c r="CVP17" s="51"/>
      <c r="CVQ17" s="51"/>
      <c r="CVR17" s="51"/>
      <c r="CVS17" s="51"/>
      <c r="CVT17" s="51"/>
      <c r="CVU17" s="51"/>
      <c r="CVV17" s="51"/>
      <c r="CVW17" s="51"/>
      <c r="CVX17" s="51"/>
      <c r="CVY17" s="51"/>
      <c r="CVZ17" s="51"/>
      <c r="CWA17" s="51"/>
      <c r="CWB17" s="51"/>
      <c r="CWC17" s="51"/>
      <c r="CWD17" s="51"/>
      <c r="CWE17" s="51"/>
      <c r="CWF17" s="51"/>
      <c r="CWG17" s="51"/>
      <c r="CWH17" s="51"/>
      <c r="CWI17" s="51"/>
      <c r="CWJ17" s="51"/>
      <c r="CWK17" s="51"/>
      <c r="CWL17" s="51"/>
      <c r="CWM17" s="51"/>
      <c r="CWN17" s="51"/>
      <c r="CWO17" s="51"/>
      <c r="CWP17" s="51"/>
      <c r="CWQ17" s="51"/>
      <c r="CWR17" s="51"/>
      <c r="CWS17" s="51"/>
      <c r="CWT17" s="51"/>
      <c r="CWU17" s="51"/>
      <c r="CWV17" s="51"/>
      <c r="CWW17" s="51"/>
      <c r="CWX17" s="51"/>
      <c r="CWY17" s="51"/>
      <c r="CWZ17" s="51"/>
      <c r="CXA17" s="51"/>
      <c r="CXB17" s="51"/>
      <c r="CXC17" s="51"/>
      <c r="CXD17" s="51"/>
      <c r="CXE17" s="51"/>
      <c r="CXF17" s="51"/>
      <c r="CXG17" s="51"/>
      <c r="CXH17" s="51"/>
      <c r="CXI17" s="51"/>
      <c r="CXJ17" s="51"/>
      <c r="CXK17" s="51"/>
      <c r="CXL17" s="51"/>
      <c r="CXM17" s="51"/>
      <c r="CXN17" s="51"/>
      <c r="CXO17" s="51"/>
      <c r="CXP17" s="51"/>
      <c r="CXQ17" s="51"/>
      <c r="CXR17" s="51"/>
      <c r="CXS17" s="51"/>
      <c r="CXT17" s="51"/>
      <c r="CXU17" s="51"/>
      <c r="CXV17" s="51"/>
      <c r="CXW17" s="51"/>
      <c r="CXX17" s="51"/>
      <c r="CXY17" s="51"/>
      <c r="CXZ17" s="51"/>
      <c r="CYA17" s="51"/>
      <c r="CYB17" s="51"/>
      <c r="CYC17" s="51"/>
      <c r="CYD17" s="51"/>
      <c r="CYE17" s="51"/>
      <c r="CYF17" s="51"/>
      <c r="CYG17" s="51"/>
      <c r="CYH17" s="51"/>
      <c r="CYI17" s="51"/>
      <c r="CYJ17" s="51"/>
      <c r="CYK17" s="51"/>
      <c r="CYL17" s="51"/>
      <c r="CYM17" s="51"/>
      <c r="CYN17" s="51"/>
      <c r="CYO17" s="51"/>
      <c r="CYP17" s="51"/>
      <c r="CYQ17" s="51"/>
      <c r="CYR17" s="51"/>
      <c r="CYS17" s="51"/>
      <c r="CYT17" s="51"/>
      <c r="CYU17" s="51"/>
      <c r="CYV17" s="51"/>
      <c r="CYW17" s="51"/>
      <c r="CYX17" s="51"/>
      <c r="CYY17" s="51"/>
      <c r="CYZ17" s="51"/>
      <c r="CZA17" s="51"/>
      <c r="CZB17" s="51"/>
      <c r="CZC17" s="51"/>
      <c r="CZD17" s="51"/>
      <c r="CZE17" s="51"/>
      <c r="CZF17" s="51"/>
      <c r="CZG17" s="51"/>
      <c r="CZH17" s="51"/>
      <c r="CZI17" s="51"/>
      <c r="CZJ17" s="51"/>
      <c r="CZK17" s="51"/>
      <c r="CZL17" s="51"/>
      <c r="CZM17" s="51"/>
      <c r="CZN17" s="51"/>
      <c r="CZO17" s="51"/>
      <c r="CZP17" s="51"/>
      <c r="CZQ17" s="51"/>
      <c r="CZR17" s="51"/>
      <c r="CZS17" s="51"/>
      <c r="CZT17" s="51"/>
      <c r="CZU17" s="51"/>
      <c r="CZV17" s="51"/>
      <c r="CZW17" s="51"/>
      <c r="CZX17" s="51"/>
      <c r="CZY17" s="51"/>
      <c r="CZZ17" s="51"/>
      <c r="DAA17" s="51"/>
      <c r="DAB17" s="51"/>
      <c r="DAC17" s="51"/>
      <c r="DAD17" s="51"/>
      <c r="DAE17" s="51"/>
      <c r="DAF17" s="51"/>
      <c r="DAG17" s="51"/>
      <c r="DAH17" s="51"/>
      <c r="DAI17" s="51"/>
      <c r="DAJ17" s="51"/>
      <c r="DAK17" s="51"/>
      <c r="DAL17" s="51"/>
      <c r="DAM17" s="51"/>
      <c r="DAN17" s="51"/>
      <c r="DAO17" s="51"/>
      <c r="DAP17" s="51"/>
      <c r="DAQ17" s="51"/>
      <c r="DAR17" s="51"/>
      <c r="DAS17" s="51"/>
      <c r="DAT17" s="51"/>
      <c r="DAU17" s="51"/>
      <c r="DAV17" s="51"/>
      <c r="DAW17" s="51"/>
      <c r="DAX17" s="51"/>
      <c r="DAY17" s="51"/>
      <c r="DAZ17" s="51"/>
      <c r="DBA17" s="51"/>
      <c r="DBB17" s="51"/>
      <c r="DBC17" s="51"/>
      <c r="DBD17" s="51"/>
      <c r="DBE17" s="51"/>
      <c r="DBF17" s="51"/>
      <c r="DBG17" s="51"/>
      <c r="DBH17" s="51"/>
      <c r="DBI17" s="51"/>
      <c r="DBJ17" s="51"/>
      <c r="DBK17" s="51"/>
      <c r="DBL17" s="51"/>
      <c r="DBM17" s="51"/>
      <c r="DBN17" s="51"/>
      <c r="DBO17" s="51"/>
      <c r="DBP17" s="51"/>
      <c r="DBQ17" s="51"/>
      <c r="DBR17" s="51"/>
      <c r="DBS17" s="51"/>
      <c r="DBT17" s="51"/>
      <c r="DBU17" s="51"/>
      <c r="DBV17" s="51"/>
      <c r="DBW17" s="51"/>
      <c r="DBX17" s="51"/>
      <c r="DBY17" s="51"/>
      <c r="DBZ17" s="51"/>
      <c r="DCA17" s="51"/>
      <c r="DCB17" s="51"/>
      <c r="DCC17" s="51"/>
      <c r="DCD17" s="51"/>
      <c r="DCE17" s="51"/>
      <c r="DCF17" s="51"/>
      <c r="DCG17" s="51"/>
      <c r="DCH17" s="51"/>
      <c r="DCI17" s="51"/>
      <c r="DCJ17" s="51"/>
      <c r="DCK17" s="51"/>
      <c r="DCL17" s="51"/>
      <c r="DCM17" s="51"/>
      <c r="DCN17" s="51"/>
      <c r="DCO17" s="51"/>
      <c r="DCP17" s="51"/>
      <c r="DCQ17" s="51"/>
      <c r="DCR17" s="51"/>
      <c r="DCS17" s="51"/>
      <c r="DCT17" s="51"/>
      <c r="DCU17" s="51"/>
      <c r="DCV17" s="51"/>
      <c r="DCW17" s="51"/>
      <c r="DCX17" s="51"/>
      <c r="DCY17" s="51"/>
      <c r="DCZ17" s="51"/>
      <c r="DDA17" s="51"/>
      <c r="DDB17" s="51"/>
      <c r="DDC17" s="51"/>
      <c r="DDD17" s="51"/>
      <c r="DDE17" s="51"/>
      <c r="DDF17" s="51"/>
      <c r="DDG17" s="51"/>
      <c r="DDH17" s="51"/>
      <c r="DDI17" s="51"/>
      <c r="DDJ17" s="51"/>
      <c r="DDK17" s="51"/>
      <c r="DDL17" s="51"/>
      <c r="DDM17" s="51"/>
      <c r="DDN17" s="51"/>
      <c r="DDO17" s="51"/>
      <c r="DDP17" s="51"/>
      <c r="DDQ17" s="51"/>
      <c r="DDR17" s="51"/>
      <c r="DDS17" s="51"/>
      <c r="DDT17" s="51"/>
      <c r="DDU17" s="51"/>
      <c r="DDV17" s="51"/>
      <c r="DDW17" s="51"/>
      <c r="DDX17" s="51"/>
      <c r="DDY17" s="51"/>
      <c r="DDZ17" s="51"/>
      <c r="DEA17" s="51"/>
      <c r="DEB17" s="51"/>
      <c r="DEC17" s="51"/>
      <c r="DED17" s="51"/>
      <c r="DEE17" s="51"/>
      <c r="DEF17" s="51"/>
      <c r="DEG17" s="51"/>
      <c r="DEH17" s="51"/>
      <c r="DEI17" s="51"/>
      <c r="DEJ17" s="51"/>
      <c r="DEK17" s="51"/>
      <c r="DEL17" s="51"/>
      <c r="DEM17" s="51"/>
      <c r="DEN17" s="51"/>
      <c r="DEO17" s="51"/>
      <c r="DEP17" s="51"/>
      <c r="DEQ17" s="51"/>
      <c r="DER17" s="51"/>
      <c r="DES17" s="51"/>
      <c r="DET17" s="51"/>
      <c r="DEU17" s="51"/>
      <c r="DEV17" s="51"/>
      <c r="DEW17" s="51"/>
      <c r="DEX17" s="51"/>
      <c r="DEY17" s="51"/>
      <c r="DEZ17" s="51"/>
      <c r="DFA17" s="51"/>
      <c r="DFB17" s="51"/>
      <c r="DFC17" s="51"/>
      <c r="DFD17" s="51"/>
      <c r="DFE17" s="51"/>
      <c r="DFF17" s="51"/>
      <c r="DFG17" s="51"/>
      <c r="DFH17" s="51"/>
      <c r="DFI17" s="51"/>
      <c r="DFJ17" s="51"/>
      <c r="DFK17" s="51"/>
      <c r="DFL17" s="51"/>
      <c r="DFM17" s="51"/>
      <c r="DFN17" s="51"/>
      <c r="DFO17" s="51"/>
      <c r="DFP17" s="51"/>
      <c r="DFQ17" s="51"/>
      <c r="DFR17" s="51"/>
      <c r="DFS17" s="51"/>
      <c r="DFT17" s="51"/>
      <c r="DFU17" s="51"/>
      <c r="DFV17" s="51"/>
      <c r="DFW17" s="51"/>
      <c r="DFX17" s="51"/>
      <c r="DFY17" s="51"/>
      <c r="DFZ17" s="51"/>
      <c r="DGA17" s="51"/>
      <c r="DGB17" s="51"/>
      <c r="DGC17" s="51"/>
      <c r="DGD17" s="51"/>
      <c r="DGE17" s="51"/>
      <c r="DGF17" s="51"/>
      <c r="DGG17" s="51"/>
      <c r="DGH17" s="51"/>
      <c r="DGI17" s="51"/>
      <c r="DGJ17" s="51"/>
      <c r="DGK17" s="51"/>
      <c r="DGL17" s="51"/>
      <c r="DGM17" s="51"/>
      <c r="DGN17" s="51"/>
      <c r="DGO17" s="51"/>
      <c r="DGP17" s="51"/>
      <c r="DGQ17" s="51"/>
      <c r="DGR17" s="51"/>
      <c r="DGS17" s="51"/>
      <c r="DGT17" s="51"/>
      <c r="DGU17" s="51"/>
      <c r="DGV17" s="51"/>
      <c r="DGW17" s="51"/>
      <c r="DGX17" s="51"/>
      <c r="DGY17" s="51"/>
      <c r="DGZ17" s="51"/>
      <c r="DHA17" s="51"/>
      <c r="DHB17" s="51"/>
      <c r="DHC17" s="51"/>
      <c r="DHD17" s="51"/>
      <c r="DHE17" s="51"/>
      <c r="DHF17" s="51"/>
      <c r="DHG17" s="51"/>
      <c r="DHH17" s="51"/>
      <c r="DHI17" s="51"/>
      <c r="DHJ17" s="51"/>
      <c r="DHK17" s="51"/>
      <c r="DHL17" s="51"/>
      <c r="DHM17" s="51"/>
      <c r="DHN17" s="51"/>
      <c r="DHO17" s="51"/>
      <c r="DHP17" s="51"/>
      <c r="DHQ17" s="51"/>
      <c r="DHR17" s="51"/>
      <c r="DHS17" s="51"/>
      <c r="DHT17" s="51"/>
      <c r="DHU17" s="51"/>
      <c r="DHV17" s="51"/>
      <c r="DHW17" s="51"/>
      <c r="DHX17" s="51"/>
      <c r="DHY17" s="51"/>
      <c r="DHZ17" s="51"/>
      <c r="DIA17" s="51"/>
      <c r="DIB17" s="51"/>
      <c r="DIC17" s="51"/>
      <c r="DID17" s="51"/>
      <c r="DIE17" s="51"/>
      <c r="DIF17" s="51"/>
      <c r="DIG17" s="51"/>
      <c r="DIH17" s="51"/>
      <c r="DII17" s="51"/>
      <c r="DIJ17" s="51"/>
      <c r="DIK17" s="51"/>
      <c r="DIL17" s="51"/>
      <c r="DIM17" s="51"/>
      <c r="DIN17" s="51"/>
      <c r="DIO17" s="51"/>
      <c r="DIP17" s="51"/>
      <c r="DIQ17" s="51"/>
      <c r="DIR17" s="51"/>
      <c r="DIS17" s="51"/>
      <c r="DIT17" s="51"/>
      <c r="DIU17" s="51"/>
      <c r="DIV17" s="51"/>
      <c r="DIW17" s="51"/>
      <c r="DIX17" s="51"/>
      <c r="DIY17" s="51"/>
      <c r="DIZ17" s="51"/>
      <c r="DJA17" s="51"/>
      <c r="DJB17" s="51"/>
      <c r="DJC17" s="51"/>
      <c r="DJD17" s="51"/>
      <c r="DJE17" s="51"/>
      <c r="DJF17" s="51"/>
      <c r="DJG17" s="51"/>
      <c r="DJH17" s="51"/>
      <c r="DJI17" s="51"/>
      <c r="DJJ17" s="51"/>
      <c r="DJK17" s="51"/>
      <c r="DJL17" s="51"/>
      <c r="DJM17" s="51"/>
      <c r="DJN17" s="51"/>
      <c r="DJO17" s="51"/>
      <c r="DJP17" s="51"/>
      <c r="DJQ17" s="51"/>
      <c r="DJR17" s="51"/>
      <c r="DJS17" s="51"/>
      <c r="DJT17" s="51"/>
      <c r="DJU17" s="51"/>
      <c r="DJV17" s="51"/>
      <c r="DJW17" s="51"/>
      <c r="DJX17" s="51"/>
      <c r="DJY17" s="51"/>
      <c r="DJZ17" s="51"/>
      <c r="DKA17" s="51"/>
      <c r="DKB17" s="51"/>
      <c r="DKC17" s="51"/>
      <c r="DKD17" s="51"/>
      <c r="DKE17" s="51"/>
      <c r="DKF17" s="51"/>
      <c r="DKG17" s="51"/>
      <c r="DKH17" s="51"/>
      <c r="DKI17" s="51"/>
      <c r="DKJ17" s="51"/>
      <c r="DKK17" s="51"/>
      <c r="DKL17" s="51"/>
      <c r="DKM17" s="51"/>
      <c r="DKN17" s="51"/>
      <c r="DKO17" s="51"/>
      <c r="DKP17" s="51"/>
      <c r="DKQ17" s="51"/>
      <c r="DKR17" s="51"/>
      <c r="DKS17" s="51"/>
      <c r="DKT17" s="51"/>
      <c r="DKU17" s="51"/>
      <c r="DKV17" s="51"/>
      <c r="DKW17" s="51"/>
      <c r="DKX17" s="51"/>
      <c r="DKY17" s="51"/>
      <c r="DKZ17" s="51"/>
      <c r="DLA17" s="51"/>
      <c r="DLB17" s="51"/>
      <c r="DLC17" s="51"/>
      <c r="DLD17" s="51"/>
      <c r="DLE17" s="51"/>
      <c r="DLF17" s="51"/>
      <c r="DLG17" s="51"/>
      <c r="DLH17" s="51"/>
      <c r="DLI17" s="51"/>
      <c r="DLJ17" s="51"/>
      <c r="DLK17" s="51"/>
      <c r="DLL17" s="51"/>
      <c r="DLM17" s="51"/>
      <c r="DLN17" s="51"/>
      <c r="DLO17" s="51"/>
      <c r="DLP17" s="51"/>
      <c r="DLQ17" s="51"/>
      <c r="DLR17" s="51"/>
      <c r="DLS17" s="51"/>
      <c r="DLT17" s="51"/>
      <c r="DLU17" s="51"/>
      <c r="DLV17" s="51"/>
      <c r="DLW17" s="51"/>
      <c r="DLX17" s="51"/>
      <c r="DLY17" s="51"/>
      <c r="DLZ17" s="51"/>
      <c r="DMA17" s="51"/>
      <c r="DMB17" s="51"/>
      <c r="DMC17" s="51"/>
      <c r="DMD17" s="51"/>
      <c r="DME17" s="51"/>
      <c r="DMF17" s="51"/>
      <c r="DMG17" s="51"/>
      <c r="DMH17" s="51"/>
      <c r="DMI17" s="51"/>
      <c r="DMJ17" s="51"/>
      <c r="DMK17" s="51"/>
      <c r="DML17" s="51"/>
      <c r="DMM17" s="51"/>
      <c r="DMN17" s="51"/>
      <c r="DMO17" s="51"/>
      <c r="DMP17" s="51"/>
      <c r="DMQ17" s="51"/>
      <c r="DMR17" s="51"/>
      <c r="DMS17" s="51"/>
      <c r="DMT17" s="51"/>
      <c r="DMU17" s="51"/>
      <c r="DMV17" s="51"/>
      <c r="DMW17" s="51"/>
      <c r="DMX17" s="51"/>
      <c r="DMY17" s="51"/>
      <c r="DMZ17" s="51"/>
      <c r="DNA17" s="51"/>
      <c r="DNB17" s="51"/>
      <c r="DNC17" s="51"/>
      <c r="DND17" s="51"/>
      <c r="DNE17" s="51"/>
      <c r="DNF17" s="51"/>
      <c r="DNG17" s="51"/>
      <c r="DNH17" s="51"/>
      <c r="DNI17" s="51"/>
      <c r="DNJ17" s="51"/>
      <c r="DNK17" s="51"/>
      <c r="DNL17" s="51"/>
      <c r="DNM17" s="51"/>
      <c r="DNN17" s="51"/>
      <c r="DNO17" s="51"/>
      <c r="DNP17" s="51"/>
      <c r="DNQ17" s="51"/>
      <c r="DNR17" s="51"/>
      <c r="DNS17" s="51"/>
      <c r="DNT17" s="51"/>
      <c r="DNU17" s="51"/>
      <c r="DNV17" s="51"/>
      <c r="DNW17" s="51"/>
      <c r="DNX17" s="51"/>
      <c r="DNY17" s="51"/>
      <c r="DNZ17" s="51"/>
      <c r="DOA17" s="51"/>
      <c r="DOB17" s="51"/>
      <c r="DOC17" s="51"/>
      <c r="DOD17" s="51"/>
      <c r="DOE17" s="51"/>
      <c r="DOF17" s="51"/>
      <c r="DOG17" s="51"/>
      <c r="DOH17" s="51"/>
      <c r="DOI17" s="51"/>
      <c r="DOJ17" s="51"/>
      <c r="DOK17" s="51"/>
      <c r="DOL17" s="51"/>
      <c r="DOM17" s="51"/>
      <c r="DON17" s="51"/>
      <c r="DOO17" s="51"/>
      <c r="DOP17" s="51"/>
      <c r="DOQ17" s="51"/>
      <c r="DOR17" s="51"/>
      <c r="DOS17" s="51"/>
      <c r="DOT17" s="51"/>
      <c r="DOU17" s="51"/>
      <c r="DOV17" s="51"/>
      <c r="DOW17" s="51"/>
      <c r="DOX17" s="51"/>
      <c r="DOY17" s="51"/>
      <c r="DOZ17" s="51"/>
      <c r="DPA17" s="51"/>
      <c r="DPB17" s="51"/>
      <c r="DPC17" s="51"/>
      <c r="DPD17" s="51"/>
      <c r="DPE17" s="51"/>
      <c r="DPF17" s="51"/>
      <c r="DPG17" s="51"/>
      <c r="DPH17" s="51"/>
      <c r="DPI17" s="51"/>
      <c r="DPJ17" s="51"/>
      <c r="DPK17" s="51"/>
      <c r="DPL17" s="51"/>
      <c r="DPM17" s="51"/>
      <c r="DPN17" s="51"/>
      <c r="DPO17" s="51"/>
      <c r="DPP17" s="51"/>
      <c r="DPQ17" s="51"/>
      <c r="DPR17" s="51"/>
      <c r="DPS17" s="51"/>
      <c r="DPT17" s="51"/>
      <c r="DPU17" s="51"/>
      <c r="DPV17" s="51"/>
      <c r="DPW17" s="51"/>
      <c r="DPX17" s="51"/>
      <c r="DPY17" s="51"/>
      <c r="DPZ17" s="51"/>
      <c r="DQA17" s="51"/>
      <c r="DQB17" s="51"/>
      <c r="DQC17" s="51"/>
      <c r="DQD17" s="51"/>
      <c r="DQE17" s="51"/>
      <c r="DQF17" s="51"/>
      <c r="DQG17" s="51"/>
      <c r="DQH17" s="51"/>
      <c r="DQI17" s="51"/>
      <c r="DQJ17" s="51"/>
      <c r="DQK17" s="51"/>
      <c r="DQL17" s="51"/>
      <c r="DQM17" s="51"/>
      <c r="DQN17" s="51"/>
      <c r="DQO17" s="51"/>
      <c r="DQP17" s="51"/>
      <c r="DQQ17" s="51"/>
      <c r="DQR17" s="51"/>
      <c r="DQS17" s="51"/>
      <c r="DQT17" s="51"/>
      <c r="DQU17" s="51"/>
      <c r="DQV17" s="51"/>
      <c r="DQW17" s="51"/>
      <c r="DQX17" s="51"/>
      <c r="DQY17" s="51"/>
      <c r="DQZ17" s="51"/>
      <c r="DRA17" s="51"/>
      <c r="DRB17" s="51"/>
      <c r="DRC17" s="51"/>
      <c r="DRD17" s="51"/>
      <c r="DRE17" s="51"/>
      <c r="DRF17" s="51"/>
      <c r="DRG17" s="51"/>
      <c r="DRH17" s="51"/>
      <c r="DRI17" s="51"/>
      <c r="DRJ17" s="51"/>
      <c r="DRK17" s="51"/>
      <c r="DRL17" s="51"/>
      <c r="DRM17" s="51"/>
      <c r="DRN17" s="51"/>
      <c r="DRO17" s="51"/>
      <c r="DRP17" s="51"/>
      <c r="DRQ17" s="51"/>
      <c r="DRR17" s="51"/>
      <c r="DRS17" s="51"/>
      <c r="DRT17" s="51"/>
      <c r="DRU17" s="51"/>
      <c r="DRV17" s="51"/>
      <c r="DRW17" s="51"/>
      <c r="DRX17" s="51"/>
      <c r="DRY17" s="51"/>
      <c r="DRZ17" s="51"/>
      <c r="DSA17" s="51"/>
      <c r="DSB17" s="51"/>
      <c r="DSC17" s="51"/>
      <c r="DSD17" s="51"/>
      <c r="DSE17" s="51"/>
      <c r="DSF17" s="51"/>
      <c r="DSG17" s="51"/>
      <c r="DSH17" s="51"/>
      <c r="DSI17" s="51"/>
      <c r="DSJ17" s="51"/>
      <c r="DSK17" s="51"/>
      <c r="DSL17" s="51"/>
      <c r="DSM17" s="51"/>
      <c r="DSN17" s="51"/>
      <c r="DSO17" s="51"/>
      <c r="DSP17" s="51"/>
      <c r="DSQ17" s="51"/>
      <c r="DSR17" s="51"/>
      <c r="DSS17" s="51"/>
      <c r="DST17" s="51"/>
      <c r="DSU17" s="51"/>
      <c r="DSV17" s="51"/>
      <c r="DSW17" s="51"/>
      <c r="DSX17" s="51"/>
      <c r="DSY17" s="51"/>
      <c r="DSZ17" s="51"/>
      <c r="DTA17" s="51"/>
      <c r="DTB17" s="51"/>
      <c r="DTC17" s="51"/>
      <c r="DTD17" s="51"/>
      <c r="DTE17" s="51"/>
      <c r="DTF17" s="51"/>
      <c r="DTG17" s="51"/>
      <c r="DTH17" s="51"/>
      <c r="DTI17" s="51"/>
      <c r="DTJ17" s="51"/>
      <c r="DTK17" s="51"/>
      <c r="DTL17" s="51"/>
      <c r="DTM17" s="51"/>
      <c r="DTN17" s="51"/>
      <c r="DTO17" s="51"/>
      <c r="DTP17" s="51"/>
      <c r="DTQ17" s="51"/>
      <c r="DTR17" s="51"/>
      <c r="DTS17" s="51"/>
      <c r="DTT17" s="51"/>
      <c r="DTU17" s="51"/>
      <c r="DTV17" s="51"/>
      <c r="DTW17" s="51"/>
      <c r="DTX17" s="51"/>
      <c r="DTY17" s="51"/>
      <c r="DTZ17" s="51"/>
      <c r="DUA17" s="51"/>
      <c r="DUB17" s="51"/>
      <c r="DUC17" s="51"/>
      <c r="DUD17" s="51"/>
      <c r="DUE17" s="51"/>
      <c r="DUF17" s="51"/>
      <c r="DUG17" s="51"/>
      <c r="DUH17" s="51"/>
      <c r="DUI17" s="51"/>
      <c r="DUJ17" s="51"/>
      <c r="DUK17" s="51"/>
      <c r="DUL17" s="51"/>
      <c r="DUM17" s="51"/>
      <c r="DUN17" s="51"/>
      <c r="DUO17" s="51"/>
      <c r="DUP17" s="51"/>
      <c r="DUQ17" s="51"/>
      <c r="DUR17" s="51"/>
      <c r="DUS17" s="51"/>
      <c r="DUT17" s="51"/>
      <c r="DUU17" s="51"/>
      <c r="DUV17" s="51"/>
      <c r="DUW17" s="51"/>
      <c r="DUX17" s="51"/>
      <c r="DUY17" s="51"/>
      <c r="DUZ17" s="51"/>
      <c r="DVA17" s="51"/>
      <c r="DVB17" s="51"/>
      <c r="DVC17" s="51"/>
      <c r="DVD17" s="51"/>
      <c r="DVE17" s="51"/>
      <c r="DVF17" s="51"/>
      <c r="DVG17" s="51"/>
      <c r="DVH17" s="51"/>
      <c r="DVI17" s="51"/>
      <c r="DVJ17" s="51"/>
      <c r="DVK17" s="51"/>
      <c r="DVL17" s="51"/>
      <c r="DVM17" s="51"/>
      <c r="DVN17" s="51"/>
      <c r="DVO17" s="51"/>
      <c r="DVP17" s="51"/>
      <c r="DVQ17" s="51"/>
      <c r="DVR17" s="51"/>
      <c r="DVS17" s="51"/>
      <c r="DVT17" s="51"/>
      <c r="DVU17" s="51"/>
      <c r="DVV17" s="51"/>
      <c r="DVW17" s="51"/>
      <c r="DVX17" s="51"/>
      <c r="DVY17" s="51"/>
      <c r="DVZ17" s="51"/>
      <c r="DWA17" s="51"/>
      <c r="DWB17" s="51"/>
      <c r="DWC17" s="51"/>
      <c r="DWD17" s="51"/>
      <c r="DWE17" s="51"/>
      <c r="DWF17" s="51"/>
      <c r="DWG17" s="51"/>
      <c r="DWH17" s="51"/>
      <c r="DWI17" s="51"/>
      <c r="DWJ17" s="51"/>
      <c r="DWK17" s="51"/>
      <c r="DWL17" s="51"/>
      <c r="DWM17" s="51"/>
      <c r="DWN17" s="51"/>
      <c r="DWO17" s="51"/>
      <c r="DWP17" s="51"/>
      <c r="DWQ17" s="51"/>
      <c r="DWR17" s="51"/>
      <c r="DWS17" s="51"/>
      <c r="DWT17" s="51"/>
      <c r="DWU17" s="51"/>
      <c r="DWV17" s="51"/>
      <c r="DWW17" s="51"/>
      <c r="DWX17" s="51"/>
      <c r="DWY17" s="51"/>
      <c r="DWZ17" s="51"/>
      <c r="DXA17" s="51"/>
      <c r="DXB17" s="51"/>
      <c r="DXC17" s="51"/>
      <c r="DXD17" s="51"/>
      <c r="DXE17" s="51"/>
      <c r="DXF17" s="51"/>
      <c r="DXG17" s="51"/>
      <c r="DXH17" s="51"/>
      <c r="DXI17" s="51"/>
      <c r="DXJ17" s="51"/>
      <c r="DXK17" s="51"/>
      <c r="DXL17" s="51"/>
      <c r="DXM17" s="51"/>
      <c r="DXN17" s="51"/>
      <c r="DXO17" s="51"/>
      <c r="DXP17" s="51"/>
      <c r="DXQ17" s="51"/>
      <c r="DXR17" s="51"/>
      <c r="DXS17" s="51"/>
      <c r="DXT17" s="51"/>
      <c r="DXU17" s="51"/>
      <c r="DXV17" s="51"/>
      <c r="DXW17" s="51"/>
      <c r="DXX17" s="51"/>
      <c r="DXY17" s="51"/>
      <c r="DXZ17" s="51"/>
      <c r="DYA17" s="51"/>
      <c r="DYB17" s="51"/>
      <c r="DYC17" s="51"/>
      <c r="DYD17" s="51"/>
      <c r="DYE17" s="51"/>
      <c r="DYF17" s="51"/>
      <c r="DYG17" s="51"/>
      <c r="DYH17" s="51"/>
      <c r="DYI17" s="51"/>
      <c r="DYJ17" s="51"/>
      <c r="DYK17" s="51"/>
      <c r="DYL17" s="51"/>
      <c r="DYM17" s="51"/>
      <c r="DYN17" s="51"/>
      <c r="DYO17" s="51"/>
      <c r="DYP17" s="51"/>
      <c r="DYQ17" s="51"/>
      <c r="DYR17" s="51"/>
      <c r="DYS17" s="51"/>
      <c r="DYT17" s="51"/>
      <c r="DYU17" s="51"/>
      <c r="DYV17" s="51"/>
      <c r="DYW17" s="51"/>
      <c r="DYX17" s="51"/>
      <c r="DYY17" s="51"/>
      <c r="DYZ17" s="51"/>
      <c r="DZA17" s="51"/>
      <c r="DZB17" s="51"/>
      <c r="DZC17" s="51"/>
      <c r="DZD17" s="51"/>
      <c r="DZE17" s="51"/>
      <c r="DZF17" s="51"/>
      <c r="DZG17" s="51"/>
      <c r="DZH17" s="51"/>
      <c r="DZI17" s="51"/>
      <c r="DZJ17" s="51"/>
      <c r="DZK17" s="51"/>
      <c r="DZL17" s="51"/>
      <c r="DZM17" s="51"/>
      <c r="DZN17" s="51"/>
      <c r="DZO17" s="51"/>
      <c r="DZP17" s="51"/>
      <c r="DZQ17" s="51"/>
      <c r="DZR17" s="51"/>
      <c r="DZS17" s="51"/>
      <c r="DZT17" s="51"/>
      <c r="DZU17" s="51"/>
      <c r="DZV17" s="51"/>
      <c r="DZW17" s="51"/>
      <c r="DZX17" s="51"/>
      <c r="DZY17" s="51"/>
      <c r="DZZ17" s="51"/>
      <c r="EAA17" s="51"/>
      <c r="EAB17" s="51"/>
      <c r="EAC17" s="51"/>
      <c r="EAD17" s="51"/>
      <c r="EAE17" s="51"/>
      <c r="EAF17" s="51"/>
      <c r="EAG17" s="51"/>
      <c r="EAH17" s="51"/>
      <c r="EAI17" s="51"/>
      <c r="EAJ17" s="51"/>
      <c r="EAK17" s="51"/>
      <c r="EAL17" s="51"/>
      <c r="EAM17" s="51"/>
      <c r="EAN17" s="51"/>
      <c r="EAO17" s="51"/>
      <c r="EAP17" s="51"/>
      <c r="EAQ17" s="51"/>
      <c r="EAR17" s="51"/>
      <c r="EAS17" s="51"/>
      <c r="EAT17" s="51"/>
      <c r="EAU17" s="51"/>
      <c r="EAV17" s="51"/>
      <c r="EAW17" s="51"/>
      <c r="EAX17" s="51"/>
      <c r="EAY17" s="51"/>
      <c r="EAZ17" s="51"/>
      <c r="EBA17" s="51"/>
      <c r="EBB17" s="51"/>
      <c r="EBC17" s="51"/>
      <c r="EBD17" s="51"/>
      <c r="EBE17" s="51"/>
      <c r="EBF17" s="51"/>
      <c r="EBG17" s="51"/>
      <c r="EBH17" s="51"/>
      <c r="EBI17" s="51"/>
      <c r="EBJ17" s="51"/>
      <c r="EBK17" s="51"/>
      <c r="EBL17" s="51"/>
      <c r="EBM17" s="51"/>
      <c r="EBN17" s="51"/>
      <c r="EBO17" s="51"/>
      <c r="EBP17" s="51"/>
      <c r="EBQ17" s="51"/>
      <c r="EBR17" s="51"/>
      <c r="EBS17" s="51"/>
      <c r="EBT17" s="51"/>
      <c r="EBU17" s="51"/>
      <c r="EBV17" s="51"/>
      <c r="EBW17" s="51"/>
      <c r="EBX17" s="51"/>
      <c r="EBY17" s="51"/>
      <c r="EBZ17" s="51"/>
      <c r="ECA17" s="51"/>
      <c r="ECB17" s="51"/>
      <c r="ECC17" s="51"/>
      <c r="ECD17" s="51"/>
      <c r="ECE17" s="51"/>
      <c r="ECF17" s="51"/>
      <c r="ECG17" s="51"/>
      <c r="ECH17" s="51"/>
      <c r="ECI17" s="51"/>
      <c r="ECJ17" s="51"/>
      <c r="ECK17" s="51"/>
      <c r="ECL17" s="51"/>
      <c r="ECM17" s="51"/>
      <c r="ECN17" s="51"/>
      <c r="ECO17" s="51"/>
      <c r="ECP17" s="51"/>
      <c r="ECQ17" s="51"/>
      <c r="ECR17" s="51"/>
      <c r="ECS17" s="51"/>
      <c r="ECT17" s="51"/>
      <c r="ECU17" s="51"/>
      <c r="ECV17" s="51"/>
      <c r="ECW17" s="51"/>
      <c r="ECX17" s="51"/>
      <c r="ECY17" s="51"/>
      <c r="ECZ17" s="51"/>
      <c r="EDA17" s="51"/>
      <c r="EDB17" s="51"/>
      <c r="EDC17" s="51"/>
      <c r="EDD17" s="51"/>
      <c r="EDE17" s="51"/>
      <c r="EDF17" s="51"/>
      <c r="EDG17" s="51"/>
      <c r="EDH17" s="51"/>
      <c r="EDI17" s="51"/>
      <c r="EDJ17" s="51"/>
      <c r="EDK17" s="51"/>
      <c r="EDL17" s="51"/>
      <c r="EDM17" s="51"/>
      <c r="EDN17" s="51"/>
      <c r="EDO17" s="51"/>
      <c r="EDP17" s="51"/>
      <c r="EDQ17" s="51"/>
      <c r="EDR17" s="51"/>
      <c r="EDS17" s="51"/>
      <c r="EDT17" s="51"/>
      <c r="EDU17" s="51"/>
      <c r="EDV17" s="51"/>
      <c r="EDW17" s="51"/>
      <c r="EDX17" s="51"/>
      <c r="EDY17" s="51"/>
      <c r="EDZ17" s="51"/>
      <c r="EEA17" s="51"/>
      <c r="EEB17" s="51"/>
      <c r="EEC17" s="51"/>
      <c r="EED17" s="51"/>
      <c r="EEE17" s="51"/>
      <c r="EEF17" s="51"/>
      <c r="EEG17" s="51"/>
      <c r="EEH17" s="51"/>
      <c r="EEI17" s="51"/>
      <c r="EEJ17" s="51"/>
      <c r="EEK17" s="51"/>
      <c r="EEL17" s="51"/>
      <c r="EEM17" s="51"/>
      <c r="EEN17" s="51"/>
      <c r="EEO17" s="51"/>
      <c r="EEP17" s="51"/>
      <c r="EEQ17" s="51"/>
      <c r="EER17" s="51"/>
      <c r="EES17" s="51"/>
      <c r="EET17" s="51"/>
      <c r="EEU17" s="51"/>
      <c r="EEV17" s="51"/>
      <c r="EEW17" s="51"/>
      <c r="EEX17" s="51"/>
      <c r="EEY17" s="51"/>
      <c r="EEZ17" s="51"/>
      <c r="EFA17" s="51"/>
      <c r="EFB17" s="51"/>
      <c r="EFC17" s="51"/>
      <c r="EFD17" s="51"/>
      <c r="EFE17" s="51"/>
      <c r="EFF17" s="51"/>
      <c r="EFG17" s="51"/>
      <c r="EFH17" s="51"/>
      <c r="EFI17" s="51"/>
      <c r="EFJ17" s="51"/>
      <c r="EFK17" s="51"/>
      <c r="EFL17" s="51"/>
      <c r="EFM17" s="51"/>
      <c r="EFN17" s="51"/>
      <c r="EFO17" s="51"/>
      <c r="EFP17" s="51"/>
      <c r="EFQ17" s="51"/>
      <c r="EFR17" s="51"/>
      <c r="EFS17" s="51"/>
      <c r="EFT17" s="51"/>
      <c r="EFU17" s="51"/>
      <c r="EFV17" s="51"/>
      <c r="EFW17" s="51"/>
      <c r="EFX17" s="51"/>
      <c r="EFY17" s="51"/>
      <c r="EFZ17" s="51"/>
      <c r="EGA17" s="51"/>
      <c r="EGB17" s="51"/>
      <c r="EGC17" s="51"/>
      <c r="EGD17" s="51"/>
      <c r="EGE17" s="51"/>
      <c r="EGF17" s="51"/>
      <c r="EGG17" s="51"/>
      <c r="EGH17" s="51"/>
      <c r="EGI17" s="51"/>
      <c r="EGJ17" s="51"/>
      <c r="EGK17" s="51"/>
      <c r="EGL17" s="51"/>
      <c r="EGM17" s="51"/>
      <c r="EGN17" s="51"/>
      <c r="EGO17" s="51"/>
      <c r="EGP17" s="51"/>
      <c r="EGQ17" s="51"/>
      <c r="EGR17" s="51"/>
      <c r="EGS17" s="51"/>
      <c r="EGT17" s="51"/>
      <c r="EGU17" s="51"/>
      <c r="EGV17" s="51"/>
      <c r="EGW17" s="51"/>
      <c r="EGX17" s="51"/>
      <c r="EGY17" s="51"/>
      <c r="EGZ17" s="51"/>
      <c r="EHA17" s="51"/>
      <c r="EHB17" s="51"/>
      <c r="EHC17" s="51"/>
      <c r="EHD17" s="51"/>
      <c r="EHE17" s="51"/>
      <c r="EHF17" s="51"/>
      <c r="EHG17" s="51"/>
      <c r="EHH17" s="51"/>
      <c r="EHI17" s="51"/>
      <c r="EHJ17" s="51"/>
      <c r="EHK17" s="51"/>
      <c r="EHL17" s="51"/>
      <c r="EHM17" s="51"/>
      <c r="EHN17" s="51"/>
      <c r="EHO17" s="51"/>
      <c r="EHP17" s="51"/>
      <c r="EHQ17" s="51"/>
      <c r="EHR17" s="51"/>
      <c r="EHS17" s="51"/>
      <c r="EHT17" s="51"/>
      <c r="EHU17" s="51"/>
      <c r="EHV17" s="51"/>
      <c r="EHW17" s="51"/>
      <c r="EHX17" s="51"/>
      <c r="EHY17" s="51"/>
      <c r="EHZ17" s="51"/>
      <c r="EIA17" s="51"/>
      <c r="EIB17" s="51"/>
      <c r="EIC17" s="51"/>
      <c r="EID17" s="51"/>
      <c r="EIE17" s="51"/>
      <c r="EIF17" s="51"/>
      <c r="EIG17" s="51"/>
      <c r="EIH17" s="51"/>
      <c r="EII17" s="51"/>
      <c r="EIJ17" s="51"/>
      <c r="EIK17" s="51"/>
      <c r="EIL17" s="51"/>
      <c r="EIM17" s="51"/>
      <c r="EIN17" s="51"/>
      <c r="EIO17" s="51"/>
      <c r="EIP17" s="51"/>
      <c r="EIQ17" s="51"/>
      <c r="EIR17" s="51"/>
      <c r="EIS17" s="51"/>
      <c r="EIT17" s="51"/>
      <c r="EIU17" s="51"/>
      <c r="EIV17" s="51"/>
      <c r="EIW17" s="51"/>
      <c r="EIX17" s="51"/>
      <c r="EIY17" s="51"/>
      <c r="EIZ17" s="51"/>
      <c r="EJA17" s="51"/>
      <c r="EJB17" s="51"/>
      <c r="EJC17" s="51"/>
      <c r="EJD17" s="51"/>
      <c r="EJE17" s="51"/>
      <c r="EJF17" s="51"/>
      <c r="EJG17" s="51"/>
      <c r="EJH17" s="51"/>
      <c r="EJI17" s="51"/>
      <c r="EJJ17" s="51"/>
      <c r="EJK17" s="51"/>
      <c r="EJL17" s="51"/>
      <c r="EJM17" s="51"/>
      <c r="EJN17" s="51"/>
      <c r="EJO17" s="51"/>
      <c r="EJP17" s="51"/>
      <c r="EJQ17" s="51"/>
      <c r="EJR17" s="51"/>
      <c r="EJS17" s="51"/>
      <c r="EJT17" s="51"/>
      <c r="EJU17" s="51"/>
      <c r="EJV17" s="51"/>
      <c r="EJW17" s="51"/>
      <c r="EJX17" s="51"/>
      <c r="EJY17" s="51"/>
      <c r="EJZ17" s="51"/>
      <c r="EKA17" s="51"/>
      <c r="EKB17" s="51"/>
      <c r="EKC17" s="51"/>
      <c r="EKD17" s="51"/>
      <c r="EKE17" s="51"/>
      <c r="EKF17" s="51"/>
      <c r="EKG17" s="51"/>
      <c r="EKH17" s="51"/>
      <c r="EKI17" s="51"/>
      <c r="EKJ17" s="51"/>
      <c r="EKK17" s="51"/>
      <c r="EKL17" s="51"/>
      <c r="EKM17" s="51"/>
      <c r="EKN17" s="51"/>
      <c r="EKO17" s="51"/>
      <c r="EKP17" s="51"/>
      <c r="EKQ17" s="51"/>
      <c r="EKR17" s="51"/>
      <c r="EKS17" s="51"/>
      <c r="EKT17" s="51"/>
      <c r="EKU17" s="51"/>
      <c r="EKV17" s="51"/>
      <c r="EKW17" s="51"/>
      <c r="EKX17" s="51"/>
      <c r="EKY17" s="51"/>
      <c r="EKZ17" s="51"/>
      <c r="ELA17" s="51"/>
      <c r="ELB17" s="51"/>
      <c r="ELC17" s="51"/>
      <c r="ELD17" s="51"/>
      <c r="ELE17" s="51"/>
      <c r="ELF17" s="51"/>
      <c r="ELG17" s="51"/>
      <c r="ELH17" s="51"/>
      <c r="ELI17" s="51"/>
      <c r="ELJ17" s="51"/>
      <c r="ELK17" s="51"/>
      <c r="ELL17" s="51"/>
      <c r="ELM17" s="51"/>
      <c r="ELN17" s="51"/>
      <c r="ELO17" s="51"/>
      <c r="ELP17" s="51"/>
      <c r="ELQ17" s="51"/>
      <c r="ELR17" s="51"/>
      <c r="ELS17" s="51"/>
      <c r="ELT17" s="51"/>
      <c r="ELU17" s="51"/>
      <c r="ELV17" s="51"/>
      <c r="ELW17" s="51"/>
      <c r="ELX17" s="51"/>
      <c r="ELY17" s="51"/>
      <c r="ELZ17" s="51"/>
      <c r="EMA17" s="51"/>
      <c r="EMB17" s="51"/>
      <c r="EMC17" s="51"/>
      <c r="EMD17" s="51"/>
      <c r="EME17" s="51"/>
      <c r="EMF17" s="51"/>
      <c r="EMG17" s="51"/>
      <c r="EMH17" s="51"/>
      <c r="EMI17" s="51"/>
      <c r="EMJ17" s="51"/>
      <c r="EMK17" s="51"/>
      <c r="EML17" s="51"/>
      <c r="EMM17" s="51"/>
      <c r="EMN17" s="51"/>
      <c r="EMO17" s="51"/>
      <c r="EMP17" s="51"/>
      <c r="EMQ17" s="51"/>
      <c r="EMR17" s="51"/>
      <c r="EMS17" s="51"/>
      <c r="EMT17" s="51"/>
      <c r="EMU17" s="51"/>
      <c r="EMV17" s="51"/>
      <c r="EMW17" s="51"/>
      <c r="EMX17" s="51"/>
      <c r="EMY17" s="51"/>
      <c r="EMZ17" s="51"/>
      <c r="ENA17" s="51"/>
      <c r="ENB17" s="51"/>
      <c r="ENC17" s="51"/>
      <c r="END17" s="51"/>
      <c r="ENE17" s="51"/>
      <c r="ENF17" s="51"/>
      <c r="ENG17" s="51"/>
      <c r="ENH17" s="51"/>
      <c r="ENI17" s="51"/>
      <c r="ENJ17" s="51"/>
      <c r="ENK17" s="51"/>
      <c r="ENL17" s="51"/>
      <c r="ENM17" s="51"/>
      <c r="ENN17" s="51"/>
      <c r="ENO17" s="51"/>
      <c r="ENP17" s="51"/>
      <c r="ENQ17" s="51"/>
      <c r="ENR17" s="51"/>
      <c r="ENS17" s="51"/>
      <c r="ENT17" s="51"/>
      <c r="ENU17" s="51"/>
      <c r="ENV17" s="51"/>
      <c r="ENW17" s="51"/>
      <c r="ENX17" s="51"/>
      <c r="ENY17" s="51"/>
      <c r="ENZ17" s="51"/>
      <c r="EOA17" s="51"/>
      <c r="EOB17" s="51"/>
      <c r="EOC17" s="51"/>
      <c r="EOD17" s="51"/>
      <c r="EOE17" s="51"/>
      <c r="EOF17" s="51"/>
      <c r="EOG17" s="51"/>
      <c r="EOH17" s="51"/>
      <c r="EOI17" s="51"/>
      <c r="EOJ17" s="51"/>
      <c r="EOK17" s="51"/>
      <c r="EOL17" s="51"/>
      <c r="EOM17" s="51"/>
      <c r="EON17" s="51"/>
      <c r="EOO17" s="51"/>
      <c r="EOP17" s="51"/>
      <c r="EOQ17" s="51"/>
      <c r="EOR17" s="51"/>
      <c r="EOS17" s="51"/>
      <c r="EOT17" s="51"/>
      <c r="EOU17" s="51"/>
      <c r="EOV17" s="51"/>
      <c r="EOW17" s="51"/>
      <c r="EOX17" s="51"/>
      <c r="EOY17" s="51"/>
      <c r="EOZ17" s="51"/>
      <c r="EPA17" s="51"/>
      <c r="EPB17" s="51"/>
      <c r="EPC17" s="51"/>
      <c r="EPD17" s="51"/>
      <c r="EPE17" s="51"/>
      <c r="EPF17" s="51"/>
      <c r="EPG17" s="51"/>
      <c r="EPH17" s="51"/>
      <c r="EPI17" s="51"/>
      <c r="EPJ17" s="51"/>
      <c r="EPK17" s="51"/>
      <c r="EPL17" s="51"/>
      <c r="EPM17" s="51"/>
      <c r="EPN17" s="51"/>
      <c r="EPO17" s="51"/>
      <c r="EPP17" s="51"/>
      <c r="EPQ17" s="51"/>
      <c r="EPR17" s="51"/>
      <c r="EPS17" s="51"/>
      <c r="EPT17" s="51"/>
      <c r="EPU17" s="51"/>
      <c r="EPV17" s="51"/>
      <c r="EPW17" s="51"/>
      <c r="EPX17" s="51"/>
      <c r="EPY17" s="51"/>
      <c r="EPZ17" s="51"/>
      <c r="EQA17" s="51"/>
      <c r="EQB17" s="51"/>
      <c r="EQC17" s="51"/>
      <c r="EQD17" s="51"/>
      <c r="EQE17" s="51"/>
      <c r="EQF17" s="51"/>
      <c r="EQG17" s="51"/>
      <c r="EQH17" s="51"/>
      <c r="EQI17" s="51"/>
      <c r="EQJ17" s="51"/>
      <c r="EQK17" s="51"/>
      <c r="EQL17" s="51"/>
      <c r="EQM17" s="51"/>
      <c r="EQN17" s="51"/>
      <c r="EQO17" s="51"/>
      <c r="EQP17" s="51"/>
      <c r="EQQ17" s="51"/>
      <c r="EQR17" s="51"/>
      <c r="EQS17" s="51"/>
      <c r="EQT17" s="51"/>
      <c r="EQU17" s="51"/>
      <c r="EQV17" s="51"/>
      <c r="EQW17" s="51"/>
      <c r="EQX17" s="51"/>
      <c r="EQY17" s="51"/>
      <c r="EQZ17" s="51"/>
      <c r="ERA17" s="51"/>
      <c r="ERB17" s="51"/>
      <c r="ERC17" s="51"/>
      <c r="ERD17" s="51"/>
      <c r="ERE17" s="51"/>
      <c r="ERF17" s="51"/>
      <c r="ERG17" s="51"/>
      <c r="ERH17" s="51"/>
      <c r="ERI17" s="51"/>
      <c r="ERJ17" s="51"/>
      <c r="ERK17" s="51"/>
      <c r="ERL17" s="51"/>
      <c r="ERM17" s="51"/>
      <c r="ERN17" s="51"/>
      <c r="ERO17" s="51"/>
      <c r="ERP17" s="51"/>
      <c r="ERQ17" s="51"/>
      <c r="ERR17" s="51"/>
      <c r="ERS17" s="51"/>
      <c r="ERT17" s="51"/>
      <c r="ERU17" s="51"/>
      <c r="ERV17" s="51"/>
      <c r="ERW17" s="51"/>
      <c r="ERX17" s="51"/>
      <c r="ERY17" s="51"/>
      <c r="ERZ17" s="51"/>
      <c r="ESA17" s="51"/>
      <c r="ESB17" s="51"/>
      <c r="ESC17" s="51"/>
      <c r="ESD17" s="51"/>
      <c r="ESE17" s="51"/>
      <c r="ESF17" s="51"/>
      <c r="ESG17" s="51"/>
      <c r="ESH17" s="51"/>
      <c r="ESI17" s="51"/>
      <c r="ESJ17" s="51"/>
      <c r="ESK17" s="51"/>
      <c r="ESL17" s="51"/>
      <c r="ESM17" s="51"/>
      <c r="ESN17" s="51"/>
      <c r="ESO17" s="51"/>
      <c r="ESP17" s="51"/>
      <c r="ESQ17" s="51"/>
      <c r="ESR17" s="51"/>
      <c r="ESS17" s="51"/>
      <c r="EST17" s="51"/>
      <c r="ESU17" s="51"/>
      <c r="ESV17" s="51"/>
      <c r="ESW17" s="51"/>
      <c r="ESX17" s="51"/>
      <c r="ESY17" s="51"/>
      <c r="ESZ17" s="51"/>
      <c r="ETA17" s="51"/>
      <c r="ETB17" s="51"/>
      <c r="ETC17" s="51"/>
      <c r="ETD17" s="51"/>
      <c r="ETE17" s="51"/>
      <c r="ETF17" s="51"/>
      <c r="ETG17" s="51"/>
      <c r="ETH17" s="51"/>
      <c r="ETI17" s="51"/>
      <c r="ETJ17" s="51"/>
      <c r="ETK17" s="51"/>
      <c r="ETL17" s="51"/>
      <c r="ETM17" s="51"/>
      <c r="ETN17" s="51"/>
      <c r="ETO17" s="51"/>
      <c r="ETP17" s="51"/>
      <c r="ETQ17" s="51"/>
      <c r="ETR17" s="51"/>
      <c r="ETS17" s="51"/>
      <c r="ETT17" s="51"/>
      <c r="ETU17" s="51"/>
      <c r="ETV17" s="51"/>
      <c r="ETW17" s="51"/>
      <c r="ETX17" s="51"/>
      <c r="ETY17" s="51"/>
      <c r="ETZ17" s="51"/>
      <c r="EUA17" s="51"/>
      <c r="EUB17" s="51"/>
      <c r="EUC17" s="51"/>
      <c r="EUD17" s="51"/>
      <c r="EUE17" s="51"/>
      <c r="EUF17" s="51"/>
      <c r="EUG17" s="51"/>
      <c r="EUH17" s="51"/>
      <c r="EUI17" s="51"/>
      <c r="EUJ17" s="51"/>
      <c r="EUK17" s="51"/>
      <c r="EUL17" s="51"/>
      <c r="EUM17" s="51"/>
      <c r="EUN17" s="51"/>
      <c r="EUO17" s="51"/>
      <c r="EUP17" s="51"/>
      <c r="EUQ17" s="51"/>
      <c r="EUR17" s="51"/>
      <c r="EUS17" s="51"/>
      <c r="EUT17" s="51"/>
      <c r="EUU17" s="51"/>
      <c r="EUV17" s="51"/>
      <c r="EUW17" s="51"/>
      <c r="EUX17" s="51"/>
      <c r="EUY17" s="51"/>
      <c r="EUZ17" s="51"/>
      <c r="EVA17" s="51"/>
      <c r="EVB17" s="51"/>
      <c r="EVC17" s="51"/>
      <c r="EVD17" s="51"/>
      <c r="EVE17" s="51"/>
      <c r="EVF17" s="51"/>
      <c r="EVG17" s="51"/>
      <c r="EVH17" s="51"/>
      <c r="EVI17" s="51"/>
      <c r="EVJ17" s="51"/>
      <c r="EVK17" s="51"/>
      <c r="EVL17" s="51"/>
      <c r="EVM17" s="51"/>
      <c r="EVN17" s="51"/>
      <c r="EVO17" s="51"/>
      <c r="EVP17" s="51"/>
      <c r="EVQ17" s="51"/>
      <c r="EVR17" s="51"/>
      <c r="EVS17" s="51"/>
      <c r="EVT17" s="51"/>
      <c r="EVU17" s="51"/>
      <c r="EVV17" s="51"/>
      <c r="EVW17" s="51"/>
      <c r="EVX17" s="51"/>
      <c r="EVY17" s="51"/>
      <c r="EVZ17" s="51"/>
      <c r="EWA17" s="51"/>
      <c r="EWB17" s="51"/>
      <c r="EWC17" s="51"/>
      <c r="EWD17" s="51"/>
      <c r="EWE17" s="51"/>
      <c r="EWF17" s="51"/>
      <c r="EWG17" s="51"/>
      <c r="EWH17" s="51"/>
      <c r="EWI17" s="51"/>
      <c r="EWJ17" s="51"/>
      <c r="EWK17" s="51"/>
      <c r="EWL17" s="51"/>
      <c r="EWM17" s="51"/>
      <c r="EWN17" s="51"/>
      <c r="EWO17" s="51"/>
      <c r="EWP17" s="51"/>
      <c r="EWQ17" s="51"/>
      <c r="EWR17" s="51"/>
      <c r="EWS17" s="51"/>
      <c r="EWT17" s="51"/>
      <c r="EWU17" s="51"/>
      <c r="EWV17" s="51"/>
      <c r="EWW17" s="51"/>
      <c r="EWX17" s="51"/>
      <c r="EWY17" s="51"/>
      <c r="EWZ17" s="51"/>
      <c r="EXA17" s="51"/>
      <c r="EXB17" s="51"/>
      <c r="EXC17" s="51"/>
      <c r="EXD17" s="51"/>
      <c r="EXE17" s="51"/>
      <c r="EXF17" s="51"/>
      <c r="EXG17" s="51"/>
      <c r="EXH17" s="51"/>
      <c r="EXI17" s="51"/>
      <c r="EXJ17" s="51"/>
      <c r="EXK17" s="51"/>
      <c r="EXL17" s="51"/>
      <c r="EXM17" s="51"/>
      <c r="EXN17" s="51"/>
      <c r="EXO17" s="51"/>
      <c r="EXP17" s="51"/>
      <c r="EXQ17" s="51"/>
      <c r="EXR17" s="51"/>
      <c r="EXS17" s="51"/>
      <c r="EXT17" s="51"/>
      <c r="EXU17" s="51"/>
      <c r="EXV17" s="51"/>
      <c r="EXW17" s="51"/>
      <c r="EXX17" s="51"/>
      <c r="EXY17" s="51"/>
      <c r="EXZ17" s="51"/>
      <c r="EYA17" s="51"/>
      <c r="EYB17" s="51"/>
      <c r="EYC17" s="51"/>
      <c r="EYD17" s="51"/>
      <c r="EYE17" s="51"/>
      <c r="EYF17" s="51"/>
      <c r="EYG17" s="51"/>
      <c r="EYH17" s="51"/>
      <c r="EYI17" s="51"/>
      <c r="EYJ17" s="51"/>
      <c r="EYK17" s="51"/>
      <c r="EYL17" s="51"/>
      <c r="EYM17" s="51"/>
      <c r="EYN17" s="51"/>
      <c r="EYO17" s="51"/>
      <c r="EYP17" s="51"/>
      <c r="EYQ17" s="51"/>
      <c r="EYR17" s="51"/>
      <c r="EYS17" s="51"/>
      <c r="EYT17" s="51"/>
      <c r="EYU17" s="51"/>
      <c r="EYV17" s="51"/>
      <c r="EYW17" s="51"/>
      <c r="EYX17" s="51"/>
      <c r="EYY17" s="51"/>
      <c r="EYZ17" s="51"/>
      <c r="EZA17" s="51"/>
      <c r="EZB17" s="51"/>
      <c r="EZC17" s="51"/>
      <c r="EZD17" s="51"/>
      <c r="EZE17" s="51"/>
      <c r="EZF17" s="51"/>
      <c r="EZG17" s="51"/>
      <c r="EZH17" s="51"/>
      <c r="EZI17" s="51"/>
      <c r="EZJ17" s="51"/>
      <c r="EZK17" s="51"/>
      <c r="EZL17" s="51"/>
      <c r="EZM17" s="51"/>
      <c r="EZN17" s="51"/>
      <c r="EZO17" s="51"/>
      <c r="EZP17" s="51"/>
      <c r="EZQ17" s="51"/>
      <c r="EZR17" s="51"/>
      <c r="EZS17" s="51"/>
      <c r="EZT17" s="51"/>
      <c r="EZU17" s="51"/>
      <c r="EZV17" s="51"/>
      <c r="EZW17" s="51"/>
      <c r="EZX17" s="51"/>
      <c r="EZY17" s="51"/>
      <c r="EZZ17" s="51"/>
      <c r="FAA17" s="51"/>
      <c r="FAB17" s="51"/>
      <c r="FAC17" s="51"/>
      <c r="FAD17" s="51"/>
      <c r="FAE17" s="51"/>
      <c r="FAF17" s="51"/>
      <c r="FAG17" s="51"/>
      <c r="FAH17" s="51"/>
      <c r="FAI17" s="51"/>
      <c r="FAJ17" s="51"/>
      <c r="FAK17" s="51"/>
      <c r="FAL17" s="51"/>
      <c r="FAM17" s="51"/>
      <c r="FAN17" s="51"/>
      <c r="FAO17" s="51"/>
      <c r="FAP17" s="51"/>
      <c r="FAQ17" s="51"/>
      <c r="FAR17" s="51"/>
      <c r="FAS17" s="51"/>
      <c r="FAT17" s="51"/>
      <c r="FAU17" s="51"/>
      <c r="FAV17" s="51"/>
      <c r="FAW17" s="51"/>
      <c r="FAX17" s="51"/>
      <c r="FAY17" s="51"/>
      <c r="FAZ17" s="51"/>
      <c r="FBA17" s="51"/>
      <c r="FBB17" s="51"/>
      <c r="FBC17" s="51"/>
      <c r="FBD17" s="51"/>
      <c r="FBE17" s="51"/>
      <c r="FBF17" s="51"/>
      <c r="FBG17" s="51"/>
      <c r="FBH17" s="51"/>
      <c r="FBI17" s="51"/>
      <c r="FBJ17" s="51"/>
      <c r="FBK17" s="51"/>
      <c r="FBL17" s="51"/>
      <c r="FBM17" s="51"/>
      <c r="FBN17" s="51"/>
      <c r="FBO17" s="51"/>
      <c r="FBP17" s="51"/>
      <c r="FBQ17" s="51"/>
      <c r="FBR17" s="51"/>
      <c r="FBS17" s="51"/>
      <c r="FBT17" s="51"/>
      <c r="FBU17" s="51"/>
      <c r="FBV17" s="51"/>
      <c r="FBW17" s="51"/>
      <c r="FBX17" s="51"/>
      <c r="FBY17" s="51"/>
      <c r="FBZ17" s="51"/>
      <c r="FCA17" s="51"/>
      <c r="FCB17" s="51"/>
      <c r="FCC17" s="51"/>
      <c r="FCD17" s="51"/>
      <c r="FCE17" s="51"/>
      <c r="FCF17" s="51"/>
      <c r="FCG17" s="51"/>
      <c r="FCH17" s="51"/>
      <c r="FCI17" s="51"/>
      <c r="FCJ17" s="51"/>
      <c r="FCK17" s="51"/>
      <c r="FCL17" s="51"/>
      <c r="FCM17" s="51"/>
      <c r="FCN17" s="51"/>
      <c r="FCO17" s="51"/>
      <c r="FCP17" s="51"/>
      <c r="FCQ17" s="51"/>
      <c r="FCR17" s="51"/>
      <c r="FCS17" s="51"/>
      <c r="FCT17" s="51"/>
      <c r="FCU17" s="51"/>
      <c r="FCV17" s="51"/>
      <c r="FCW17" s="51"/>
      <c r="FCX17" s="51"/>
      <c r="FCY17" s="51"/>
      <c r="FCZ17" s="51"/>
      <c r="FDA17" s="51"/>
      <c r="FDB17" s="51"/>
      <c r="FDC17" s="51"/>
      <c r="FDD17" s="51"/>
      <c r="FDE17" s="51"/>
      <c r="FDF17" s="51"/>
      <c r="FDG17" s="51"/>
      <c r="FDH17" s="51"/>
      <c r="FDI17" s="51"/>
      <c r="FDJ17" s="51"/>
      <c r="FDK17" s="51"/>
      <c r="FDL17" s="51"/>
      <c r="FDM17" s="51"/>
      <c r="FDN17" s="51"/>
      <c r="FDO17" s="51"/>
      <c r="FDP17" s="51"/>
      <c r="FDQ17" s="51"/>
      <c r="FDR17" s="51"/>
      <c r="FDS17" s="51"/>
      <c r="FDT17" s="51"/>
      <c r="FDU17" s="51"/>
      <c r="FDV17" s="51"/>
      <c r="FDW17" s="51"/>
      <c r="FDX17" s="51"/>
      <c r="FDY17" s="51"/>
      <c r="FDZ17" s="51"/>
      <c r="FEA17" s="51"/>
      <c r="FEB17" s="51"/>
      <c r="FEC17" s="51"/>
      <c r="FED17" s="51"/>
      <c r="FEE17" s="51"/>
      <c r="FEF17" s="51"/>
      <c r="FEG17" s="51"/>
      <c r="FEH17" s="51"/>
      <c r="FEI17" s="51"/>
      <c r="FEJ17" s="51"/>
      <c r="FEK17" s="51"/>
      <c r="FEL17" s="51"/>
      <c r="FEM17" s="51"/>
      <c r="FEN17" s="51"/>
      <c r="FEO17" s="51"/>
      <c r="FEP17" s="51"/>
      <c r="FEQ17" s="51"/>
      <c r="FER17" s="51"/>
      <c r="FES17" s="51"/>
      <c r="FET17" s="51"/>
      <c r="FEU17" s="51"/>
      <c r="FEV17" s="51"/>
      <c r="FEW17" s="51"/>
      <c r="FEX17" s="51"/>
      <c r="FEY17" s="51"/>
      <c r="FEZ17" s="51"/>
      <c r="FFA17" s="51"/>
      <c r="FFB17" s="51"/>
      <c r="FFC17" s="51"/>
      <c r="FFD17" s="51"/>
      <c r="FFE17" s="51"/>
      <c r="FFF17" s="51"/>
      <c r="FFG17" s="51"/>
      <c r="FFH17" s="51"/>
      <c r="FFI17" s="51"/>
      <c r="FFJ17" s="51"/>
      <c r="FFK17" s="51"/>
      <c r="FFL17" s="51"/>
      <c r="FFM17" s="51"/>
      <c r="FFN17" s="51"/>
      <c r="FFO17" s="51"/>
      <c r="FFP17" s="51"/>
      <c r="FFQ17" s="51"/>
      <c r="FFR17" s="51"/>
      <c r="FFS17" s="51"/>
      <c r="FFT17" s="51"/>
      <c r="FFU17" s="51"/>
      <c r="FFV17" s="51"/>
      <c r="FFW17" s="51"/>
      <c r="FFX17" s="51"/>
      <c r="FFY17" s="51"/>
      <c r="FFZ17" s="51"/>
      <c r="FGA17" s="51"/>
      <c r="FGB17" s="51"/>
      <c r="FGC17" s="51"/>
      <c r="FGD17" s="51"/>
      <c r="FGE17" s="51"/>
      <c r="FGF17" s="51"/>
      <c r="FGG17" s="51"/>
      <c r="FGH17" s="51"/>
      <c r="FGI17" s="51"/>
      <c r="FGJ17" s="51"/>
      <c r="FGK17" s="51"/>
      <c r="FGL17" s="51"/>
      <c r="FGM17" s="51"/>
      <c r="FGN17" s="51"/>
      <c r="FGO17" s="51"/>
      <c r="FGP17" s="51"/>
      <c r="FGQ17" s="51"/>
      <c r="FGR17" s="51"/>
      <c r="FGS17" s="51"/>
      <c r="FGT17" s="51"/>
      <c r="FGU17" s="51"/>
      <c r="FGV17" s="51"/>
      <c r="FGW17" s="51"/>
      <c r="FGX17" s="51"/>
      <c r="FGY17" s="51"/>
      <c r="FGZ17" s="51"/>
      <c r="FHA17" s="51"/>
      <c r="FHB17" s="51"/>
      <c r="FHC17" s="51"/>
      <c r="FHD17" s="51"/>
      <c r="FHE17" s="51"/>
      <c r="FHF17" s="51"/>
      <c r="FHG17" s="51"/>
      <c r="FHH17" s="51"/>
      <c r="FHI17" s="51"/>
      <c r="FHJ17" s="51"/>
      <c r="FHK17" s="51"/>
      <c r="FHL17" s="51"/>
      <c r="FHM17" s="51"/>
      <c r="FHN17" s="51"/>
      <c r="FHO17" s="51"/>
      <c r="FHP17" s="51"/>
      <c r="FHQ17" s="51"/>
      <c r="FHR17" s="51"/>
      <c r="FHS17" s="51"/>
      <c r="FHT17" s="51"/>
      <c r="FHU17" s="51"/>
      <c r="FHV17" s="51"/>
      <c r="FHW17" s="51"/>
      <c r="FHX17" s="51"/>
      <c r="FHY17" s="51"/>
      <c r="FHZ17" s="51"/>
      <c r="FIA17" s="51"/>
      <c r="FIB17" s="51"/>
      <c r="FIC17" s="51"/>
      <c r="FID17" s="51"/>
      <c r="FIE17" s="51"/>
      <c r="FIF17" s="51"/>
      <c r="FIG17" s="51"/>
      <c r="FIH17" s="51"/>
      <c r="FII17" s="51"/>
      <c r="FIJ17" s="51"/>
      <c r="FIK17" s="51"/>
      <c r="FIL17" s="51"/>
      <c r="FIM17" s="51"/>
      <c r="FIN17" s="51"/>
      <c r="FIO17" s="51"/>
      <c r="FIP17" s="51"/>
      <c r="FIQ17" s="51"/>
      <c r="FIR17" s="51"/>
      <c r="FIS17" s="51"/>
      <c r="FIT17" s="51"/>
      <c r="FIU17" s="51"/>
      <c r="FIV17" s="51"/>
      <c r="FIW17" s="51"/>
      <c r="FIX17" s="51"/>
      <c r="FIY17" s="51"/>
      <c r="FIZ17" s="51"/>
      <c r="FJA17" s="51"/>
      <c r="FJB17" s="51"/>
      <c r="FJC17" s="51"/>
      <c r="FJD17" s="51"/>
      <c r="FJE17" s="51"/>
      <c r="FJF17" s="51"/>
      <c r="FJG17" s="51"/>
      <c r="FJH17" s="51"/>
      <c r="FJI17" s="51"/>
      <c r="FJJ17" s="51"/>
      <c r="FJK17" s="51"/>
      <c r="FJL17" s="51"/>
      <c r="FJM17" s="51"/>
      <c r="FJN17" s="51"/>
      <c r="FJO17" s="51"/>
      <c r="FJP17" s="51"/>
      <c r="FJQ17" s="51"/>
      <c r="FJR17" s="51"/>
      <c r="FJS17" s="51"/>
      <c r="FJT17" s="51"/>
      <c r="FJU17" s="51"/>
      <c r="FJV17" s="51"/>
      <c r="FJW17" s="51"/>
      <c r="FJX17" s="51"/>
      <c r="FJY17" s="51"/>
      <c r="FJZ17" s="51"/>
      <c r="FKA17" s="51"/>
      <c r="FKB17" s="51"/>
      <c r="FKC17" s="51"/>
      <c r="FKD17" s="51"/>
      <c r="FKE17" s="51"/>
      <c r="FKF17" s="51"/>
      <c r="FKG17" s="51"/>
      <c r="FKH17" s="51"/>
      <c r="FKI17" s="51"/>
      <c r="FKJ17" s="51"/>
      <c r="FKK17" s="51"/>
      <c r="FKL17" s="51"/>
      <c r="FKM17" s="51"/>
      <c r="FKN17" s="51"/>
      <c r="FKO17" s="51"/>
      <c r="FKP17" s="51"/>
      <c r="FKQ17" s="51"/>
      <c r="FKR17" s="51"/>
      <c r="FKS17" s="51"/>
      <c r="FKT17" s="51"/>
      <c r="FKU17" s="51"/>
      <c r="FKV17" s="51"/>
      <c r="FKW17" s="51"/>
      <c r="FKX17" s="51"/>
      <c r="FKY17" s="51"/>
      <c r="FKZ17" s="51"/>
      <c r="FLA17" s="51"/>
      <c r="FLB17" s="51"/>
      <c r="FLC17" s="51"/>
      <c r="FLD17" s="51"/>
      <c r="FLE17" s="51"/>
      <c r="FLF17" s="51"/>
      <c r="FLG17" s="51"/>
      <c r="FLH17" s="51"/>
      <c r="FLI17" s="51"/>
      <c r="FLJ17" s="51"/>
      <c r="FLK17" s="51"/>
      <c r="FLL17" s="51"/>
      <c r="FLM17" s="51"/>
      <c r="FLN17" s="51"/>
      <c r="FLO17" s="51"/>
      <c r="FLP17" s="51"/>
      <c r="FLQ17" s="51"/>
      <c r="FLR17" s="51"/>
      <c r="FLS17" s="51"/>
      <c r="FLT17" s="51"/>
      <c r="FLU17" s="51"/>
      <c r="FLV17" s="51"/>
      <c r="FLW17" s="51"/>
      <c r="FLX17" s="51"/>
      <c r="FLY17" s="51"/>
      <c r="FLZ17" s="51"/>
      <c r="FMA17" s="51"/>
      <c r="FMB17" s="51"/>
      <c r="FMC17" s="51"/>
      <c r="FMD17" s="51"/>
      <c r="FME17" s="51"/>
      <c r="FMF17" s="51"/>
      <c r="FMG17" s="51"/>
      <c r="FMH17" s="51"/>
      <c r="FMI17" s="51"/>
      <c r="FMJ17" s="51"/>
      <c r="FMK17" s="51"/>
      <c r="FML17" s="51"/>
      <c r="FMM17" s="51"/>
      <c r="FMN17" s="51"/>
      <c r="FMO17" s="51"/>
      <c r="FMP17" s="51"/>
      <c r="FMQ17" s="51"/>
      <c r="FMR17" s="51"/>
      <c r="FMS17" s="51"/>
      <c r="FMT17" s="51"/>
      <c r="FMU17" s="51"/>
      <c r="FMV17" s="51"/>
      <c r="FMW17" s="51"/>
      <c r="FMX17" s="51"/>
      <c r="FMY17" s="51"/>
      <c r="FMZ17" s="51"/>
      <c r="FNA17" s="51"/>
      <c r="FNB17" s="51"/>
      <c r="FNC17" s="51"/>
      <c r="FND17" s="51"/>
      <c r="FNE17" s="51"/>
      <c r="FNF17" s="51"/>
      <c r="FNG17" s="51"/>
      <c r="FNH17" s="51"/>
      <c r="FNI17" s="51"/>
      <c r="FNJ17" s="51"/>
      <c r="FNK17" s="51"/>
      <c r="FNL17" s="51"/>
      <c r="FNM17" s="51"/>
      <c r="FNN17" s="51"/>
      <c r="FNO17" s="51"/>
      <c r="FNP17" s="51"/>
      <c r="FNQ17" s="51"/>
      <c r="FNR17" s="51"/>
      <c r="FNS17" s="51"/>
      <c r="FNT17" s="51"/>
      <c r="FNU17" s="51"/>
      <c r="FNV17" s="51"/>
      <c r="FNW17" s="51"/>
      <c r="FNX17" s="51"/>
      <c r="FNY17" s="51"/>
      <c r="FNZ17" s="51"/>
      <c r="FOA17" s="51"/>
      <c r="FOB17" s="51"/>
      <c r="FOC17" s="51"/>
      <c r="FOD17" s="51"/>
      <c r="FOE17" s="51"/>
      <c r="FOF17" s="51"/>
      <c r="FOG17" s="51"/>
      <c r="FOH17" s="51"/>
      <c r="FOI17" s="51"/>
      <c r="FOJ17" s="51"/>
      <c r="FOK17" s="51"/>
      <c r="FOL17" s="51"/>
      <c r="FOM17" s="51"/>
      <c r="FON17" s="51"/>
      <c r="FOO17" s="51"/>
      <c r="FOP17" s="51"/>
      <c r="FOQ17" s="51"/>
      <c r="FOR17" s="51"/>
      <c r="FOS17" s="51"/>
      <c r="FOT17" s="51"/>
      <c r="FOU17" s="51"/>
      <c r="FOV17" s="51"/>
      <c r="FOW17" s="51"/>
      <c r="FOX17" s="51"/>
      <c r="FOY17" s="51"/>
      <c r="FOZ17" s="51"/>
      <c r="FPA17" s="51"/>
      <c r="FPB17" s="51"/>
      <c r="FPC17" s="51"/>
      <c r="FPD17" s="51"/>
      <c r="FPE17" s="51"/>
      <c r="FPF17" s="51"/>
      <c r="FPG17" s="51"/>
      <c r="FPH17" s="51"/>
      <c r="FPI17" s="51"/>
      <c r="FPJ17" s="51"/>
      <c r="FPK17" s="51"/>
      <c r="FPL17" s="51"/>
      <c r="FPM17" s="51"/>
      <c r="FPN17" s="51"/>
      <c r="FPO17" s="51"/>
      <c r="FPP17" s="51"/>
      <c r="FPQ17" s="51"/>
      <c r="FPR17" s="51"/>
      <c r="FPS17" s="51"/>
      <c r="FPT17" s="51"/>
      <c r="FPU17" s="51"/>
      <c r="FPV17" s="51"/>
      <c r="FPW17" s="51"/>
      <c r="FPX17" s="51"/>
      <c r="FPY17" s="51"/>
      <c r="FPZ17" s="51"/>
      <c r="FQA17" s="51"/>
      <c r="FQB17" s="51"/>
      <c r="FQC17" s="51"/>
      <c r="FQD17" s="51"/>
      <c r="FQE17" s="51"/>
      <c r="FQF17" s="51"/>
      <c r="FQG17" s="51"/>
      <c r="FQH17" s="51"/>
      <c r="FQI17" s="51"/>
      <c r="FQJ17" s="51"/>
      <c r="FQK17" s="51"/>
      <c r="FQL17" s="51"/>
      <c r="FQM17" s="51"/>
      <c r="FQN17" s="51"/>
      <c r="FQO17" s="51"/>
      <c r="FQP17" s="51"/>
      <c r="FQQ17" s="51"/>
      <c r="FQR17" s="51"/>
      <c r="FQS17" s="51"/>
      <c r="FQT17" s="51"/>
      <c r="FQU17" s="51"/>
      <c r="FQV17" s="51"/>
      <c r="FQW17" s="51"/>
      <c r="FQX17" s="51"/>
      <c r="FQY17" s="51"/>
      <c r="FQZ17" s="51"/>
      <c r="FRA17" s="51"/>
      <c r="FRB17" s="51"/>
      <c r="FRC17" s="51"/>
      <c r="FRD17" s="51"/>
      <c r="FRE17" s="51"/>
      <c r="FRF17" s="51"/>
      <c r="FRG17" s="51"/>
      <c r="FRH17" s="51"/>
      <c r="FRI17" s="51"/>
      <c r="FRJ17" s="51"/>
      <c r="FRK17" s="51"/>
      <c r="FRL17" s="51"/>
      <c r="FRM17" s="51"/>
      <c r="FRN17" s="51"/>
      <c r="FRO17" s="51"/>
      <c r="FRP17" s="51"/>
      <c r="FRQ17" s="51"/>
      <c r="FRR17" s="51"/>
      <c r="FRS17" s="51"/>
      <c r="FRT17" s="51"/>
      <c r="FRU17" s="51"/>
      <c r="FRV17" s="51"/>
      <c r="FRW17" s="51"/>
      <c r="FRX17" s="51"/>
      <c r="FRY17" s="51"/>
      <c r="FRZ17" s="51"/>
      <c r="FSA17" s="51"/>
      <c r="FSB17" s="51"/>
      <c r="FSC17" s="51"/>
      <c r="FSD17" s="51"/>
      <c r="FSE17" s="51"/>
      <c r="FSF17" s="51"/>
      <c r="FSG17" s="51"/>
      <c r="FSH17" s="51"/>
      <c r="FSI17" s="51"/>
      <c r="FSJ17" s="51"/>
      <c r="FSK17" s="51"/>
      <c r="FSL17" s="51"/>
      <c r="FSM17" s="51"/>
      <c r="FSN17" s="51"/>
      <c r="FSO17" s="51"/>
      <c r="FSP17" s="51"/>
      <c r="FSQ17" s="51"/>
      <c r="FSR17" s="51"/>
      <c r="FSS17" s="51"/>
      <c r="FST17" s="51"/>
      <c r="FSU17" s="51"/>
      <c r="FSV17" s="51"/>
      <c r="FSW17" s="51"/>
      <c r="FSX17" s="51"/>
      <c r="FSY17" s="51"/>
      <c r="FSZ17" s="51"/>
      <c r="FTA17" s="51"/>
      <c r="FTB17" s="51"/>
      <c r="FTC17" s="51"/>
      <c r="FTD17" s="51"/>
      <c r="FTE17" s="51"/>
      <c r="FTF17" s="51"/>
      <c r="FTG17" s="51"/>
      <c r="FTH17" s="51"/>
      <c r="FTI17" s="51"/>
      <c r="FTJ17" s="51"/>
      <c r="FTK17" s="51"/>
      <c r="FTL17" s="51"/>
      <c r="FTM17" s="51"/>
      <c r="FTN17" s="51"/>
      <c r="FTO17" s="51"/>
      <c r="FTP17" s="51"/>
      <c r="FTQ17" s="51"/>
      <c r="FTR17" s="51"/>
      <c r="FTS17" s="51"/>
      <c r="FTT17" s="51"/>
      <c r="FTU17" s="51"/>
      <c r="FTV17" s="51"/>
      <c r="FTW17" s="51"/>
      <c r="FTX17" s="51"/>
      <c r="FTY17" s="51"/>
      <c r="FTZ17" s="51"/>
      <c r="FUA17" s="51"/>
      <c r="FUB17" s="51"/>
      <c r="FUC17" s="51"/>
      <c r="FUD17" s="51"/>
      <c r="FUE17" s="51"/>
      <c r="FUF17" s="51"/>
      <c r="FUG17" s="51"/>
      <c r="FUH17" s="51"/>
      <c r="FUI17" s="51"/>
      <c r="FUJ17" s="51"/>
      <c r="FUK17" s="51"/>
      <c r="FUL17" s="51"/>
      <c r="FUM17" s="51"/>
      <c r="FUN17" s="51"/>
      <c r="FUO17" s="51"/>
      <c r="FUP17" s="51"/>
      <c r="FUQ17" s="51"/>
      <c r="FUR17" s="51"/>
      <c r="FUS17" s="51"/>
      <c r="FUT17" s="51"/>
      <c r="FUU17" s="51"/>
      <c r="FUV17" s="51"/>
      <c r="FUW17" s="51"/>
      <c r="FUX17" s="51"/>
      <c r="FUY17" s="51"/>
      <c r="FUZ17" s="51"/>
      <c r="FVA17" s="51"/>
      <c r="FVB17" s="51"/>
      <c r="FVC17" s="51"/>
      <c r="FVD17" s="51"/>
      <c r="FVE17" s="51"/>
      <c r="FVF17" s="51"/>
      <c r="FVG17" s="51"/>
      <c r="FVH17" s="51"/>
      <c r="FVI17" s="51"/>
      <c r="FVJ17" s="51"/>
      <c r="FVK17" s="51"/>
      <c r="FVL17" s="51"/>
      <c r="FVM17" s="51"/>
      <c r="FVN17" s="51"/>
      <c r="FVO17" s="51"/>
      <c r="FVP17" s="51"/>
      <c r="FVQ17" s="51"/>
      <c r="FVR17" s="51"/>
      <c r="FVS17" s="51"/>
      <c r="FVT17" s="51"/>
      <c r="FVU17" s="51"/>
      <c r="FVV17" s="51"/>
      <c r="FVW17" s="51"/>
      <c r="FVX17" s="51"/>
      <c r="FVY17" s="51"/>
      <c r="FVZ17" s="51"/>
      <c r="FWA17" s="51"/>
      <c r="FWB17" s="51"/>
      <c r="FWC17" s="51"/>
      <c r="FWD17" s="51"/>
      <c r="FWE17" s="51"/>
      <c r="FWF17" s="51"/>
      <c r="FWG17" s="51"/>
      <c r="FWH17" s="51"/>
      <c r="FWI17" s="51"/>
      <c r="FWJ17" s="51"/>
      <c r="FWK17" s="51"/>
      <c r="FWL17" s="51"/>
      <c r="FWM17" s="51"/>
      <c r="FWN17" s="51"/>
      <c r="FWO17" s="51"/>
      <c r="FWP17" s="51"/>
      <c r="FWQ17" s="51"/>
      <c r="FWR17" s="51"/>
      <c r="FWS17" s="51"/>
      <c r="FWT17" s="51"/>
      <c r="FWU17" s="51"/>
      <c r="FWV17" s="51"/>
      <c r="FWW17" s="51"/>
      <c r="FWX17" s="51"/>
      <c r="FWY17" s="51"/>
      <c r="FWZ17" s="51"/>
      <c r="FXA17" s="51"/>
      <c r="FXB17" s="51"/>
      <c r="FXC17" s="51"/>
      <c r="FXD17" s="51"/>
      <c r="FXE17" s="51"/>
      <c r="FXF17" s="51"/>
      <c r="FXG17" s="51"/>
      <c r="FXH17" s="51"/>
      <c r="FXI17" s="51"/>
      <c r="FXJ17" s="51"/>
      <c r="FXK17" s="51"/>
      <c r="FXL17" s="51"/>
      <c r="FXM17" s="51"/>
      <c r="FXN17" s="51"/>
      <c r="FXO17" s="51"/>
      <c r="FXP17" s="51"/>
      <c r="FXQ17" s="51"/>
      <c r="FXR17" s="51"/>
      <c r="FXS17" s="51"/>
      <c r="FXT17" s="51"/>
      <c r="FXU17" s="51"/>
      <c r="FXV17" s="51"/>
      <c r="FXW17" s="51"/>
      <c r="FXX17" s="51"/>
      <c r="FXY17" s="51"/>
      <c r="FXZ17" s="51"/>
      <c r="FYA17" s="51"/>
      <c r="FYB17" s="51"/>
      <c r="FYC17" s="51"/>
      <c r="FYD17" s="51"/>
      <c r="FYE17" s="51"/>
      <c r="FYF17" s="51"/>
      <c r="FYG17" s="51"/>
      <c r="FYH17" s="51"/>
      <c r="FYI17" s="51"/>
      <c r="FYJ17" s="51"/>
      <c r="FYK17" s="51"/>
      <c r="FYL17" s="51"/>
      <c r="FYM17" s="51"/>
      <c r="FYN17" s="51"/>
      <c r="FYO17" s="51"/>
      <c r="FYP17" s="51"/>
      <c r="FYQ17" s="51"/>
      <c r="FYR17" s="51"/>
      <c r="FYS17" s="51"/>
      <c r="FYT17" s="51"/>
      <c r="FYU17" s="51"/>
      <c r="FYV17" s="51"/>
      <c r="FYW17" s="51"/>
      <c r="FYX17" s="51"/>
      <c r="FYY17" s="51"/>
      <c r="FYZ17" s="51"/>
      <c r="FZA17" s="51"/>
      <c r="FZB17" s="51"/>
      <c r="FZC17" s="51"/>
      <c r="FZD17" s="51"/>
      <c r="FZE17" s="51"/>
      <c r="FZF17" s="51"/>
      <c r="FZG17" s="51"/>
      <c r="FZH17" s="51"/>
      <c r="FZI17" s="51"/>
      <c r="FZJ17" s="51"/>
      <c r="FZK17" s="51"/>
      <c r="FZL17" s="51"/>
      <c r="FZM17" s="51"/>
      <c r="FZN17" s="51"/>
      <c r="FZO17" s="51"/>
      <c r="FZP17" s="51"/>
      <c r="FZQ17" s="51"/>
      <c r="FZR17" s="51"/>
      <c r="FZS17" s="51"/>
      <c r="FZT17" s="51"/>
      <c r="FZU17" s="51"/>
      <c r="FZV17" s="51"/>
      <c r="FZW17" s="51"/>
      <c r="FZX17" s="51"/>
      <c r="FZY17" s="51"/>
      <c r="FZZ17" s="51"/>
      <c r="GAA17" s="51"/>
      <c r="GAB17" s="51"/>
      <c r="GAC17" s="51"/>
      <c r="GAD17" s="51"/>
      <c r="GAE17" s="51"/>
      <c r="GAF17" s="51"/>
      <c r="GAG17" s="51"/>
      <c r="GAH17" s="51"/>
      <c r="GAI17" s="51"/>
      <c r="GAJ17" s="51"/>
      <c r="GAK17" s="51"/>
      <c r="GAL17" s="51"/>
      <c r="GAM17" s="51"/>
      <c r="GAN17" s="51"/>
      <c r="GAO17" s="51"/>
      <c r="GAP17" s="51"/>
      <c r="GAQ17" s="51"/>
      <c r="GAR17" s="51"/>
      <c r="GAS17" s="51"/>
      <c r="GAT17" s="51"/>
      <c r="GAU17" s="51"/>
      <c r="GAV17" s="51"/>
      <c r="GAW17" s="51"/>
      <c r="GAX17" s="51"/>
      <c r="GAY17" s="51"/>
      <c r="GAZ17" s="51"/>
      <c r="GBA17" s="51"/>
      <c r="GBB17" s="51"/>
      <c r="GBC17" s="51"/>
      <c r="GBD17" s="51"/>
      <c r="GBE17" s="51"/>
      <c r="GBF17" s="51"/>
      <c r="GBG17" s="51"/>
      <c r="GBH17" s="51"/>
      <c r="GBI17" s="51"/>
      <c r="GBJ17" s="51"/>
      <c r="GBK17" s="51"/>
      <c r="GBL17" s="51"/>
      <c r="GBM17" s="51"/>
      <c r="GBN17" s="51"/>
      <c r="GBO17" s="51"/>
      <c r="GBP17" s="51"/>
      <c r="GBQ17" s="51"/>
      <c r="GBR17" s="51"/>
      <c r="GBS17" s="51"/>
      <c r="GBT17" s="51"/>
      <c r="GBU17" s="51"/>
      <c r="GBV17" s="51"/>
      <c r="GBW17" s="51"/>
      <c r="GBX17" s="51"/>
      <c r="GBY17" s="51"/>
      <c r="GBZ17" s="51"/>
      <c r="GCA17" s="51"/>
      <c r="GCB17" s="51"/>
      <c r="GCC17" s="51"/>
      <c r="GCD17" s="51"/>
      <c r="GCE17" s="51"/>
      <c r="GCF17" s="51"/>
      <c r="GCG17" s="51"/>
      <c r="GCH17" s="51"/>
      <c r="GCI17" s="51"/>
      <c r="GCJ17" s="51"/>
      <c r="GCK17" s="51"/>
      <c r="GCL17" s="51"/>
      <c r="GCM17" s="51"/>
      <c r="GCN17" s="51"/>
      <c r="GCO17" s="51"/>
      <c r="GCP17" s="51"/>
      <c r="GCQ17" s="51"/>
      <c r="GCR17" s="51"/>
      <c r="GCS17" s="51"/>
      <c r="GCT17" s="51"/>
      <c r="GCU17" s="51"/>
      <c r="GCV17" s="51"/>
      <c r="GCW17" s="51"/>
      <c r="GCX17" s="51"/>
      <c r="GCY17" s="51"/>
      <c r="GCZ17" s="51"/>
      <c r="GDA17" s="51"/>
      <c r="GDB17" s="51"/>
      <c r="GDC17" s="51"/>
      <c r="GDD17" s="51"/>
      <c r="GDE17" s="51"/>
      <c r="GDF17" s="51"/>
      <c r="GDG17" s="51"/>
      <c r="GDH17" s="51"/>
      <c r="GDI17" s="51"/>
      <c r="GDJ17" s="51"/>
      <c r="GDK17" s="51"/>
      <c r="GDL17" s="51"/>
      <c r="GDM17" s="51"/>
      <c r="GDN17" s="51"/>
      <c r="GDO17" s="51"/>
      <c r="GDP17" s="51"/>
      <c r="GDQ17" s="51"/>
      <c r="GDR17" s="51"/>
      <c r="GDS17" s="51"/>
      <c r="GDT17" s="51"/>
      <c r="GDU17" s="51"/>
      <c r="GDV17" s="51"/>
      <c r="GDW17" s="51"/>
      <c r="GDX17" s="51"/>
      <c r="GDY17" s="51"/>
      <c r="GDZ17" s="51"/>
      <c r="GEA17" s="51"/>
      <c r="GEB17" s="51"/>
      <c r="GEC17" s="51"/>
      <c r="GED17" s="51"/>
      <c r="GEE17" s="51"/>
      <c r="GEF17" s="51"/>
      <c r="GEG17" s="51"/>
      <c r="GEH17" s="51"/>
      <c r="GEI17" s="51"/>
      <c r="GEJ17" s="51"/>
      <c r="GEK17" s="51"/>
      <c r="GEL17" s="51"/>
      <c r="GEM17" s="51"/>
      <c r="GEN17" s="51"/>
      <c r="GEO17" s="51"/>
      <c r="GEP17" s="51"/>
      <c r="GEQ17" s="51"/>
      <c r="GER17" s="51"/>
      <c r="GES17" s="51"/>
      <c r="GET17" s="51"/>
      <c r="GEU17" s="51"/>
      <c r="GEV17" s="51"/>
      <c r="GEW17" s="51"/>
      <c r="GEX17" s="51"/>
      <c r="GEY17" s="51"/>
      <c r="GEZ17" s="51"/>
      <c r="GFA17" s="51"/>
      <c r="GFB17" s="51"/>
      <c r="GFC17" s="51"/>
      <c r="GFD17" s="51"/>
      <c r="GFE17" s="51"/>
      <c r="GFF17" s="51"/>
      <c r="GFG17" s="51"/>
      <c r="GFH17" s="51"/>
      <c r="GFI17" s="51"/>
      <c r="GFJ17" s="51"/>
      <c r="GFK17" s="51"/>
      <c r="GFL17" s="51"/>
      <c r="GFM17" s="51"/>
      <c r="GFN17" s="51"/>
      <c r="GFO17" s="51"/>
      <c r="GFP17" s="51"/>
      <c r="GFQ17" s="51"/>
      <c r="GFR17" s="51"/>
      <c r="GFS17" s="51"/>
      <c r="GFT17" s="51"/>
      <c r="GFU17" s="51"/>
      <c r="GFV17" s="51"/>
      <c r="GFW17" s="51"/>
      <c r="GFX17" s="51"/>
      <c r="GFY17" s="51"/>
      <c r="GFZ17" s="51"/>
      <c r="GGA17" s="51"/>
      <c r="GGB17" s="51"/>
      <c r="GGC17" s="51"/>
      <c r="GGD17" s="51"/>
      <c r="GGE17" s="51"/>
      <c r="GGF17" s="51"/>
      <c r="GGG17" s="51"/>
      <c r="GGH17" s="51"/>
      <c r="GGI17" s="51"/>
      <c r="GGJ17" s="51"/>
      <c r="GGK17" s="51"/>
      <c r="GGL17" s="51"/>
      <c r="GGM17" s="51"/>
      <c r="GGN17" s="51"/>
      <c r="GGO17" s="51"/>
      <c r="GGP17" s="51"/>
      <c r="GGQ17" s="51"/>
      <c r="GGR17" s="51"/>
      <c r="GGS17" s="51"/>
      <c r="GGT17" s="51"/>
      <c r="GGU17" s="51"/>
      <c r="GGV17" s="51"/>
      <c r="GGW17" s="51"/>
      <c r="GGX17" s="51"/>
      <c r="GGY17" s="51"/>
      <c r="GGZ17" s="51"/>
      <c r="GHA17" s="51"/>
      <c r="GHB17" s="51"/>
      <c r="GHC17" s="51"/>
      <c r="GHD17" s="51"/>
      <c r="GHE17" s="51"/>
      <c r="GHF17" s="51"/>
      <c r="GHG17" s="51"/>
      <c r="GHH17" s="51"/>
      <c r="GHI17" s="51"/>
      <c r="GHJ17" s="51"/>
      <c r="GHK17" s="51"/>
      <c r="GHL17" s="51"/>
      <c r="GHM17" s="51"/>
      <c r="GHN17" s="51"/>
      <c r="GHO17" s="51"/>
      <c r="GHP17" s="51"/>
      <c r="GHQ17" s="51"/>
      <c r="GHR17" s="51"/>
      <c r="GHS17" s="51"/>
      <c r="GHT17" s="51"/>
      <c r="GHU17" s="51"/>
      <c r="GHV17" s="51"/>
      <c r="GHW17" s="51"/>
      <c r="GHX17" s="51"/>
      <c r="GHY17" s="51"/>
      <c r="GHZ17" s="51"/>
      <c r="GIA17" s="51"/>
      <c r="GIB17" s="51"/>
      <c r="GIC17" s="51"/>
      <c r="GID17" s="51"/>
      <c r="GIE17" s="51"/>
      <c r="GIF17" s="51"/>
      <c r="GIG17" s="51"/>
      <c r="GIH17" s="51"/>
      <c r="GII17" s="51"/>
      <c r="GIJ17" s="51"/>
      <c r="GIK17" s="51"/>
      <c r="GIL17" s="51"/>
      <c r="GIM17" s="51"/>
      <c r="GIN17" s="51"/>
      <c r="GIO17" s="51"/>
      <c r="GIP17" s="51"/>
      <c r="GIQ17" s="51"/>
      <c r="GIR17" s="51"/>
      <c r="GIS17" s="51"/>
      <c r="GIT17" s="51"/>
      <c r="GIU17" s="51"/>
      <c r="GIV17" s="51"/>
      <c r="GIW17" s="51"/>
      <c r="GIX17" s="51"/>
      <c r="GIY17" s="51"/>
      <c r="GIZ17" s="51"/>
      <c r="GJA17" s="51"/>
      <c r="GJB17" s="51"/>
      <c r="GJC17" s="51"/>
      <c r="GJD17" s="51"/>
      <c r="GJE17" s="51"/>
      <c r="GJF17" s="51"/>
      <c r="GJG17" s="51"/>
      <c r="GJH17" s="51"/>
      <c r="GJI17" s="51"/>
      <c r="GJJ17" s="51"/>
      <c r="GJK17" s="51"/>
      <c r="GJL17" s="51"/>
      <c r="GJM17" s="51"/>
      <c r="GJN17" s="51"/>
      <c r="GJO17" s="51"/>
      <c r="GJP17" s="51"/>
      <c r="GJQ17" s="51"/>
      <c r="GJR17" s="51"/>
      <c r="GJS17" s="51"/>
      <c r="GJT17" s="51"/>
      <c r="GJU17" s="51"/>
      <c r="GJV17" s="51"/>
      <c r="GJW17" s="51"/>
      <c r="GJX17" s="51"/>
      <c r="GJY17" s="51"/>
      <c r="GJZ17" s="51"/>
      <c r="GKA17" s="51"/>
      <c r="GKB17" s="51"/>
      <c r="GKC17" s="51"/>
      <c r="GKD17" s="51"/>
      <c r="GKE17" s="51"/>
      <c r="GKF17" s="51"/>
      <c r="GKG17" s="51"/>
      <c r="GKH17" s="51"/>
      <c r="GKI17" s="51"/>
      <c r="GKJ17" s="51"/>
      <c r="GKK17" s="51"/>
      <c r="GKL17" s="51"/>
      <c r="GKM17" s="51"/>
      <c r="GKN17" s="51"/>
      <c r="GKO17" s="51"/>
      <c r="GKP17" s="51"/>
      <c r="GKQ17" s="51"/>
      <c r="GKR17" s="51"/>
      <c r="GKS17" s="51"/>
      <c r="GKT17" s="51"/>
      <c r="GKU17" s="51"/>
      <c r="GKV17" s="51"/>
      <c r="GKW17" s="51"/>
      <c r="GKX17" s="51"/>
      <c r="GKY17" s="51"/>
      <c r="GKZ17" s="51"/>
      <c r="GLA17" s="51"/>
      <c r="GLB17" s="51"/>
      <c r="GLC17" s="51"/>
      <c r="GLD17" s="51"/>
      <c r="GLE17" s="51"/>
      <c r="GLF17" s="51"/>
      <c r="GLG17" s="51"/>
      <c r="GLH17" s="51"/>
      <c r="GLI17" s="51"/>
      <c r="GLJ17" s="51"/>
      <c r="GLK17" s="51"/>
      <c r="GLL17" s="51"/>
      <c r="GLM17" s="51"/>
      <c r="GLN17" s="51"/>
      <c r="GLO17" s="51"/>
      <c r="GLP17" s="51"/>
      <c r="GLQ17" s="51"/>
      <c r="GLR17" s="51"/>
      <c r="GLS17" s="51"/>
      <c r="GLT17" s="51"/>
      <c r="GLU17" s="51"/>
      <c r="GLV17" s="51"/>
      <c r="GLW17" s="51"/>
      <c r="GLX17" s="51"/>
      <c r="GLY17" s="51"/>
      <c r="GLZ17" s="51"/>
      <c r="GMA17" s="51"/>
      <c r="GMB17" s="51"/>
      <c r="GMC17" s="51"/>
      <c r="GMD17" s="51"/>
      <c r="GME17" s="51"/>
      <c r="GMF17" s="51"/>
      <c r="GMG17" s="51"/>
      <c r="GMH17" s="51"/>
      <c r="GMI17" s="51"/>
      <c r="GMJ17" s="51"/>
      <c r="GMK17" s="51"/>
      <c r="GML17" s="51"/>
      <c r="GMM17" s="51"/>
      <c r="GMN17" s="51"/>
      <c r="GMO17" s="51"/>
      <c r="GMP17" s="51"/>
      <c r="GMQ17" s="51"/>
      <c r="GMR17" s="51"/>
      <c r="GMS17" s="51"/>
      <c r="GMT17" s="51"/>
      <c r="GMU17" s="51"/>
      <c r="GMV17" s="51"/>
      <c r="GMW17" s="51"/>
      <c r="GMX17" s="51"/>
      <c r="GMY17" s="51"/>
      <c r="GMZ17" s="51"/>
      <c r="GNA17" s="51"/>
      <c r="GNB17" s="51"/>
      <c r="GNC17" s="51"/>
      <c r="GND17" s="51"/>
      <c r="GNE17" s="51"/>
      <c r="GNF17" s="51"/>
      <c r="GNG17" s="51"/>
      <c r="GNH17" s="51"/>
      <c r="GNI17" s="51"/>
      <c r="GNJ17" s="51"/>
      <c r="GNK17" s="51"/>
      <c r="GNL17" s="51"/>
      <c r="GNM17" s="51"/>
      <c r="GNN17" s="51"/>
      <c r="GNO17" s="51"/>
      <c r="GNP17" s="51"/>
      <c r="GNQ17" s="51"/>
      <c r="GNR17" s="51"/>
      <c r="GNS17" s="51"/>
      <c r="GNT17" s="51"/>
      <c r="GNU17" s="51"/>
      <c r="GNV17" s="51"/>
      <c r="GNW17" s="51"/>
      <c r="GNX17" s="51"/>
      <c r="GNY17" s="51"/>
      <c r="GNZ17" s="51"/>
      <c r="GOA17" s="51"/>
      <c r="GOB17" s="51"/>
      <c r="GOC17" s="51"/>
      <c r="GOD17" s="51"/>
      <c r="GOE17" s="51"/>
      <c r="GOF17" s="51"/>
      <c r="GOG17" s="51"/>
      <c r="GOH17" s="51"/>
      <c r="GOI17" s="51"/>
      <c r="GOJ17" s="51"/>
      <c r="GOK17" s="51"/>
      <c r="GOL17" s="51"/>
      <c r="GOM17" s="51"/>
      <c r="GON17" s="51"/>
      <c r="GOO17" s="51"/>
      <c r="GOP17" s="51"/>
      <c r="GOQ17" s="51"/>
      <c r="GOR17" s="51"/>
      <c r="GOS17" s="51"/>
      <c r="GOT17" s="51"/>
      <c r="GOU17" s="51"/>
      <c r="GOV17" s="51"/>
      <c r="GOW17" s="51"/>
      <c r="GOX17" s="51"/>
      <c r="GOY17" s="51"/>
      <c r="GOZ17" s="51"/>
      <c r="GPA17" s="51"/>
      <c r="GPB17" s="51"/>
      <c r="GPC17" s="51"/>
      <c r="GPD17" s="51"/>
      <c r="GPE17" s="51"/>
      <c r="GPF17" s="51"/>
      <c r="GPG17" s="51"/>
      <c r="GPH17" s="51"/>
      <c r="GPI17" s="51"/>
      <c r="GPJ17" s="51"/>
      <c r="GPK17" s="51"/>
      <c r="GPL17" s="51"/>
      <c r="GPM17" s="51"/>
      <c r="GPN17" s="51"/>
      <c r="GPO17" s="51"/>
      <c r="GPP17" s="51"/>
      <c r="GPQ17" s="51"/>
      <c r="GPR17" s="51"/>
      <c r="GPS17" s="51"/>
      <c r="GPT17" s="51"/>
      <c r="GPU17" s="51"/>
      <c r="GPV17" s="51"/>
      <c r="GPW17" s="51"/>
      <c r="GPX17" s="51"/>
      <c r="GPY17" s="51"/>
      <c r="GPZ17" s="51"/>
      <c r="GQA17" s="51"/>
      <c r="GQB17" s="51"/>
      <c r="GQC17" s="51"/>
      <c r="GQD17" s="51"/>
      <c r="GQE17" s="51"/>
      <c r="GQF17" s="51"/>
      <c r="GQG17" s="51"/>
      <c r="GQH17" s="51"/>
      <c r="GQI17" s="51"/>
      <c r="GQJ17" s="51"/>
      <c r="GQK17" s="51"/>
      <c r="GQL17" s="51"/>
      <c r="GQM17" s="51"/>
      <c r="GQN17" s="51"/>
      <c r="GQO17" s="51"/>
      <c r="GQP17" s="51"/>
      <c r="GQQ17" s="51"/>
      <c r="GQR17" s="51"/>
      <c r="GQS17" s="51"/>
      <c r="GQT17" s="51"/>
      <c r="GQU17" s="51"/>
      <c r="GQV17" s="51"/>
      <c r="GQW17" s="51"/>
      <c r="GQX17" s="51"/>
      <c r="GQY17" s="51"/>
      <c r="GQZ17" s="51"/>
      <c r="GRA17" s="51"/>
      <c r="GRB17" s="51"/>
      <c r="GRC17" s="51"/>
      <c r="GRD17" s="51"/>
      <c r="GRE17" s="51"/>
      <c r="GRF17" s="51"/>
      <c r="GRG17" s="51"/>
      <c r="GRH17" s="51"/>
      <c r="GRI17" s="51"/>
      <c r="GRJ17" s="51"/>
      <c r="GRK17" s="51"/>
      <c r="GRL17" s="51"/>
      <c r="GRM17" s="51"/>
      <c r="GRN17" s="51"/>
      <c r="GRO17" s="51"/>
      <c r="GRP17" s="51"/>
      <c r="GRQ17" s="51"/>
      <c r="GRR17" s="51"/>
      <c r="GRS17" s="51"/>
      <c r="GRT17" s="51"/>
      <c r="GRU17" s="51"/>
      <c r="GRV17" s="51"/>
      <c r="GRW17" s="51"/>
      <c r="GRX17" s="51"/>
      <c r="GRY17" s="51"/>
      <c r="GRZ17" s="51"/>
      <c r="GSA17" s="51"/>
      <c r="GSB17" s="51"/>
      <c r="GSC17" s="51"/>
      <c r="GSD17" s="51"/>
      <c r="GSE17" s="51"/>
      <c r="GSF17" s="51"/>
      <c r="GSG17" s="51"/>
      <c r="GSH17" s="51"/>
      <c r="GSI17" s="51"/>
      <c r="GSJ17" s="51"/>
      <c r="GSK17" s="51"/>
      <c r="GSL17" s="51"/>
      <c r="GSM17" s="51"/>
      <c r="GSN17" s="51"/>
      <c r="GSO17" s="51"/>
      <c r="GSP17" s="51"/>
      <c r="GSQ17" s="51"/>
      <c r="GSR17" s="51"/>
      <c r="GSS17" s="51"/>
      <c r="GST17" s="51"/>
      <c r="GSU17" s="51"/>
      <c r="GSV17" s="51"/>
      <c r="GSW17" s="51"/>
      <c r="GSX17" s="51"/>
      <c r="GSY17" s="51"/>
      <c r="GSZ17" s="51"/>
      <c r="GTA17" s="51"/>
      <c r="GTB17" s="51"/>
      <c r="GTC17" s="51"/>
      <c r="GTD17" s="51"/>
      <c r="GTE17" s="51"/>
      <c r="GTF17" s="51"/>
      <c r="GTG17" s="51"/>
      <c r="GTH17" s="51"/>
      <c r="GTI17" s="51"/>
      <c r="GTJ17" s="51"/>
      <c r="GTK17" s="51"/>
      <c r="GTL17" s="51"/>
      <c r="GTM17" s="51"/>
      <c r="GTN17" s="51"/>
      <c r="GTO17" s="51"/>
      <c r="GTP17" s="51"/>
      <c r="GTQ17" s="51"/>
      <c r="GTR17" s="51"/>
      <c r="GTS17" s="51"/>
      <c r="GTT17" s="51"/>
      <c r="GTU17" s="51"/>
      <c r="GTV17" s="51"/>
      <c r="GTW17" s="51"/>
      <c r="GTX17" s="51"/>
      <c r="GTY17" s="51"/>
      <c r="GTZ17" s="51"/>
      <c r="GUA17" s="51"/>
      <c r="GUB17" s="51"/>
      <c r="GUC17" s="51"/>
      <c r="GUD17" s="51"/>
      <c r="GUE17" s="51"/>
      <c r="GUF17" s="51"/>
      <c r="GUG17" s="51"/>
      <c r="GUH17" s="51"/>
      <c r="GUI17" s="51"/>
      <c r="GUJ17" s="51"/>
      <c r="GUK17" s="51"/>
      <c r="GUL17" s="51"/>
      <c r="GUM17" s="51"/>
      <c r="GUN17" s="51"/>
      <c r="GUO17" s="51"/>
      <c r="GUP17" s="51"/>
      <c r="GUQ17" s="51"/>
      <c r="GUR17" s="51"/>
      <c r="GUS17" s="51"/>
      <c r="GUT17" s="51"/>
      <c r="GUU17" s="51"/>
      <c r="GUV17" s="51"/>
      <c r="GUW17" s="51"/>
      <c r="GUX17" s="51"/>
      <c r="GUY17" s="51"/>
      <c r="GUZ17" s="51"/>
      <c r="GVA17" s="51"/>
      <c r="GVB17" s="51"/>
      <c r="GVC17" s="51"/>
      <c r="GVD17" s="51"/>
      <c r="GVE17" s="51"/>
      <c r="GVF17" s="51"/>
      <c r="GVG17" s="51"/>
      <c r="GVH17" s="51"/>
      <c r="GVI17" s="51"/>
      <c r="GVJ17" s="51"/>
      <c r="GVK17" s="51"/>
      <c r="GVL17" s="51"/>
      <c r="GVM17" s="51"/>
      <c r="GVN17" s="51"/>
      <c r="GVO17" s="51"/>
      <c r="GVP17" s="51"/>
      <c r="GVQ17" s="51"/>
      <c r="GVR17" s="51"/>
      <c r="GVS17" s="51"/>
      <c r="GVT17" s="51"/>
      <c r="GVU17" s="51"/>
      <c r="GVV17" s="51"/>
      <c r="GVW17" s="51"/>
      <c r="GVX17" s="51"/>
      <c r="GVY17" s="51"/>
      <c r="GVZ17" s="51"/>
      <c r="GWA17" s="51"/>
      <c r="GWB17" s="51"/>
      <c r="GWC17" s="51"/>
      <c r="GWD17" s="51"/>
      <c r="GWE17" s="51"/>
      <c r="GWF17" s="51"/>
      <c r="GWG17" s="51"/>
      <c r="GWH17" s="51"/>
      <c r="GWI17" s="51"/>
      <c r="GWJ17" s="51"/>
      <c r="GWK17" s="51"/>
      <c r="GWL17" s="51"/>
      <c r="GWM17" s="51"/>
      <c r="GWN17" s="51"/>
      <c r="GWO17" s="51"/>
      <c r="GWP17" s="51"/>
      <c r="GWQ17" s="51"/>
      <c r="GWR17" s="51"/>
      <c r="GWS17" s="51"/>
      <c r="GWT17" s="51"/>
      <c r="GWU17" s="51"/>
      <c r="GWV17" s="51"/>
      <c r="GWW17" s="51"/>
      <c r="GWX17" s="51"/>
      <c r="GWY17" s="51"/>
      <c r="GWZ17" s="51"/>
      <c r="GXA17" s="51"/>
      <c r="GXB17" s="51"/>
      <c r="GXC17" s="51"/>
      <c r="GXD17" s="51"/>
      <c r="GXE17" s="51"/>
      <c r="GXF17" s="51"/>
      <c r="GXG17" s="51"/>
      <c r="GXH17" s="51"/>
      <c r="GXI17" s="51"/>
      <c r="GXJ17" s="51"/>
      <c r="GXK17" s="51"/>
      <c r="GXL17" s="51"/>
      <c r="GXM17" s="51"/>
      <c r="GXN17" s="51"/>
      <c r="GXO17" s="51"/>
      <c r="GXP17" s="51"/>
      <c r="GXQ17" s="51"/>
      <c r="GXR17" s="51"/>
      <c r="GXS17" s="51"/>
      <c r="GXT17" s="51"/>
      <c r="GXU17" s="51"/>
      <c r="GXV17" s="51"/>
      <c r="GXW17" s="51"/>
      <c r="GXX17" s="51"/>
      <c r="GXY17" s="51"/>
      <c r="GXZ17" s="51"/>
      <c r="GYA17" s="51"/>
      <c r="GYB17" s="51"/>
      <c r="GYC17" s="51"/>
      <c r="GYD17" s="51"/>
      <c r="GYE17" s="51"/>
      <c r="GYF17" s="51"/>
      <c r="GYG17" s="51"/>
      <c r="GYH17" s="51"/>
      <c r="GYI17" s="51"/>
      <c r="GYJ17" s="51"/>
      <c r="GYK17" s="51"/>
      <c r="GYL17" s="51"/>
      <c r="GYM17" s="51"/>
      <c r="GYN17" s="51"/>
      <c r="GYO17" s="51"/>
      <c r="GYP17" s="51"/>
      <c r="GYQ17" s="51"/>
      <c r="GYR17" s="51"/>
      <c r="GYS17" s="51"/>
      <c r="GYT17" s="51"/>
      <c r="GYU17" s="51"/>
      <c r="GYV17" s="51"/>
      <c r="GYW17" s="51"/>
      <c r="GYX17" s="51"/>
      <c r="GYY17" s="51"/>
      <c r="GYZ17" s="51"/>
      <c r="GZA17" s="51"/>
      <c r="GZB17" s="51"/>
      <c r="GZC17" s="51"/>
      <c r="GZD17" s="51"/>
      <c r="GZE17" s="51"/>
      <c r="GZF17" s="51"/>
      <c r="GZG17" s="51"/>
      <c r="GZH17" s="51"/>
      <c r="GZI17" s="51"/>
      <c r="GZJ17" s="51"/>
      <c r="GZK17" s="51"/>
      <c r="GZL17" s="51"/>
      <c r="GZM17" s="51"/>
      <c r="GZN17" s="51"/>
      <c r="GZO17" s="51"/>
      <c r="GZP17" s="51"/>
      <c r="GZQ17" s="51"/>
      <c r="GZR17" s="51"/>
      <c r="GZS17" s="51"/>
      <c r="GZT17" s="51"/>
      <c r="GZU17" s="51"/>
      <c r="GZV17" s="51"/>
      <c r="GZW17" s="51"/>
      <c r="GZX17" s="51"/>
      <c r="GZY17" s="51"/>
      <c r="GZZ17" s="51"/>
      <c r="HAA17" s="51"/>
      <c r="HAB17" s="51"/>
      <c r="HAC17" s="51"/>
      <c r="HAD17" s="51"/>
      <c r="HAE17" s="51"/>
      <c r="HAF17" s="51"/>
      <c r="HAG17" s="51"/>
      <c r="HAH17" s="51"/>
      <c r="HAI17" s="51"/>
      <c r="HAJ17" s="51"/>
      <c r="HAK17" s="51"/>
      <c r="HAL17" s="51"/>
      <c r="HAM17" s="51"/>
      <c r="HAN17" s="51"/>
      <c r="HAO17" s="51"/>
      <c r="HAP17" s="51"/>
      <c r="HAQ17" s="51"/>
      <c r="HAR17" s="51"/>
      <c r="HAS17" s="51"/>
      <c r="HAT17" s="51"/>
      <c r="HAU17" s="51"/>
      <c r="HAV17" s="51"/>
      <c r="HAW17" s="51"/>
      <c r="HAX17" s="51"/>
      <c r="HAY17" s="51"/>
      <c r="HAZ17" s="51"/>
      <c r="HBA17" s="51"/>
      <c r="HBB17" s="51"/>
      <c r="HBC17" s="51"/>
      <c r="HBD17" s="51"/>
      <c r="HBE17" s="51"/>
      <c r="HBF17" s="51"/>
      <c r="HBG17" s="51"/>
      <c r="HBH17" s="51"/>
      <c r="HBI17" s="51"/>
      <c r="HBJ17" s="51"/>
      <c r="HBK17" s="51"/>
      <c r="HBL17" s="51"/>
      <c r="HBM17" s="51"/>
      <c r="HBN17" s="51"/>
      <c r="HBO17" s="51"/>
      <c r="HBP17" s="51"/>
      <c r="HBQ17" s="51"/>
      <c r="HBR17" s="51"/>
      <c r="HBS17" s="51"/>
      <c r="HBT17" s="51"/>
      <c r="HBU17" s="51"/>
      <c r="HBV17" s="51"/>
      <c r="HBW17" s="51"/>
      <c r="HBX17" s="51"/>
      <c r="HBY17" s="51"/>
      <c r="HBZ17" s="51"/>
      <c r="HCA17" s="51"/>
      <c r="HCB17" s="51"/>
      <c r="HCC17" s="51"/>
      <c r="HCD17" s="51"/>
      <c r="HCE17" s="51"/>
      <c r="HCF17" s="51"/>
      <c r="HCG17" s="51"/>
      <c r="HCH17" s="51"/>
      <c r="HCI17" s="51"/>
      <c r="HCJ17" s="51"/>
      <c r="HCK17" s="51"/>
      <c r="HCL17" s="51"/>
      <c r="HCM17" s="51"/>
      <c r="HCN17" s="51"/>
      <c r="HCO17" s="51"/>
      <c r="HCP17" s="51"/>
      <c r="HCQ17" s="51"/>
      <c r="HCR17" s="51"/>
      <c r="HCS17" s="51"/>
      <c r="HCT17" s="51"/>
      <c r="HCU17" s="51"/>
      <c r="HCV17" s="51"/>
      <c r="HCW17" s="51"/>
      <c r="HCX17" s="51"/>
      <c r="HCY17" s="51"/>
      <c r="HCZ17" s="51"/>
      <c r="HDA17" s="51"/>
      <c r="HDB17" s="51"/>
      <c r="HDC17" s="51"/>
      <c r="HDD17" s="51"/>
      <c r="HDE17" s="51"/>
      <c r="HDF17" s="51"/>
      <c r="HDG17" s="51"/>
      <c r="HDH17" s="51"/>
      <c r="HDI17" s="51"/>
      <c r="HDJ17" s="51"/>
      <c r="HDK17" s="51"/>
      <c r="HDL17" s="51"/>
      <c r="HDM17" s="51"/>
      <c r="HDN17" s="51"/>
      <c r="HDO17" s="51"/>
      <c r="HDP17" s="51"/>
      <c r="HDQ17" s="51"/>
      <c r="HDR17" s="51"/>
      <c r="HDS17" s="51"/>
      <c r="HDT17" s="51"/>
      <c r="HDU17" s="51"/>
      <c r="HDV17" s="51"/>
      <c r="HDW17" s="51"/>
      <c r="HDX17" s="51"/>
      <c r="HDY17" s="51"/>
      <c r="HDZ17" s="51"/>
      <c r="HEA17" s="51"/>
      <c r="HEB17" s="51"/>
      <c r="HEC17" s="51"/>
      <c r="HED17" s="51"/>
      <c r="HEE17" s="51"/>
      <c r="HEF17" s="51"/>
      <c r="HEG17" s="51"/>
      <c r="HEH17" s="51"/>
      <c r="HEI17" s="51"/>
      <c r="HEJ17" s="51"/>
      <c r="HEK17" s="51"/>
      <c r="HEL17" s="51"/>
      <c r="HEM17" s="51"/>
      <c r="HEN17" s="51"/>
      <c r="HEO17" s="51"/>
      <c r="HEP17" s="51"/>
      <c r="HEQ17" s="51"/>
      <c r="HER17" s="51"/>
      <c r="HES17" s="51"/>
      <c r="HET17" s="51"/>
      <c r="HEU17" s="51"/>
      <c r="HEV17" s="51"/>
      <c r="HEW17" s="51"/>
      <c r="HEX17" s="51"/>
      <c r="HEY17" s="51"/>
      <c r="HEZ17" s="51"/>
      <c r="HFA17" s="51"/>
      <c r="HFB17" s="51"/>
      <c r="HFC17" s="51"/>
      <c r="HFD17" s="51"/>
      <c r="HFE17" s="51"/>
      <c r="HFF17" s="51"/>
      <c r="HFG17" s="51"/>
      <c r="HFH17" s="51"/>
      <c r="HFI17" s="51"/>
      <c r="HFJ17" s="51"/>
      <c r="HFK17" s="51"/>
      <c r="HFL17" s="51"/>
      <c r="HFM17" s="51"/>
      <c r="HFN17" s="51"/>
      <c r="HFO17" s="51"/>
      <c r="HFP17" s="51"/>
      <c r="HFQ17" s="51"/>
      <c r="HFR17" s="51"/>
      <c r="HFS17" s="51"/>
      <c r="HFT17" s="51"/>
      <c r="HFU17" s="51"/>
      <c r="HFV17" s="51"/>
      <c r="HFW17" s="51"/>
      <c r="HFX17" s="51"/>
      <c r="HFY17" s="51"/>
      <c r="HFZ17" s="51"/>
      <c r="HGA17" s="51"/>
      <c r="HGB17" s="51"/>
      <c r="HGC17" s="51"/>
      <c r="HGD17" s="51"/>
      <c r="HGE17" s="51"/>
      <c r="HGF17" s="51"/>
      <c r="HGG17" s="51"/>
      <c r="HGH17" s="51"/>
      <c r="HGI17" s="51"/>
      <c r="HGJ17" s="51"/>
      <c r="HGK17" s="51"/>
      <c r="HGL17" s="51"/>
      <c r="HGM17" s="51"/>
      <c r="HGN17" s="51"/>
      <c r="HGO17" s="51"/>
      <c r="HGP17" s="51"/>
      <c r="HGQ17" s="51"/>
      <c r="HGR17" s="51"/>
      <c r="HGS17" s="51"/>
      <c r="HGT17" s="51"/>
      <c r="HGU17" s="51"/>
      <c r="HGV17" s="51"/>
      <c r="HGW17" s="51"/>
      <c r="HGX17" s="51"/>
      <c r="HGY17" s="51"/>
      <c r="HGZ17" s="51"/>
      <c r="HHA17" s="51"/>
      <c r="HHB17" s="51"/>
      <c r="HHC17" s="51"/>
      <c r="HHD17" s="51"/>
      <c r="HHE17" s="51"/>
      <c r="HHF17" s="51"/>
      <c r="HHG17" s="51"/>
      <c r="HHH17" s="51"/>
      <c r="HHI17" s="51"/>
      <c r="HHJ17" s="51"/>
      <c r="HHK17" s="51"/>
      <c r="HHL17" s="51"/>
      <c r="HHM17" s="51"/>
      <c r="HHN17" s="51"/>
      <c r="HHO17" s="51"/>
      <c r="HHP17" s="51"/>
      <c r="HHQ17" s="51"/>
      <c r="HHR17" s="51"/>
      <c r="HHS17" s="51"/>
      <c r="HHT17" s="51"/>
      <c r="HHU17" s="51"/>
      <c r="HHV17" s="51"/>
      <c r="HHW17" s="51"/>
      <c r="HHX17" s="51"/>
      <c r="HHY17" s="51"/>
      <c r="HHZ17" s="51"/>
      <c r="HIA17" s="51"/>
      <c r="HIB17" s="51"/>
      <c r="HIC17" s="51"/>
      <c r="HID17" s="51"/>
      <c r="HIE17" s="51"/>
      <c r="HIF17" s="51"/>
      <c r="HIG17" s="51"/>
      <c r="HIH17" s="51"/>
      <c r="HII17" s="51"/>
      <c r="HIJ17" s="51"/>
      <c r="HIK17" s="51"/>
      <c r="HIL17" s="51"/>
      <c r="HIM17" s="51"/>
      <c r="HIN17" s="51"/>
      <c r="HIO17" s="51"/>
      <c r="HIP17" s="51"/>
      <c r="HIQ17" s="51"/>
      <c r="HIR17" s="51"/>
      <c r="HIS17" s="51"/>
      <c r="HIT17" s="51"/>
      <c r="HIU17" s="51"/>
      <c r="HIV17" s="51"/>
      <c r="HIW17" s="51"/>
      <c r="HIX17" s="51"/>
      <c r="HIY17" s="51"/>
      <c r="HIZ17" s="51"/>
      <c r="HJA17" s="51"/>
      <c r="HJB17" s="51"/>
      <c r="HJC17" s="51"/>
      <c r="HJD17" s="51"/>
      <c r="HJE17" s="51"/>
      <c r="HJF17" s="51"/>
      <c r="HJG17" s="51"/>
      <c r="HJH17" s="51"/>
      <c r="HJI17" s="51"/>
      <c r="HJJ17" s="51"/>
      <c r="HJK17" s="51"/>
      <c r="HJL17" s="51"/>
      <c r="HJM17" s="51"/>
      <c r="HJN17" s="51"/>
      <c r="HJO17" s="51"/>
      <c r="HJP17" s="51"/>
      <c r="HJQ17" s="51"/>
      <c r="HJR17" s="51"/>
      <c r="HJS17" s="51"/>
      <c r="HJT17" s="51"/>
      <c r="HJU17" s="51"/>
      <c r="HJV17" s="51"/>
      <c r="HJW17" s="51"/>
      <c r="HJX17" s="51"/>
      <c r="HJY17" s="51"/>
      <c r="HJZ17" s="51"/>
      <c r="HKA17" s="51"/>
      <c r="HKB17" s="51"/>
      <c r="HKC17" s="51"/>
      <c r="HKD17" s="51"/>
      <c r="HKE17" s="51"/>
      <c r="HKF17" s="51"/>
      <c r="HKG17" s="51"/>
      <c r="HKH17" s="51"/>
      <c r="HKI17" s="51"/>
      <c r="HKJ17" s="51"/>
      <c r="HKK17" s="51"/>
      <c r="HKL17" s="51"/>
      <c r="HKM17" s="51"/>
      <c r="HKN17" s="51"/>
      <c r="HKO17" s="51"/>
      <c r="HKP17" s="51"/>
      <c r="HKQ17" s="51"/>
      <c r="HKR17" s="51"/>
      <c r="HKS17" s="51"/>
      <c r="HKT17" s="51"/>
      <c r="HKU17" s="51"/>
      <c r="HKV17" s="51"/>
      <c r="HKW17" s="51"/>
      <c r="HKX17" s="51"/>
      <c r="HKY17" s="51"/>
      <c r="HKZ17" s="51"/>
      <c r="HLA17" s="51"/>
      <c r="HLB17" s="51"/>
      <c r="HLC17" s="51"/>
      <c r="HLD17" s="51"/>
      <c r="HLE17" s="51"/>
      <c r="HLF17" s="51"/>
      <c r="HLG17" s="51"/>
      <c r="HLH17" s="51"/>
      <c r="HLI17" s="51"/>
      <c r="HLJ17" s="51"/>
      <c r="HLK17" s="51"/>
      <c r="HLL17" s="51"/>
      <c r="HLM17" s="51"/>
      <c r="HLN17" s="51"/>
      <c r="HLO17" s="51"/>
      <c r="HLP17" s="51"/>
      <c r="HLQ17" s="51"/>
      <c r="HLR17" s="51"/>
      <c r="HLS17" s="51"/>
      <c r="HLT17" s="51"/>
      <c r="HLU17" s="51"/>
      <c r="HLV17" s="51"/>
      <c r="HLW17" s="51"/>
      <c r="HLX17" s="51"/>
      <c r="HLY17" s="51"/>
      <c r="HLZ17" s="51"/>
      <c r="HMA17" s="51"/>
      <c r="HMB17" s="51"/>
      <c r="HMC17" s="51"/>
      <c r="HMD17" s="51"/>
      <c r="HME17" s="51"/>
      <c r="HMF17" s="51"/>
      <c r="HMG17" s="51"/>
      <c r="HMH17" s="51"/>
      <c r="HMI17" s="51"/>
      <c r="HMJ17" s="51"/>
      <c r="HMK17" s="51"/>
      <c r="HML17" s="51"/>
      <c r="HMM17" s="51"/>
      <c r="HMN17" s="51"/>
      <c r="HMO17" s="51"/>
      <c r="HMP17" s="51"/>
      <c r="HMQ17" s="51"/>
      <c r="HMR17" s="51"/>
      <c r="HMS17" s="51"/>
      <c r="HMT17" s="51"/>
      <c r="HMU17" s="51"/>
      <c r="HMV17" s="51"/>
      <c r="HMW17" s="51"/>
      <c r="HMX17" s="51"/>
      <c r="HMY17" s="51"/>
      <c r="HMZ17" s="51"/>
      <c r="HNA17" s="51"/>
      <c r="HNB17" s="51"/>
      <c r="HNC17" s="51"/>
      <c r="HND17" s="51"/>
      <c r="HNE17" s="51"/>
      <c r="HNF17" s="51"/>
      <c r="HNG17" s="51"/>
      <c r="HNH17" s="51"/>
      <c r="HNI17" s="51"/>
      <c r="HNJ17" s="51"/>
      <c r="HNK17" s="51"/>
      <c r="HNL17" s="51"/>
      <c r="HNM17" s="51"/>
      <c r="HNN17" s="51"/>
      <c r="HNO17" s="51"/>
      <c r="HNP17" s="51"/>
      <c r="HNQ17" s="51"/>
      <c r="HNR17" s="51"/>
      <c r="HNS17" s="51"/>
      <c r="HNT17" s="51"/>
      <c r="HNU17" s="51"/>
      <c r="HNV17" s="51"/>
      <c r="HNW17" s="51"/>
      <c r="HNX17" s="51"/>
      <c r="HNY17" s="51"/>
      <c r="HNZ17" s="51"/>
      <c r="HOA17" s="51"/>
      <c r="HOB17" s="51"/>
      <c r="HOC17" s="51"/>
      <c r="HOD17" s="51"/>
      <c r="HOE17" s="51"/>
      <c r="HOF17" s="51"/>
      <c r="HOG17" s="51"/>
      <c r="HOH17" s="51"/>
      <c r="HOI17" s="51"/>
      <c r="HOJ17" s="51"/>
      <c r="HOK17" s="51"/>
      <c r="HOL17" s="51"/>
      <c r="HOM17" s="51"/>
      <c r="HON17" s="51"/>
      <c r="HOO17" s="51"/>
      <c r="HOP17" s="51"/>
      <c r="HOQ17" s="51"/>
      <c r="HOR17" s="51"/>
      <c r="HOS17" s="51"/>
      <c r="HOT17" s="51"/>
      <c r="HOU17" s="51"/>
      <c r="HOV17" s="51"/>
      <c r="HOW17" s="51"/>
      <c r="HOX17" s="51"/>
      <c r="HOY17" s="51"/>
      <c r="HOZ17" s="51"/>
      <c r="HPA17" s="51"/>
      <c r="HPB17" s="51"/>
      <c r="HPC17" s="51"/>
      <c r="HPD17" s="51"/>
      <c r="HPE17" s="51"/>
      <c r="HPF17" s="51"/>
      <c r="HPG17" s="51"/>
      <c r="HPH17" s="51"/>
      <c r="HPI17" s="51"/>
      <c r="HPJ17" s="51"/>
      <c r="HPK17" s="51"/>
      <c r="HPL17" s="51"/>
      <c r="HPM17" s="51"/>
      <c r="HPN17" s="51"/>
      <c r="HPO17" s="51"/>
      <c r="HPP17" s="51"/>
      <c r="HPQ17" s="51"/>
      <c r="HPR17" s="51"/>
      <c r="HPS17" s="51"/>
      <c r="HPT17" s="51"/>
      <c r="HPU17" s="51"/>
      <c r="HPV17" s="51"/>
      <c r="HPW17" s="51"/>
      <c r="HPX17" s="51"/>
      <c r="HPY17" s="51"/>
      <c r="HPZ17" s="51"/>
      <c r="HQA17" s="51"/>
      <c r="HQB17" s="51"/>
      <c r="HQC17" s="51"/>
      <c r="HQD17" s="51"/>
      <c r="HQE17" s="51"/>
      <c r="HQF17" s="51"/>
      <c r="HQG17" s="51"/>
      <c r="HQH17" s="51"/>
      <c r="HQI17" s="51"/>
      <c r="HQJ17" s="51"/>
      <c r="HQK17" s="51"/>
      <c r="HQL17" s="51"/>
      <c r="HQM17" s="51"/>
      <c r="HQN17" s="51"/>
      <c r="HQO17" s="51"/>
      <c r="HQP17" s="51"/>
      <c r="HQQ17" s="51"/>
      <c r="HQR17" s="51"/>
      <c r="HQS17" s="51"/>
      <c r="HQT17" s="51"/>
      <c r="HQU17" s="51"/>
      <c r="HQV17" s="51"/>
      <c r="HQW17" s="51"/>
      <c r="HQX17" s="51"/>
      <c r="HQY17" s="51"/>
      <c r="HQZ17" s="51"/>
      <c r="HRA17" s="51"/>
      <c r="HRB17" s="51"/>
      <c r="HRC17" s="51"/>
      <c r="HRD17" s="51"/>
      <c r="HRE17" s="51"/>
      <c r="HRF17" s="51"/>
      <c r="HRG17" s="51"/>
      <c r="HRH17" s="51"/>
      <c r="HRI17" s="51"/>
      <c r="HRJ17" s="51"/>
      <c r="HRK17" s="51"/>
      <c r="HRL17" s="51"/>
      <c r="HRM17" s="51"/>
      <c r="HRN17" s="51"/>
      <c r="HRO17" s="51"/>
      <c r="HRP17" s="51"/>
      <c r="HRQ17" s="51"/>
      <c r="HRR17" s="51"/>
      <c r="HRS17" s="51"/>
      <c r="HRT17" s="51"/>
      <c r="HRU17" s="51"/>
      <c r="HRV17" s="51"/>
      <c r="HRW17" s="51"/>
      <c r="HRX17" s="51"/>
      <c r="HRY17" s="51"/>
      <c r="HRZ17" s="51"/>
      <c r="HSA17" s="51"/>
      <c r="HSB17" s="51"/>
      <c r="HSC17" s="51"/>
      <c r="HSD17" s="51"/>
      <c r="HSE17" s="51"/>
      <c r="HSF17" s="51"/>
      <c r="HSG17" s="51"/>
      <c r="HSH17" s="51"/>
      <c r="HSI17" s="51"/>
      <c r="HSJ17" s="51"/>
      <c r="HSK17" s="51"/>
      <c r="HSL17" s="51"/>
      <c r="HSM17" s="51"/>
      <c r="HSN17" s="51"/>
      <c r="HSO17" s="51"/>
      <c r="HSP17" s="51"/>
      <c r="HSQ17" s="51"/>
      <c r="HSR17" s="51"/>
      <c r="HSS17" s="51"/>
      <c r="HST17" s="51"/>
      <c r="HSU17" s="51"/>
      <c r="HSV17" s="51"/>
      <c r="HSW17" s="51"/>
      <c r="HSX17" s="51"/>
      <c r="HSY17" s="51"/>
      <c r="HSZ17" s="51"/>
      <c r="HTA17" s="51"/>
      <c r="HTB17" s="51"/>
      <c r="HTC17" s="51"/>
      <c r="HTD17" s="51"/>
      <c r="HTE17" s="51"/>
      <c r="HTF17" s="51"/>
      <c r="HTG17" s="51"/>
      <c r="HTH17" s="51"/>
      <c r="HTI17" s="51"/>
      <c r="HTJ17" s="51"/>
      <c r="HTK17" s="51"/>
      <c r="HTL17" s="51"/>
      <c r="HTM17" s="51"/>
      <c r="HTN17" s="51"/>
      <c r="HTO17" s="51"/>
      <c r="HTP17" s="51"/>
      <c r="HTQ17" s="51"/>
      <c r="HTR17" s="51"/>
      <c r="HTS17" s="51"/>
      <c r="HTT17" s="51"/>
      <c r="HTU17" s="51"/>
      <c r="HTV17" s="51"/>
      <c r="HTW17" s="51"/>
      <c r="HTX17" s="51"/>
      <c r="HTY17" s="51"/>
      <c r="HTZ17" s="51"/>
      <c r="HUA17" s="51"/>
      <c r="HUB17" s="51"/>
      <c r="HUC17" s="51"/>
      <c r="HUD17" s="51"/>
      <c r="HUE17" s="51"/>
      <c r="HUF17" s="51"/>
      <c r="HUG17" s="51"/>
      <c r="HUH17" s="51"/>
      <c r="HUI17" s="51"/>
      <c r="HUJ17" s="51"/>
      <c r="HUK17" s="51"/>
      <c r="HUL17" s="51"/>
      <c r="HUM17" s="51"/>
      <c r="HUN17" s="51"/>
      <c r="HUO17" s="51"/>
      <c r="HUP17" s="51"/>
      <c r="HUQ17" s="51"/>
      <c r="HUR17" s="51"/>
      <c r="HUS17" s="51"/>
      <c r="HUT17" s="51"/>
      <c r="HUU17" s="51"/>
      <c r="HUV17" s="51"/>
      <c r="HUW17" s="51"/>
      <c r="HUX17" s="51"/>
      <c r="HUY17" s="51"/>
      <c r="HUZ17" s="51"/>
      <c r="HVA17" s="51"/>
      <c r="HVB17" s="51"/>
      <c r="HVC17" s="51"/>
      <c r="HVD17" s="51"/>
      <c r="HVE17" s="51"/>
      <c r="HVF17" s="51"/>
      <c r="HVG17" s="51"/>
      <c r="HVH17" s="51"/>
      <c r="HVI17" s="51"/>
      <c r="HVJ17" s="51"/>
      <c r="HVK17" s="51"/>
      <c r="HVL17" s="51"/>
      <c r="HVM17" s="51"/>
      <c r="HVN17" s="51"/>
      <c r="HVO17" s="51"/>
      <c r="HVP17" s="51"/>
      <c r="HVQ17" s="51"/>
      <c r="HVR17" s="51"/>
      <c r="HVS17" s="51"/>
      <c r="HVT17" s="51"/>
      <c r="HVU17" s="51"/>
      <c r="HVV17" s="51"/>
      <c r="HVW17" s="51"/>
      <c r="HVX17" s="51"/>
      <c r="HVY17" s="51"/>
      <c r="HVZ17" s="51"/>
      <c r="HWA17" s="51"/>
      <c r="HWB17" s="51"/>
      <c r="HWC17" s="51"/>
      <c r="HWD17" s="51"/>
      <c r="HWE17" s="51"/>
      <c r="HWF17" s="51"/>
      <c r="HWG17" s="51"/>
      <c r="HWH17" s="51"/>
      <c r="HWI17" s="51"/>
      <c r="HWJ17" s="51"/>
      <c r="HWK17" s="51"/>
      <c r="HWL17" s="51"/>
      <c r="HWM17" s="51"/>
      <c r="HWN17" s="51"/>
      <c r="HWO17" s="51"/>
      <c r="HWP17" s="51"/>
      <c r="HWQ17" s="51"/>
      <c r="HWR17" s="51"/>
      <c r="HWS17" s="51"/>
      <c r="HWT17" s="51"/>
      <c r="HWU17" s="51"/>
      <c r="HWV17" s="51"/>
      <c r="HWW17" s="51"/>
      <c r="HWX17" s="51"/>
      <c r="HWY17" s="51"/>
      <c r="HWZ17" s="51"/>
      <c r="HXA17" s="51"/>
      <c r="HXB17" s="51"/>
      <c r="HXC17" s="51"/>
      <c r="HXD17" s="51"/>
      <c r="HXE17" s="51"/>
      <c r="HXF17" s="51"/>
      <c r="HXG17" s="51"/>
      <c r="HXH17" s="51"/>
      <c r="HXI17" s="51"/>
      <c r="HXJ17" s="51"/>
      <c r="HXK17" s="51"/>
      <c r="HXL17" s="51"/>
      <c r="HXM17" s="51"/>
      <c r="HXN17" s="51"/>
      <c r="HXO17" s="51"/>
      <c r="HXP17" s="51"/>
      <c r="HXQ17" s="51"/>
      <c r="HXR17" s="51"/>
      <c r="HXS17" s="51"/>
      <c r="HXT17" s="51"/>
      <c r="HXU17" s="51"/>
      <c r="HXV17" s="51"/>
      <c r="HXW17" s="51"/>
      <c r="HXX17" s="51"/>
      <c r="HXY17" s="51"/>
      <c r="HXZ17" s="51"/>
      <c r="HYA17" s="51"/>
      <c r="HYB17" s="51"/>
      <c r="HYC17" s="51"/>
      <c r="HYD17" s="51"/>
      <c r="HYE17" s="51"/>
      <c r="HYF17" s="51"/>
      <c r="HYG17" s="51"/>
      <c r="HYH17" s="51"/>
      <c r="HYI17" s="51"/>
      <c r="HYJ17" s="51"/>
      <c r="HYK17" s="51"/>
      <c r="HYL17" s="51"/>
      <c r="HYM17" s="51"/>
      <c r="HYN17" s="51"/>
      <c r="HYO17" s="51"/>
      <c r="HYP17" s="51"/>
      <c r="HYQ17" s="51"/>
      <c r="HYR17" s="51"/>
      <c r="HYS17" s="51"/>
      <c r="HYT17" s="51"/>
      <c r="HYU17" s="51"/>
      <c r="HYV17" s="51"/>
      <c r="HYW17" s="51"/>
      <c r="HYX17" s="51"/>
      <c r="HYY17" s="51"/>
      <c r="HYZ17" s="51"/>
      <c r="HZA17" s="51"/>
      <c r="HZB17" s="51"/>
      <c r="HZC17" s="51"/>
      <c r="HZD17" s="51"/>
      <c r="HZE17" s="51"/>
      <c r="HZF17" s="51"/>
      <c r="HZG17" s="51"/>
      <c r="HZH17" s="51"/>
      <c r="HZI17" s="51"/>
      <c r="HZJ17" s="51"/>
      <c r="HZK17" s="51"/>
      <c r="HZL17" s="51"/>
      <c r="HZM17" s="51"/>
      <c r="HZN17" s="51"/>
      <c r="HZO17" s="51"/>
      <c r="HZP17" s="51"/>
      <c r="HZQ17" s="51"/>
      <c r="HZR17" s="51"/>
      <c r="HZS17" s="51"/>
      <c r="HZT17" s="51"/>
      <c r="HZU17" s="51"/>
      <c r="HZV17" s="51"/>
      <c r="HZW17" s="51"/>
      <c r="HZX17" s="51"/>
      <c r="HZY17" s="51"/>
      <c r="HZZ17" s="51"/>
      <c r="IAA17" s="51"/>
      <c r="IAB17" s="51"/>
      <c r="IAC17" s="51"/>
      <c r="IAD17" s="51"/>
      <c r="IAE17" s="51"/>
      <c r="IAF17" s="51"/>
      <c r="IAG17" s="51"/>
      <c r="IAH17" s="51"/>
      <c r="IAI17" s="51"/>
      <c r="IAJ17" s="51"/>
      <c r="IAK17" s="51"/>
      <c r="IAL17" s="51"/>
      <c r="IAM17" s="51"/>
      <c r="IAN17" s="51"/>
      <c r="IAO17" s="51"/>
      <c r="IAP17" s="51"/>
      <c r="IAQ17" s="51"/>
      <c r="IAR17" s="51"/>
      <c r="IAS17" s="51"/>
      <c r="IAT17" s="51"/>
      <c r="IAU17" s="51"/>
      <c r="IAV17" s="51"/>
      <c r="IAW17" s="51"/>
      <c r="IAX17" s="51"/>
      <c r="IAY17" s="51"/>
      <c r="IAZ17" s="51"/>
      <c r="IBA17" s="51"/>
      <c r="IBB17" s="51"/>
      <c r="IBC17" s="51"/>
      <c r="IBD17" s="51"/>
      <c r="IBE17" s="51"/>
      <c r="IBF17" s="51"/>
      <c r="IBG17" s="51"/>
      <c r="IBH17" s="51"/>
      <c r="IBI17" s="51"/>
      <c r="IBJ17" s="51"/>
      <c r="IBK17" s="51"/>
      <c r="IBL17" s="51"/>
      <c r="IBM17" s="51"/>
      <c r="IBN17" s="51"/>
      <c r="IBO17" s="51"/>
      <c r="IBP17" s="51"/>
      <c r="IBQ17" s="51"/>
      <c r="IBR17" s="51"/>
      <c r="IBS17" s="51"/>
      <c r="IBT17" s="51"/>
      <c r="IBU17" s="51"/>
      <c r="IBV17" s="51"/>
      <c r="IBW17" s="51"/>
      <c r="IBX17" s="51"/>
      <c r="IBY17" s="51"/>
      <c r="IBZ17" s="51"/>
      <c r="ICA17" s="51"/>
      <c r="ICB17" s="51"/>
      <c r="ICC17" s="51"/>
      <c r="ICD17" s="51"/>
      <c r="ICE17" s="51"/>
      <c r="ICF17" s="51"/>
      <c r="ICG17" s="51"/>
      <c r="ICH17" s="51"/>
      <c r="ICI17" s="51"/>
      <c r="ICJ17" s="51"/>
      <c r="ICK17" s="51"/>
      <c r="ICL17" s="51"/>
      <c r="ICM17" s="51"/>
      <c r="ICN17" s="51"/>
      <c r="ICO17" s="51"/>
      <c r="ICP17" s="51"/>
      <c r="ICQ17" s="51"/>
      <c r="ICR17" s="51"/>
      <c r="ICS17" s="51"/>
      <c r="ICT17" s="51"/>
      <c r="ICU17" s="51"/>
      <c r="ICV17" s="51"/>
      <c r="ICW17" s="51"/>
      <c r="ICX17" s="51"/>
      <c r="ICY17" s="51"/>
      <c r="ICZ17" s="51"/>
      <c r="IDA17" s="51"/>
      <c r="IDB17" s="51"/>
      <c r="IDC17" s="51"/>
      <c r="IDD17" s="51"/>
      <c r="IDE17" s="51"/>
      <c r="IDF17" s="51"/>
      <c r="IDG17" s="51"/>
      <c r="IDH17" s="51"/>
      <c r="IDI17" s="51"/>
      <c r="IDJ17" s="51"/>
      <c r="IDK17" s="51"/>
      <c r="IDL17" s="51"/>
      <c r="IDM17" s="51"/>
      <c r="IDN17" s="51"/>
      <c r="IDO17" s="51"/>
      <c r="IDP17" s="51"/>
      <c r="IDQ17" s="51"/>
      <c r="IDR17" s="51"/>
      <c r="IDS17" s="51"/>
      <c r="IDT17" s="51"/>
      <c r="IDU17" s="51"/>
      <c r="IDV17" s="51"/>
      <c r="IDW17" s="51"/>
      <c r="IDX17" s="51"/>
      <c r="IDY17" s="51"/>
      <c r="IDZ17" s="51"/>
      <c r="IEA17" s="51"/>
      <c r="IEB17" s="51"/>
      <c r="IEC17" s="51"/>
      <c r="IED17" s="51"/>
      <c r="IEE17" s="51"/>
      <c r="IEF17" s="51"/>
      <c r="IEG17" s="51"/>
      <c r="IEH17" s="51"/>
      <c r="IEI17" s="51"/>
      <c r="IEJ17" s="51"/>
      <c r="IEK17" s="51"/>
      <c r="IEL17" s="51"/>
      <c r="IEM17" s="51"/>
      <c r="IEN17" s="51"/>
      <c r="IEO17" s="51"/>
      <c r="IEP17" s="51"/>
      <c r="IEQ17" s="51"/>
      <c r="IER17" s="51"/>
      <c r="IES17" s="51"/>
      <c r="IET17" s="51"/>
      <c r="IEU17" s="51"/>
      <c r="IEV17" s="51"/>
      <c r="IEW17" s="51"/>
      <c r="IEX17" s="51"/>
      <c r="IEY17" s="51"/>
      <c r="IEZ17" s="51"/>
      <c r="IFA17" s="51"/>
      <c r="IFB17" s="51"/>
      <c r="IFC17" s="51"/>
      <c r="IFD17" s="51"/>
      <c r="IFE17" s="51"/>
      <c r="IFF17" s="51"/>
      <c r="IFG17" s="51"/>
      <c r="IFH17" s="51"/>
      <c r="IFI17" s="51"/>
      <c r="IFJ17" s="51"/>
      <c r="IFK17" s="51"/>
      <c r="IFL17" s="51"/>
      <c r="IFM17" s="51"/>
      <c r="IFN17" s="51"/>
      <c r="IFO17" s="51"/>
      <c r="IFP17" s="51"/>
      <c r="IFQ17" s="51"/>
      <c r="IFR17" s="51"/>
      <c r="IFS17" s="51"/>
      <c r="IFT17" s="51"/>
      <c r="IFU17" s="51"/>
      <c r="IFV17" s="51"/>
      <c r="IFW17" s="51"/>
      <c r="IFX17" s="51"/>
      <c r="IFY17" s="51"/>
      <c r="IFZ17" s="51"/>
      <c r="IGA17" s="51"/>
      <c r="IGB17" s="51"/>
      <c r="IGC17" s="51"/>
      <c r="IGD17" s="51"/>
      <c r="IGE17" s="51"/>
      <c r="IGF17" s="51"/>
      <c r="IGG17" s="51"/>
      <c r="IGH17" s="51"/>
      <c r="IGI17" s="51"/>
      <c r="IGJ17" s="51"/>
      <c r="IGK17" s="51"/>
      <c r="IGL17" s="51"/>
      <c r="IGM17" s="51"/>
      <c r="IGN17" s="51"/>
      <c r="IGO17" s="51"/>
      <c r="IGP17" s="51"/>
      <c r="IGQ17" s="51"/>
      <c r="IGR17" s="51"/>
      <c r="IGS17" s="51"/>
      <c r="IGT17" s="51"/>
      <c r="IGU17" s="51"/>
      <c r="IGV17" s="51"/>
      <c r="IGW17" s="51"/>
      <c r="IGX17" s="51"/>
      <c r="IGY17" s="51"/>
      <c r="IGZ17" s="51"/>
      <c r="IHA17" s="51"/>
      <c r="IHB17" s="51"/>
      <c r="IHC17" s="51"/>
      <c r="IHD17" s="51"/>
      <c r="IHE17" s="51"/>
      <c r="IHF17" s="51"/>
      <c r="IHG17" s="51"/>
      <c r="IHH17" s="51"/>
      <c r="IHI17" s="51"/>
      <c r="IHJ17" s="51"/>
      <c r="IHK17" s="51"/>
      <c r="IHL17" s="51"/>
      <c r="IHM17" s="51"/>
      <c r="IHN17" s="51"/>
      <c r="IHO17" s="51"/>
      <c r="IHP17" s="51"/>
      <c r="IHQ17" s="51"/>
      <c r="IHR17" s="51"/>
      <c r="IHS17" s="51"/>
      <c r="IHT17" s="51"/>
      <c r="IHU17" s="51"/>
      <c r="IHV17" s="51"/>
      <c r="IHW17" s="51"/>
      <c r="IHX17" s="51"/>
      <c r="IHY17" s="51"/>
      <c r="IHZ17" s="51"/>
      <c r="IIA17" s="51"/>
      <c r="IIB17" s="51"/>
      <c r="IIC17" s="51"/>
      <c r="IID17" s="51"/>
      <c r="IIE17" s="51"/>
      <c r="IIF17" s="51"/>
      <c r="IIG17" s="51"/>
      <c r="IIH17" s="51"/>
      <c r="III17" s="51"/>
      <c r="IIJ17" s="51"/>
      <c r="IIK17" s="51"/>
      <c r="IIL17" s="51"/>
      <c r="IIM17" s="51"/>
      <c r="IIN17" s="51"/>
      <c r="IIO17" s="51"/>
      <c r="IIP17" s="51"/>
      <c r="IIQ17" s="51"/>
      <c r="IIR17" s="51"/>
      <c r="IIS17" s="51"/>
      <c r="IIT17" s="51"/>
      <c r="IIU17" s="51"/>
      <c r="IIV17" s="51"/>
      <c r="IIW17" s="51"/>
      <c r="IIX17" s="51"/>
      <c r="IIY17" s="51"/>
      <c r="IIZ17" s="51"/>
      <c r="IJA17" s="51"/>
      <c r="IJB17" s="51"/>
      <c r="IJC17" s="51"/>
      <c r="IJD17" s="51"/>
      <c r="IJE17" s="51"/>
      <c r="IJF17" s="51"/>
      <c r="IJG17" s="51"/>
      <c r="IJH17" s="51"/>
      <c r="IJI17" s="51"/>
      <c r="IJJ17" s="51"/>
      <c r="IJK17" s="51"/>
      <c r="IJL17" s="51"/>
      <c r="IJM17" s="51"/>
      <c r="IJN17" s="51"/>
      <c r="IJO17" s="51"/>
      <c r="IJP17" s="51"/>
      <c r="IJQ17" s="51"/>
      <c r="IJR17" s="51"/>
      <c r="IJS17" s="51"/>
      <c r="IJT17" s="51"/>
      <c r="IJU17" s="51"/>
      <c r="IJV17" s="51"/>
      <c r="IJW17" s="51"/>
      <c r="IJX17" s="51"/>
      <c r="IJY17" s="51"/>
      <c r="IJZ17" s="51"/>
      <c r="IKA17" s="51"/>
      <c r="IKB17" s="51"/>
      <c r="IKC17" s="51"/>
      <c r="IKD17" s="51"/>
      <c r="IKE17" s="51"/>
      <c r="IKF17" s="51"/>
      <c r="IKG17" s="51"/>
      <c r="IKH17" s="51"/>
      <c r="IKI17" s="51"/>
      <c r="IKJ17" s="51"/>
      <c r="IKK17" s="51"/>
      <c r="IKL17" s="51"/>
      <c r="IKM17" s="51"/>
      <c r="IKN17" s="51"/>
      <c r="IKO17" s="51"/>
      <c r="IKP17" s="51"/>
      <c r="IKQ17" s="51"/>
      <c r="IKR17" s="51"/>
      <c r="IKS17" s="51"/>
      <c r="IKT17" s="51"/>
      <c r="IKU17" s="51"/>
      <c r="IKV17" s="51"/>
      <c r="IKW17" s="51"/>
      <c r="IKX17" s="51"/>
      <c r="IKY17" s="51"/>
      <c r="IKZ17" s="51"/>
      <c r="ILA17" s="51"/>
      <c r="ILB17" s="51"/>
      <c r="ILC17" s="51"/>
      <c r="ILD17" s="51"/>
      <c r="ILE17" s="51"/>
      <c r="ILF17" s="51"/>
      <c r="ILG17" s="51"/>
      <c r="ILH17" s="51"/>
      <c r="ILI17" s="51"/>
      <c r="ILJ17" s="51"/>
      <c r="ILK17" s="51"/>
      <c r="ILL17" s="51"/>
      <c r="ILM17" s="51"/>
      <c r="ILN17" s="51"/>
      <c r="ILO17" s="51"/>
      <c r="ILP17" s="51"/>
      <c r="ILQ17" s="51"/>
      <c r="ILR17" s="51"/>
      <c r="ILS17" s="51"/>
      <c r="ILT17" s="51"/>
      <c r="ILU17" s="51"/>
      <c r="ILV17" s="51"/>
      <c r="ILW17" s="51"/>
      <c r="ILX17" s="51"/>
      <c r="ILY17" s="51"/>
      <c r="ILZ17" s="51"/>
      <c r="IMA17" s="51"/>
      <c r="IMB17" s="51"/>
      <c r="IMC17" s="51"/>
      <c r="IMD17" s="51"/>
      <c r="IME17" s="51"/>
      <c r="IMF17" s="51"/>
      <c r="IMG17" s="51"/>
      <c r="IMH17" s="51"/>
      <c r="IMI17" s="51"/>
      <c r="IMJ17" s="51"/>
      <c r="IMK17" s="51"/>
      <c r="IML17" s="51"/>
      <c r="IMM17" s="51"/>
      <c r="IMN17" s="51"/>
      <c r="IMO17" s="51"/>
      <c r="IMP17" s="51"/>
      <c r="IMQ17" s="51"/>
      <c r="IMR17" s="51"/>
      <c r="IMS17" s="51"/>
      <c r="IMT17" s="51"/>
      <c r="IMU17" s="51"/>
      <c r="IMV17" s="51"/>
      <c r="IMW17" s="51"/>
      <c r="IMX17" s="51"/>
      <c r="IMY17" s="51"/>
      <c r="IMZ17" s="51"/>
      <c r="INA17" s="51"/>
      <c r="INB17" s="51"/>
      <c r="INC17" s="51"/>
      <c r="IND17" s="51"/>
      <c r="INE17" s="51"/>
      <c r="INF17" s="51"/>
      <c r="ING17" s="51"/>
      <c r="INH17" s="51"/>
      <c r="INI17" s="51"/>
      <c r="INJ17" s="51"/>
      <c r="INK17" s="51"/>
      <c r="INL17" s="51"/>
      <c r="INM17" s="51"/>
      <c r="INN17" s="51"/>
      <c r="INO17" s="51"/>
      <c r="INP17" s="51"/>
      <c r="INQ17" s="51"/>
      <c r="INR17" s="51"/>
      <c r="INS17" s="51"/>
      <c r="INT17" s="51"/>
      <c r="INU17" s="51"/>
      <c r="INV17" s="51"/>
      <c r="INW17" s="51"/>
      <c r="INX17" s="51"/>
      <c r="INY17" s="51"/>
      <c r="INZ17" s="51"/>
      <c r="IOA17" s="51"/>
      <c r="IOB17" s="51"/>
      <c r="IOC17" s="51"/>
      <c r="IOD17" s="51"/>
      <c r="IOE17" s="51"/>
      <c r="IOF17" s="51"/>
      <c r="IOG17" s="51"/>
      <c r="IOH17" s="51"/>
      <c r="IOI17" s="51"/>
      <c r="IOJ17" s="51"/>
      <c r="IOK17" s="51"/>
      <c r="IOL17" s="51"/>
      <c r="IOM17" s="51"/>
      <c r="ION17" s="51"/>
      <c r="IOO17" s="51"/>
      <c r="IOP17" s="51"/>
      <c r="IOQ17" s="51"/>
      <c r="IOR17" s="51"/>
      <c r="IOS17" s="51"/>
      <c r="IOT17" s="51"/>
      <c r="IOU17" s="51"/>
      <c r="IOV17" s="51"/>
      <c r="IOW17" s="51"/>
      <c r="IOX17" s="51"/>
      <c r="IOY17" s="51"/>
      <c r="IOZ17" s="51"/>
      <c r="IPA17" s="51"/>
      <c r="IPB17" s="51"/>
      <c r="IPC17" s="51"/>
      <c r="IPD17" s="51"/>
      <c r="IPE17" s="51"/>
      <c r="IPF17" s="51"/>
      <c r="IPG17" s="51"/>
      <c r="IPH17" s="51"/>
      <c r="IPI17" s="51"/>
      <c r="IPJ17" s="51"/>
      <c r="IPK17" s="51"/>
      <c r="IPL17" s="51"/>
      <c r="IPM17" s="51"/>
      <c r="IPN17" s="51"/>
      <c r="IPO17" s="51"/>
      <c r="IPP17" s="51"/>
      <c r="IPQ17" s="51"/>
      <c r="IPR17" s="51"/>
      <c r="IPS17" s="51"/>
      <c r="IPT17" s="51"/>
      <c r="IPU17" s="51"/>
      <c r="IPV17" s="51"/>
      <c r="IPW17" s="51"/>
      <c r="IPX17" s="51"/>
      <c r="IPY17" s="51"/>
      <c r="IPZ17" s="51"/>
      <c r="IQA17" s="51"/>
      <c r="IQB17" s="51"/>
      <c r="IQC17" s="51"/>
      <c r="IQD17" s="51"/>
      <c r="IQE17" s="51"/>
      <c r="IQF17" s="51"/>
      <c r="IQG17" s="51"/>
      <c r="IQH17" s="51"/>
      <c r="IQI17" s="51"/>
      <c r="IQJ17" s="51"/>
      <c r="IQK17" s="51"/>
      <c r="IQL17" s="51"/>
      <c r="IQM17" s="51"/>
      <c r="IQN17" s="51"/>
      <c r="IQO17" s="51"/>
      <c r="IQP17" s="51"/>
      <c r="IQQ17" s="51"/>
      <c r="IQR17" s="51"/>
      <c r="IQS17" s="51"/>
      <c r="IQT17" s="51"/>
      <c r="IQU17" s="51"/>
      <c r="IQV17" s="51"/>
      <c r="IQW17" s="51"/>
      <c r="IQX17" s="51"/>
      <c r="IQY17" s="51"/>
      <c r="IQZ17" s="51"/>
      <c r="IRA17" s="51"/>
      <c r="IRB17" s="51"/>
      <c r="IRC17" s="51"/>
      <c r="IRD17" s="51"/>
      <c r="IRE17" s="51"/>
      <c r="IRF17" s="51"/>
      <c r="IRG17" s="51"/>
      <c r="IRH17" s="51"/>
      <c r="IRI17" s="51"/>
      <c r="IRJ17" s="51"/>
      <c r="IRK17" s="51"/>
      <c r="IRL17" s="51"/>
      <c r="IRM17" s="51"/>
      <c r="IRN17" s="51"/>
      <c r="IRO17" s="51"/>
      <c r="IRP17" s="51"/>
      <c r="IRQ17" s="51"/>
      <c r="IRR17" s="51"/>
      <c r="IRS17" s="51"/>
      <c r="IRT17" s="51"/>
      <c r="IRU17" s="51"/>
      <c r="IRV17" s="51"/>
      <c r="IRW17" s="51"/>
      <c r="IRX17" s="51"/>
      <c r="IRY17" s="51"/>
      <c r="IRZ17" s="51"/>
      <c r="ISA17" s="51"/>
      <c r="ISB17" s="51"/>
      <c r="ISC17" s="51"/>
      <c r="ISD17" s="51"/>
      <c r="ISE17" s="51"/>
      <c r="ISF17" s="51"/>
      <c r="ISG17" s="51"/>
      <c r="ISH17" s="51"/>
      <c r="ISI17" s="51"/>
      <c r="ISJ17" s="51"/>
      <c r="ISK17" s="51"/>
      <c r="ISL17" s="51"/>
      <c r="ISM17" s="51"/>
      <c r="ISN17" s="51"/>
      <c r="ISO17" s="51"/>
      <c r="ISP17" s="51"/>
      <c r="ISQ17" s="51"/>
      <c r="ISR17" s="51"/>
      <c r="ISS17" s="51"/>
      <c r="IST17" s="51"/>
      <c r="ISU17" s="51"/>
      <c r="ISV17" s="51"/>
      <c r="ISW17" s="51"/>
      <c r="ISX17" s="51"/>
      <c r="ISY17" s="51"/>
      <c r="ISZ17" s="51"/>
      <c r="ITA17" s="51"/>
      <c r="ITB17" s="51"/>
      <c r="ITC17" s="51"/>
      <c r="ITD17" s="51"/>
      <c r="ITE17" s="51"/>
      <c r="ITF17" s="51"/>
      <c r="ITG17" s="51"/>
      <c r="ITH17" s="51"/>
      <c r="ITI17" s="51"/>
      <c r="ITJ17" s="51"/>
      <c r="ITK17" s="51"/>
      <c r="ITL17" s="51"/>
      <c r="ITM17" s="51"/>
      <c r="ITN17" s="51"/>
      <c r="ITO17" s="51"/>
      <c r="ITP17" s="51"/>
      <c r="ITQ17" s="51"/>
      <c r="ITR17" s="51"/>
      <c r="ITS17" s="51"/>
      <c r="ITT17" s="51"/>
      <c r="ITU17" s="51"/>
      <c r="ITV17" s="51"/>
      <c r="ITW17" s="51"/>
      <c r="ITX17" s="51"/>
      <c r="ITY17" s="51"/>
      <c r="ITZ17" s="51"/>
      <c r="IUA17" s="51"/>
      <c r="IUB17" s="51"/>
      <c r="IUC17" s="51"/>
      <c r="IUD17" s="51"/>
      <c r="IUE17" s="51"/>
      <c r="IUF17" s="51"/>
      <c r="IUG17" s="51"/>
      <c r="IUH17" s="51"/>
      <c r="IUI17" s="51"/>
      <c r="IUJ17" s="51"/>
      <c r="IUK17" s="51"/>
      <c r="IUL17" s="51"/>
      <c r="IUM17" s="51"/>
      <c r="IUN17" s="51"/>
      <c r="IUO17" s="51"/>
      <c r="IUP17" s="51"/>
      <c r="IUQ17" s="51"/>
      <c r="IUR17" s="51"/>
      <c r="IUS17" s="51"/>
      <c r="IUT17" s="51"/>
      <c r="IUU17" s="51"/>
      <c r="IUV17" s="51"/>
      <c r="IUW17" s="51"/>
      <c r="IUX17" s="51"/>
      <c r="IUY17" s="51"/>
      <c r="IUZ17" s="51"/>
      <c r="IVA17" s="51"/>
      <c r="IVB17" s="51"/>
      <c r="IVC17" s="51"/>
      <c r="IVD17" s="51"/>
      <c r="IVE17" s="51"/>
      <c r="IVF17" s="51"/>
      <c r="IVG17" s="51"/>
      <c r="IVH17" s="51"/>
      <c r="IVI17" s="51"/>
      <c r="IVJ17" s="51"/>
      <c r="IVK17" s="51"/>
      <c r="IVL17" s="51"/>
      <c r="IVM17" s="51"/>
      <c r="IVN17" s="51"/>
      <c r="IVO17" s="51"/>
      <c r="IVP17" s="51"/>
      <c r="IVQ17" s="51"/>
      <c r="IVR17" s="51"/>
      <c r="IVS17" s="51"/>
      <c r="IVT17" s="51"/>
      <c r="IVU17" s="51"/>
      <c r="IVV17" s="51"/>
      <c r="IVW17" s="51"/>
      <c r="IVX17" s="51"/>
      <c r="IVY17" s="51"/>
      <c r="IVZ17" s="51"/>
      <c r="IWA17" s="51"/>
      <c r="IWB17" s="51"/>
      <c r="IWC17" s="51"/>
      <c r="IWD17" s="51"/>
      <c r="IWE17" s="51"/>
      <c r="IWF17" s="51"/>
      <c r="IWG17" s="51"/>
      <c r="IWH17" s="51"/>
      <c r="IWI17" s="51"/>
      <c r="IWJ17" s="51"/>
      <c r="IWK17" s="51"/>
      <c r="IWL17" s="51"/>
      <c r="IWM17" s="51"/>
      <c r="IWN17" s="51"/>
      <c r="IWO17" s="51"/>
      <c r="IWP17" s="51"/>
      <c r="IWQ17" s="51"/>
      <c r="IWR17" s="51"/>
      <c r="IWS17" s="51"/>
      <c r="IWT17" s="51"/>
      <c r="IWU17" s="51"/>
      <c r="IWV17" s="51"/>
      <c r="IWW17" s="51"/>
      <c r="IWX17" s="51"/>
      <c r="IWY17" s="51"/>
      <c r="IWZ17" s="51"/>
      <c r="IXA17" s="51"/>
      <c r="IXB17" s="51"/>
      <c r="IXC17" s="51"/>
      <c r="IXD17" s="51"/>
      <c r="IXE17" s="51"/>
      <c r="IXF17" s="51"/>
      <c r="IXG17" s="51"/>
      <c r="IXH17" s="51"/>
      <c r="IXI17" s="51"/>
      <c r="IXJ17" s="51"/>
      <c r="IXK17" s="51"/>
      <c r="IXL17" s="51"/>
      <c r="IXM17" s="51"/>
      <c r="IXN17" s="51"/>
      <c r="IXO17" s="51"/>
      <c r="IXP17" s="51"/>
      <c r="IXQ17" s="51"/>
      <c r="IXR17" s="51"/>
      <c r="IXS17" s="51"/>
      <c r="IXT17" s="51"/>
      <c r="IXU17" s="51"/>
      <c r="IXV17" s="51"/>
      <c r="IXW17" s="51"/>
      <c r="IXX17" s="51"/>
      <c r="IXY17" s="51"/>
      <c r="IXZ17" s="51"/>
      <c r="IYA17" s="51"/>
      <c r="IYB17" s="51"/>
      <c r="IYC17" s="51"/>
      <c r="IYD17" s="51"/>
      <c r="IYE17" s="51"/>
      <c r="IYF17" s="51"/>
      <c r="IYG17" s="51"/>
      <c r="IYH17" s="51"/>
      <c r="IYI17" s="51"/>
      <c r="IYJ17" s="51"/>
      <c r="IYK17" s="51"/>
      <c r="IYL17" s="51"/>
      <c r="IYM17" s="51"/>
      <c r="IYN17" s="51"/>
      <c r="IYO17" s="51"/>
      <c r="IYP17" s="51"/>
      <c r="IYQ17" s="51"/>
      <c r="IYR17" s="51"/>
      <c r="IYS17" s="51"/>
      <c r="IYT17" s="51"/>
      <c r="IYU17" s="51"/>
      <c r="IYV17" s="51"/>
      <c r="IYW17" s="51"/>
      <c r="IYX17" s="51"/>
      <c r="IYY17" s="51"/>
      <c r="IYZ17" s="51"/>
      <c r="IZA17" s="51"/>
      <c r="IZB17" s="51"/>
      <c r="IZC17" s="51"/>
      <c r="IZD17" s="51"/>
      <c r="IZE17" s="51"/>
      <c r="IZF17" s="51"/>
      <c r="IZG17" s="51"/>
      <c r="IZH17" s="51"/>
      <c r="IZI17" s="51"/>
      <c r="IZJ17" s="51"/>
      <c r="IZK17" s="51"/>
      <c r="IZL17" s="51"/>
      <c r="IZM17" s="51"/>
      <c r="IZN17" s="51"/>
      <c r="IZO17" s="51"/>
      <c r="IZP17" s="51"/>
      <c r="IZQ17" s="51"/>
      <c r="IZR17" s="51"/>
      <c r="IZS17" s="51"/>
      <c r="IZT17" s="51"/>
      <c r="IZU17" s="51"/>
      <c r="IZV17" s="51"/>
      <c r="IZW17" s="51"/>
      <c r="IZX17" s="51"/>
      <c r="IZY17" s="51"/>
      <c r="IZZ17" s="51"/>
      <c r="JAA17" s="51"/>
      <c r="JAB17" s="51"/>
      <c r="JAC17" s="51"/>
      <c r="JAD17" s="51"/>
      <c r="JAE17" s="51"/>
      <c r="JAF17" s="51"/>
      <c r="JAG17" s="51"/>
      <c r="JAH17" s="51"/>
      <c r="JAI17" s="51"/>
      <c r="JAJ17" s="51"/>
      <c r="JAK17" s="51"/>
      <c r="JAL17" s="51"/>
      <c r="JAM17" s="51"/>
      <c r="JAN17" s="51"/>
      <c r="JAO17" s="51"/>
      <c r="JAP17" s="51"/>
      <c r="JAQ17" s="51"/>
      <c r="JAR17" s="51"/>
      <c r="JAS17" s="51"/>
      <c r="JAT17" s="51"/>
      <c r="JAU17" s="51"/>
      <c r="JAV17" s="51"/>
      <c r="JAW17" s="51"/>
      <c r="JAX17" s="51"/>
      <c r="JAY17" s="51"/>
      <c r="JAZ17" s="51"/>
      <c r="JBA17" s="51"/>
      <c r="JBB17" s="51"/>
      <c r="JBC17" s="51"/>
      <c r="JBD17" s="51"/>
      <c r="JBE17" s="51"/>
      <c r="JBF17" s="51"/>
      <c r="JBG17" s="51"/>
      <c r="JBH17" s="51"/>
      <c r="JBI17" s="51"/>
      <c r="JBJ17" s="51"/>
      <c r="JBK17" s="51"/>
      <c r="JBL17" s="51"/>
      <c r="JBM17" s="51"/>
      <c r="JBN17" s="51"/>
      <c r="JBO17" s="51"/>
      <c r="JBP17" s="51"/>
      <c r="JBQ17" s="51"/>
      <c r="JBR17" s="51"/>
      <c r="JBS17" s="51"/>
      <c r="JBT17" s="51"/>
      <c r="JBU17" s="51"/>
      <c r="JBV17" s="51"/>
      <c r="JBW17" s="51"/>
      <c r="JBX17" s="51"/>
      <c r="JBY17" s="51"/>
      <c r="JBZ17" s="51"/>
      <c r="JCA17" s="51"/>
      <c r="JCB17" s="51"/>
      <c r="JCC17" s="51"/>
      <c r="JCD17" s="51"/>
      <c r="JCE17" s="51"/>
      <c r="JCF17" s="51"/>
      <c r="JCG17" s="51"/>
      <c r="JCH17" s="51"/>
      <c r="JCI17" s="51"/>
      <c r="JCJ17" s="51"/>
      <c r="JCK17" s="51"/>
      <c r="JCL17" s="51"/>
      <c r="JCM17" s="51"/>
      <c r="JCN17" s="51"/>
      <c r="JCO17" s="51"/>
      <c r="JCP17" s="51"/>
      <c r="JCQ17" s="51"/>
      <c r="JCR17" s="51"/>
      <c r="JCS17" s="51"/>
      <c r="JCT17" s="51"/>
      <c r="JCU17" s="51"/>
      <c r="JCV17" s="51"/>
      <c r="JCW17" s="51"/>
      <c r="JCX17" s="51"/>
      <c r="JCY17" s="51"/>
      <c r="JCZ17" s="51"/>
      <c r="JDA17" s="51"/>
      <c r="JDB17" s="51"/>
      <c r="JDC17" s="51"/>
      <c r="JDD17" s="51"/>
      <c r="JDE17" s="51"/>
      <c r="JDF17" s="51"/>
      <c r="JDG17" s="51"/>
      <c r="JDH17" s="51"/>
      <c r="JDI17" s="51"/>
      <c r="JDJ17" s="51"/>
      <c r="JDK17" s="51"/>
      <c r="JDL17" s="51"/>
      <c r="JDM17" s="51"/>
      <c r="JDN17" s="51"/>
      <c r="JDO17" s="51"/>
      <c r="JDP17" s="51"/>
      <c r="JDQ17" s="51"/>
      <c r="JDR17" s="51"/>
      <c r="JDS17" s="51"/>
      <c r="JDT17" s="51"/>
      <c r="JDU17" s="51"/>
      <c r="JDV17" s="51"/>
      <c r="JDW17" s="51"/>
      <c r="JDX17" s="51"/>
      <c r="JDY17" s="51"/>
      <c r="JDZ17" s="51"/>
      <c r="JEA17" s="51"/>
      <c r="JEB17" s="51"/>
      <c r="JEC17" s="51"/>
      <c r="JED17" s="51"/>
      <c r="JEE17" s="51"/>
      <c r="JEF17" s="51"/>
      <c r="JEG17" s="51"/>
      <c r="JEH17" s="51"/>
      <c r="JEI17" s="51"/>
      <c r="JEJ17" s="51"/>
      <c r="JEK17" s="51"/>
      <c r="JEL17" s="51"/>
      <c r="JEM17" s="51"/>
      <c r="JEN17" s="51"/>
      <c r="JEO17" s="51"/>
      <c r="JEP17" s="51"/>
      <c r="JEQ17" s="51"/>
      <c r="JER17" s="51"/>
      <c r="JES17" s="51"/>
      <c r="JET17" s="51"/>
      <c r="JEU17" s="51"/>
      <c r="JEV17" s="51"/>
      <c r="JEW17" s="51"/>
      <c r="JEX17" s="51"/>
      <c r="JEY17" s="51"/>
      <c r="JEZ17" s="51"/>
      <c r="JFA17" s="51"/>
      <c r="JFB17" s="51"/>
      <c r="JFC17" s="51"/>
      <c r="JFD17" s="51"/>
      <c r="JFE17" s="51"/>
      <c r="JFF17" s="51"/>
      <c r="JFG17" s="51"/>
      <c r="JFH17" s="51"/>
      <c r="JFI17" s="51"/>
      <c r="JFJ17" s="51"/>
      <c r="JFK17" s="51"/>
      <c r="JFL17" s="51"/>
      <c r="JFM17" s="51"/>
      <c r="JFN17" s="51"/>
      <c r="JFO17" s="51"/>
      <c r="JFP17" s="51"/>
      <c r="JFQ17" s="51"/>
      <c r="JFR17" s="51"/>
      <c r="JFS17" s="51"/>
      <c r="JFT17" s="51"/>
      <c r="JFU17" s="51"/>
      <c r="JFV17" s="51"/>
      <c r="JFW17" s="51"/>
      <c r="JFX17" s="51"/>
      <c r="JFY17" s="51"/>
      <c r="JFZ17" s="51"/>
      <c r="JGA17" s="51"/>
      <c r="JGB17" s="51"/>
      <c r="JGC17" s="51"/>
      <c r="JGD17" s="51"/>
      <c r="JGE17" s="51"/>
      <c r="JGF17" s="51"/>
      <c r="JGG17" s="51"/>
      <c r="JGH17" s="51"/>
      <c r="JGI17" s="51"/>
      <c r="JGJ17" s="51"/>
      <c r="JGK17" s="51"/>
      <c r="JGL17" s="51"/>
      <c r="JGM17" s="51"/>
      <c r="JGN17" s="51"/>
      <c r="JGO17" s="51"/>
      <c r="JGP17" s="51"/>
      <c r="JGQ17" s="51"/>
      <c r="JGR17" s="51"/>
      <c r="JGS17" s="51"/>
      <c r="JGT17" s="51"/>
      <c r="JGU17" s="51"/>
      <c r="JGV17" s="51"/>
      <c r="JGW17" s="51"/>
      <c r="JGX17" s="51"/>
      <c r="JGY17" s="51"/>
      <c r="JGZ17" s="51"/>
      <c r="JHA17" s="51"/>
      <c r="JHB17" s="51"/>
      <c r="JHC17" s="51"/>
      <c r="JHD17" s="51"/>
      <c r="JHE17" s="51"/>
      <c r="JHF17" s="51"/>
      <c r="JHG17" s="51"/>
      <c r="JHH17" s="51"/>
      <c r="JHI17" s="51"/>
      <c r="JHJ17" s="51"/>
      <c r="JHK17" s="51"/>
      <c r="JHL17" s="51"/>
      <c r="JHM17" s="51"/>
      <c r="JHN17" s="51"/>
      <c r="JHO17" s="51"/>
      <c r="JHP17" s="51"/>
      <c r="JHQ17" s="51"/>
      <c r="JHR17" s="51"/>
      <c r="JHS17" s="51"/>
      <c r="JHT17" s="51"/>
      <c r="JHU17" s="51"/>
      <c r="JHV17" s="51"/>
      <c r="JHW17" s="51"/>
      <c r="JHX17" s="51"/>
      <c r="JHY17" s="51"/>
      <c r="JHZ17" s="51"/>
      <c r="JIA17" s="51"/>
      <c r="JIB17" s="51"/>
      <c r="JIC17" s="51"/>
      <c r="JID17" s="51"/>
      <c r="JIE17" s="51"/>
      <c r="JIF17" s="51"/>
      <c r="JIG17" s="51"/>
      <c r="JIH17" s="51"/>
      <c r="JII17" s="51"/>
      <c r="JIJ17" s="51"/>
      <c r="JIK17" s="51"/>
      <c r="JIL17" s="51"/>
      <c r="JIM17" s="51"/>
      <c r="JIN17" s="51"/>
      <c r="JIO17" s="51"/>
      <c r="JIP17" s="51"/>
      <c r="JIQ17" s="51"/>
      <c r="JIR17" s="51"/>
      <c r="JIS17" s="51"/>
      <c r="JIT17" s="51"/>
      <c r="JIU17" s="51"/>
      <c r="JIV17" s="51"/>
      <c r="JIW17" s="51"/>
      <c r="JIX17" s="51"/>
      <c r="JIY17" s="51"/>
      <c r="JIZ17" s="51"/>
      <c r="JJA17" s="51"/>
      <c r="JJB17" s="51"/>
      <c r="JJC17" s="51"/>
      <c r="JJD17" s="51"/>
      <c r="JJE17" s="51"/>
      <c r="JJF17" s="51"/>
      <c r="JJG17" s="51"/>
      <c r="JJH17" s="51"/>
      <c r="JJI17" s="51"/>
      <c r="JJJ17" s="51"/>
      <c r="JJK17" s="51"/>
      <c r="JJL17" s="51"/>
      <c r="JJM17" s="51"/>
      <c r="JJN17" s="51"/>
      <c r="JJO17" s="51"/>
      <c r="JJP17" s="51"/>
      <c r="JJQ17" s="51"/>
      <c r="JJR17" s="51"/>
      <c r="JJS17" s="51"/>
      <c r="JJT17" s="51"/>
      <c r="JJU17" s="51"/>
      <c r="JJV17" s="51"/>
      <c r="JJW17" s="51"/>
      <c r="JJX17" s="51"/>
      <c r="JJY17" s="51"/>
      <c r="JJZ17" s="51"/>
      <c r="JKA17" s="51"/>
      <c r="JKB17" s="51"/>
      <c r="JKC17" s="51"/>
      <c r="JKD17" s="51"/>
      <c r="JKE17" s="51"/>
      <c r="JKF17" s="51"/>
      <c r="JKG17" s="51"/>
      <c r="JKH17" s="51"/>
      <c r="JKI17" s="51"/>
      <c r="JKJ17" s="51"/>
      <c r="JKK17" s="51"/>
      <c r="JKL17" s="51"/>
      <c r="JKM17" s="51"/>
      <c r="JKN17" s="51"/>
      <c r="JKO17" s="51"/>
      <c r="JKP17" s="51"/>
      <c r="JKQ17" s="51"/>
      <c r="JKR17" s="51"/>
      <c r="JKS17" s="51"/>
      <c r="JKT17" s="51"/>
      <c r="JKU17" s="51"/>
      <c r="JKV17" s="51"/>
      <c r="JKW17" s="51"/>
      <c r="JKX17" s="51"/>
      <c r="JKY17" s="51"/>
      <c r="JKZ17" s="51"/>
      <c r="JLA17" s="51"/>
      <c r="JLB17" s="51"/>
      <c r="JLC17" s="51"/>
      <c r="JLD17" s="51"/>
      <c r="JLE17" s="51"/>
      <c r="JLF17" s="51"/>
      <c r="JLG17" s="51"/>
      <c r="JLH17" s="51"/>
      <c r="JLI17" s="51"/>
      <c r="JLJ17" s="51"/>
      <c r="JLK17" s="51"/>
      <c r="JLL17" s="51"/>
      <c r="JLM17" s="51"/>
      <c r="JLN17" s="51"/>
      <c r="JLO17" s="51"/>
      <c r="JLP17" s="51"/>
      <c r="JLQ17" s="51"/>
      <c r="JLR17" s="51"/>
      <c r="JLS17" s="51"/>
      <c r="JLT17" s="51"/>
      <c r="JLU17" s="51"/>
      <c r="JLV17" s="51"/>
      <c r="JLW17" s="51"/>
      <c r="JLX17" s="51"/>
      <c r="JLY17" s="51"/>
      <c r="JLZ17" s="51"/>
      <c r="JMA17" s="51"/>
      <c r="JMB17" s="51"/>
      <c r="JMC17" s="51"/>
      <c r="JMD17" s="51"/>
      <c r="JME17" s="51"/>
      <c r="JMF17" s="51"/>
      <c r="JMG17" s="51"/>
      <c r="JMH17" s="51"/>
      <c r="JMI17" s="51"/>
      <c r="JMJ17" s="51"/>
      <c r="JMK17" s="51"/>
      <c r="JML17" s="51"/>
      <c r="JMM17" s="51"/>
      <c r="JMN17" s="51"/>
      <c r="JMO17" s="51"/>
      <c r="JMP17" s="51"/>
      <c r="JMQ17" s="51"/>
      <c r="JMR17" s="51"/>
      <c r="JMS17" s="51"/>
      <c r="JMT17" s="51"/>
      <c r="JMU17" s="51"/>
      <c r="JMV17" s="51"/>
      <c r="JMW17" s="51"/>
      <c r="JMX17" s="51"/>
      <c r="JMY17" s="51"/>
      <c r="JMZ17" s="51"/>
      <c r="JNA17" s="51"/>
      <c r="JNB17" s="51"/>
      <c r="JNC17" s="51"/>
      <c r="JND17" s="51"/>
      <c r="JNE17" s="51"/>
      <c r="JNF17" s="51"/>
      <c r="JNG17" s="51"/>
      <c r="JNH17" s="51"/>
      <c r="JNI17" s="51"/>
      <c r="JNJ17" s="51"/>
      <c r="JNK17" s="51"/>
      <c r="JNL17" s="51"/>
      <c r="JNM17" s="51"/>
      <c r="JNN17" s="51"/>
      <c r="JNO17" s="51"/>
      <c r="JNP17" s="51"/>
      <c r="JNQ17" s="51"/>
      <c r="JNR17" s="51"/>
      <c r="JNS17" s="51"/>
      <c r="JNT17" s="51"/>
      <c r="JNU17" s="51"/>
      <c r="JNV17" s="51"/>
      <c r="JNW17" s="51"/>
      <c r="JNX17" s="51"/>
      <c r="JNY17" s="51"/>
      <c r="JNZ17" s="51"/>
      <c r="JOA17" s="51"/>
      <c r="JOB17" s="51"/>
      <c r="JOC17" s="51"/>
      <c r="JOD17" s="51"/>
      <c r="JOE17" s="51"/>
      <c r="JOF17" s="51"/>
      <c r="JOG17" s="51"/>
      <c r="JOH17" s="51"/>
      <c r="JOI17" s="51"/>
      <c r="JOJ17" s="51"/>
      <c r="JOK17" s="51"/>
      <c r="JOL17" s="51"/>
      <c r="JOM17" s="51"/>
      <c r="JON17" s="51"/>
      <c r="JOO17" s="51"/>
      <c r="JOP17" s="51"/>
      <c r="JOQ17" s="51"/>
      <c r="JOR17" s="51"/>
      <c r="JOS17" s="51"/>
      <c r="JOT17" s="51"/>
      <c r="JOU17" s="51"/>
      <c r="JOV17" s="51"/>
      <c r="JOW17" s="51"/>
      <c r="JOX17" s="51"/>
      <c r="JOY17" s="51"/>
      <c r="JOZ17" s="51"/>
      <c r="JPA17" s="51"/>
      <c r="JPB17" s="51"/>
      <c r="JPC17" s="51"/>
      <c r="JPD17" s="51"/>
      <c r="JPE17" s="51"/>
      <c r="JPF17" s="51"/>
      <c r="JPG17" s="51"/>
      <c r="JPH17" s="51"/>
      <c r="JPI17" s="51"/>
      <c r="JPJ17" s="51"/>
      <c r="JPK17" s="51"/>
      <c r="JPL17" s="51"/>
      <c r="JPM17" s="51"/>
      <c r="JPN17" s="51"/>
      <c r="JPO17" s="51"/>
      <c r="JPP17" s="51"/>
      <c r="JPQ17" s="51"/>
      <c r="JPR17" s="51"/>
      <c r="JPS17" s="51"/>
      <c r="JPT17" s="51"/>
      <c r="JPU17" s="51"/>
      <c r="JPV17" s="51"/>
      <c r="JPW17" s="51"/>
      <c r="JPX17" s="51"/>
      <c r="JPY17" s="51"/>
      <c r="JPZ17" s="51"/>
      <c r="JQA17" s="51"/>
      <c r="JQB17" s="51"/>
      <c r="JQC17" s="51"/>
      <c r="JQD17" s="51"/>
      <c r="JQE17" s="51"/>
      <c r="JQF17" s="51"/>
      <c r="JQG17" s="51"/>
      <c r="JQH17" s="51"/>
      <c r="JQI17" s="51"/>
      <c r="JQJ17" s="51"/>
      <c r="JQK17" s="51"/>
      <c r="JQL17" s="51"/>
      <c r="JQM17" s="51"/>
      <c r="JQN17" s="51"/>
      <c r="JQO17" s="51"/>
      <c r="JQP17" s="51"/>
      <c r="JQQ17" s="51"/>
      <c r="JQR17" s="51"/>
      <c r="JQS17" s="51"/>
      <c r="JQT17" s="51"/>
      <c r="JQU17" s="51"/>
      <c r="JQV17" s="51"/>
      <c r="JQW17" s="51"/>
      <c r="JQX17" s="51"/>
      <c r="JQY17" s="51"/>
      <c r="JQZ17" s="51"/>
      <c r="JRA17" s="51"/>
      <c r="JRB17" s="51"/>
      <c r="JRC17" s="51"/>
      <c r="JRD17" s="51"/>
      <c r="JRE17" s="51"/>
      <c r="JRF17" s="51"/>
      <c r="JRG17" s="51"/>
      <c r="JRH17" s="51"/>
      <c r="JRI17" s="51"/>
      <c r="JRJ17" s="51"/>
      <c r="JRK17" s="51"/>
      <c r="JRL17" s="51"/>
      <c r="JRM17" s="51"/>
      <c r="JRN17" s="51"/>
      <c r="JRO17" s="51"/>
      <c r="JRP17" s="51"/>
      <c r="JRQ17" s="51"/>
      <c r="JRR17" s="51"/>
      <c r="JRS17" s="51"/>
      <c r="JRT17" s="51"/>
      <c r="JRU17" s="51"/>
      <c r="JRV17" s="51"/>
      <c r="JRW17" s="51"/>
      <c r="JRX17" s="51"/>
      <c r="JRY17" s="51"/>
      <c r="JRZ17" s="51"/>
      <c r="JSA17" s="51"/>
      <c r="JSB17" s="51"/>
      <c r="JSC17" s="51"/>
      <c r="JSD17" s="51"/>
      <c r="JSE17" s="51"/>
      <c r="JSF17" s="51"/>
      <c r="JSG17" s="51"/>
      <c r="JSH17" s="51"/>
      <c r="JSI17" s="51"/>
      <c r="JSJ17" s="51"/>
      <c r="JSK17" s="51"/>
      <c r="JSL17" s="51"/>
      <c r="JSM17" s="51"/>
      <c r="JSN17" s="51"/>
      <c r="JSO17" s="51"/>
      <c r="JSP17" s="51"/>
      <c r="JSQ17" s="51"/>
      <c r="JSR17" s="51"/>
      <c r="JSS17" s="51"/>
      <c r="JST17" s="51"/>
      <c r="JSU17" s="51"/>
      <c r="JSV17" s="51"/>
      <c r="JSW17" s="51"/>
      <c r="JSX17" s="51"/>
      <c r="JSY17" s="51"/>
      <c r="JSZ17" s="51"/>
      <c r="JTA17" s="51"/>
      <c r="JTB17" s="51"/>
      <c r="JTC17" s="51"/>
      <c r="JTD17" s="51"/>
      <c r="JTE17" s="51"/>
      <c r="JTF17" s="51"/>
      <c r="JTG17" s="51"/>
      <c r="JTH17" s="51"/>
      <c r="JTI17" s="51"/>
      <c r="JTJ17" s="51"/>
      <c r="JTK17" s="51"/>
      <c r="JTL17" s="51"/>
      <c r="JTM17" s="51"/>
      <c r="JTN17" s="51"/>
      <c r="JTO17" s="51"/>
      <c r="JTP17" s="51"/>
      <c r="JTQ17" s="51"/>
      <c r="JTR17" s="51"/>
      <c r="JTS17" s="51"/>
      <c r="JTT17" s="51"/>
      <c r="JTU17" s="51"/>
      <c r="JTV17" s="51"/>
      <c r="JTW17" s="51"/>
      <c r="JTX17" s="51"/>
      <c r="JTY17" s="51"/>
      <c r="JTZ17" s="51"/>
      <c r="JUA17" s="51"/>
      <c r="JUB17" s="51"/>
      <c r="JUC17" s="51"/>
      <c r="JUD17" s="51"/>
      <c r="JUE17" s="51"/>
      <c r="JUF17" s="51"/>
      <c r="JUG17" s="51"/>
      <c r="JUH17" s="51"/>
      <c r="JUI17" s="51"/>
      <c r="JUJ17" s="51"/>
      <c r="JUK17" s="51"/>
      <c r="JUL17" s="51"/>
      <c r="JUM17" s="51"/>
      <c r="JUN17" s="51"/>
      <c r="JUO17" s="51"/>
      <c r="JUP17" s="51"/>
      <c r="JUQ17" s="51"/>
      <c r="JUR17" s="51"/>
      <c r="JUS17" s="51"/>
      <c r="JUT17" s="51"/>
      <c r="JUU17" s="51"/>
      <c r="JUV17" s="51"/>
      <c r="JUW17" s="51"/>
      <c r="JUX17" s="51"/>
      <c r="JUY17" s="51"/>
      <c r="JUZ17" s="51"/>
      <c r="JVA17" s="51"/>
      <c r="JVB17" s="51"/>
      <c r="JVC17" s="51"/>
      <c r="JVD17" s="51"/>
      <c r="JVE17" s="51"/>
      <c r="JVF17" s="51"/>
      <c r="JVG17" s="51"/>
      <c r="JVH17" s="51"/>
      <c r="JVI17" s="51"/>
      <c r="JVJ17" s="51"/>
      <c r="JVK17" s="51"/>
      <c r="JVL17" s="51"/>
      <c r="JVM17" s="51"/>
      <c r="JVN17" s="51"/>
      <c r="JVO17" s="51"/>
      <c r="JVP17" s="51"/>
      <c r="JVQ17" s="51"/>
      <c r="JVR17" s="51"/>
      <c r="JVS17" s="51"/>
      <c r="JVT17" s="51"/>
      <c r="JVU17" s="51"/>
      <c r="JVV17" s="51"/>
      <c r="JVW17" s="51"/>
      <c r="JVX17" s="51"/>
      <c r="JVY17" s="51"/>
      <c r="JVZ17" s="51"/>
      <c r="JWA17" s="51"/>
      <c r="JWB17" s="51"/>
      <c r="JWC17" s="51"/>
      <c r="JWD17" s="51"/>
      <c r="JWE17" s="51"/>
      <c r="JWF17" s="51"/>
      <c r="JWG17" s="51"/>
      <c r="JWH17" s="51"/>
      <c r="JWI17" s="51"/>
      <c r="JWJ17" s="51"/>
      <c r="JWK17" s="51"/>
      <c r="JWL17" s="51"/>
      <c r="JWM17" s="51"/>
      <c r="JWN17" s="51"/>
      <c r="JWO17" s="51"/>
      <c r="JWP17" s="51"/>
      <c r="JWQ17" s="51"/>
      <c r="JWR17" s="51"/>
      <c r="JWS17" s="51"/>
      <c r="JWT17" s="51"/>
      <c r="JWU17" s="51"/>
      <c r="JWV17" s="51"/>
      <c r="JWW17" s="51"/>
      <c r="JWX17" s="51"/>
      <c r="JWY17" s="51"/>
      <c r="JWZ17" s="51"/>
      <c r="JXA17" s="51"/>
      <c r="JXB17" s="51"/>
      <c r="JXC17" s="51"/>
      <c r="JXD17" s="51"/>
      <c r="JXE17" s="51"/>
      <c r="JXF17" s="51"/>
      <c r="JXG17" s="51"/>
      <c r="JXH17" s="51"/>
      <c r="JXI17" s="51"/>
      <c r="JXJ17" s="51"/>
      <c r="JXK17" s="51"/>
      <c r="JXL17" s="51"/>
      <c r="JXM17" s="51"/>
      <c r="JXN17" s="51"/>
      <c r="JXO17" s="51"/>
      <c r="JXP17" s="51"/>
      <c r="JXQ17" s="51"/>
      <c r="JXR17" s="51"/>
      <c r="JXS17" s="51"/>
      <c r="JXT17" s="51"/>
      <c r="JXU17" s="51"/>
      <c r="JXV17" s="51"/>
      <c r="JXW17" s="51"/>
      <c r="JXX17" s="51"/>
      <c r="JXY17" s="51"/>
      <c r="JXZ17" s="51"/>
      <c r="JYA17" s="51"/>
      <c r="JYB17" s="51"/>
      <c r="JYC17" s="51"/>
      <c r="JYD17" s="51"/>
      <c r="JYE17" s="51"/>
      <c r="JYF17" s="51"/>
      <c r="JYG17" s="51"/>
      <c r="JYH17" s="51"/>
      <c r="JYI17" s="51"/>
      <c r="JYJ17" s="51"/>
      <c r="JYK17" s="51"/>
      <c r="JYL17" s="51"/>
      <c r="JYM17" s="51"/>
      <c r="JYN17" s="51"/>
      <c r="JYO17" s="51"/>
      <c r="JYP17" s="51"/>
      <c r="JYQ17" s="51"/>
      <c r="JYR17" s="51"/>
      <c r="JYS17" s="51"/>
      <c r="JYT17" s="51"/>
      <c r="JYU17" s="51"/>
      <c r="JYV17" s="51"/>
      <c r="JYW17" s="51"/>
      <c r="JYX17" s="51"/>
      <c r="JYY17" s="51"/>
      <c r="JYZ17" s="51"/>
      <c r="JZA17" s="51"/>
      <c r="JZB17" s="51"/>
      <c r="JZC17" s="51"/>
      <c r="JZD17" s="51"/>
      <c r="JZE17" s="51"/>
      <c r="JZF17" s="51"/>
      <c r="JZG17" s="51"/>
      <c r="JZH17" s="51"/>
      <c r="JZI17" s="51"/>
      <c r="JZJ17" s="51"/>
      <c r="JZK17" s="51"/>
      <c r="JZL17" s="51"/>
      <c r="JZM17" s="51"/>
      <c r="JZN17" s="51"/>
      <c r="JZO17" s="51"/>
      <c r="JZP17" s="51"/>
      <c r="JZQ17" s="51"/>
      <c r="JZR17" s="51"/>
      <c r="JZS17" s="51"/>
      <c r="JZT17" s="51"/>
      <c r="JZU17" s="51"/>
      <c r="JZV17" s="51"/>
      <c r="JZW17" s="51"/>
      <c r="JZX17" s="51"/>
      <c r="JZY17" s="51"/>
      <c r="JZZ17" s="51"/>
      <c r="KAA17" s="51"/>
      <c r="KAB17" s="51"/>
      <c r="KAC17" s="51"/>
      <c r="KAD17" s="51"/>
      <c r="KAE17" s="51"/>
      <c r="KAF17" s="51"/>
      <c r="KAG17" s="51"/>
      <c r="KAH17" s="51"/>
      <c r="KAI17" s="51"/>
      <c r="KAJ17" s="51"/>
      <c r="KAK17" s="51"/>
      <c r="KAL17" s="51"/>
      <c r="KAM17" s="51"/>
      <c r="KAN17" s="51"/>
      <c r="KAO17" s="51"/>
      <c r="KAP17" s="51"/>
      <c r="KAQ17" s="51"/>
      <c r="KAR17" s="51"/>
      <c r="KAS17" s="51"/>
      <c r="KAT17" s="51"/>
      <c r="KAU17" s="51"/>
      <c r="KAV17" s="51"/>
      <c r="KAW17" s="51"/>
      <c r="KAX17" s="51"/>
      <c r="KAY17" s="51"/>
      <c r="KAZ17" s="51"/>
      <c r="KBA17" s="51"/>
      <c r="KBB17" s="51"/>
      <c r="KBC17" s="51"/>
      <c r="KBD17" s="51"/>
      <c r="KBE17" s="51"/>
      <c r="KBF17" s="51"/>
      <c r="KBG17" s="51"/>
      <c r="KBH17" s="51"/>
      <c r="KBI17" s="51"/>
      <c r="KBJ17" s="51"/>
      <c r="KBK17" s="51"/>
      <c r="KBL17" s="51"/>
      <c r="KBM17" s="51"/>
      <c r="KBN17" s="51"/>
      <c r="KBO17" s="51"/>
      <c r="KBP17" s="51"/>
      <c r="KBQ17" s="51"/>
      <c r="KBR17" s="51"/>
      <c r="KBS17" s="51"/>
      <c r="KBT17" s="51"/>
      <c r="KBU17" s="51"/>
      <c r="KBV17" s="51"/>
      <c r="KBW17" s="51"/>
      <c r="KBX17" s="51"/>
      <c r="KBY17" s="51"/>
      <c r="KBZ17" s="51"/>
      <c r="KCA17" s="51"/>
      <c r="KCB17" s="51"/>
      <c r="KCC17" s="51"/>
      <c r="KCD17" s="51"/>
      <c r="KCE17" s="51"/>
      <c r="KCF17" s="51"/>
      <c r="KCG17" s="51"/>
      <c r="KCH17" s="51"/>
      <c r="KCI17" s="51"/>
      <c r="KCJ17" s="51"/>
      <c r="KCK17" s="51"/>
      <c r="KCL17" s="51"/>
      <c r="KCM17" s="51"/>
      <c r="KCN17" s="51"/>
      <c r="KCO17" s="51"/>
      <c r="KCP17" s="51"/>
      <c r="KCQ17" s="51"/>
      <c r="KCR17" s="51"/>
      <c r="KCS17" s="51"/>
      <c r="KCT17" s="51"/>
      <c r="KCU17" s="51"/>
      <c r="KCV17" s="51"/>
      <c r="KCW17" s="51"/>
      <c r="KCX17" s="51"/>
      <c r="KCY17" s="51"/>
      <c r="KCZ17" s="51"/>
      <c r="KDA17" s="51"/>
      <c r="KDB17" s="51"/>
      <c r="KDC17" s="51"/>
      <c r="KDD17" s="51"/>
      <c r="KDE17" s="51"/>
      <c r="KDF17" s="51"/>
      <c r="KDG17" s="51"/>
      <c r="KDH17" s="51"/>
      <c r="KDI17" s="51"/>
      <c r="KDJ17" s="51"/>
      <c r="KDK17" s="51"/>
      <c r="KDL17" s="51"/>
      <c r="KDM17" s="51"/>
      <c r="KDN17" s="51"/>
      <c r="KDO17" s="51"/>
      <c r="KDP17" s="51"/>
      <c r="KDQ17" s="51"/>
      <c r="KDR17" s="51"/>
      <c r="KDS17" s="51"/>
      <c r="KDT17" s="51"/>
      <c r="KDU17" s="51"/>
      <c r="KDV17" s="51"/>
      <c r="KDW17" s="51"/>
      <c r="KDX17" s="51"/>
      <c r="KDY17" s="51"/>
      <c r="KDZ17" s="51"/>
      <c r="KEA17" s="51"/>
      <c r="KEB17" s="51"/>
      <c r="KEC17" s="51"/>
      <c r="KED17" s="51"/>
      <c r="KEE17" s="51"/>
      <c r="KEF17" s="51"/>
      <c r="KEG17" s="51"/>
      <c r="KEH17" s="51"/>
      <c r="KEI17" s="51"/>
      <c r="KEJ17" s="51"/>
      <c r="KEK17" s="51"/>
      <c r="KEL17" s="51"/>
      <c r="KEM17" s="51"/>
      <c r="KEN17" s="51"/>
      <c r="KEO17" s="51"/>
      <c r="KEP17" s="51"/>
      <c r="KEQ17" s="51"/>
      <c r="KER17" s="51"/>
      <c r="KES17" s="51"/>
      <c r="KET17" s="51"/>
      <c r="KEU17" s="51"/>
      <c r="KEV17" s="51"/>
      <c r="KEW17" s="51"/>
      <c r="KEX17" s="51"/>
      <c r="KEY17" s="51"/>
      <c r="KEZ17" s="51"/>
      <c r="KFA17" s="51"/>
      <c r="KFB17" s="51"/>
      <c r="KFC17" s="51"/>
      <c r="KFD17" s="51"/>
      <c r="KFE17" s="51"/>
      <c r="KFF17" s="51"/>
      <c r="KFG17" s="51"/>
      <c r="KFH17" s="51"/>
      <c r="KFI17" s="51"/>
      <c r="KFJ17" s="51"/>
      <c r="KFK17" s="51"/>
      <c r="KFL17" s="51"/>
      <c r="KFM17" s="51"/>
      <c r="KFN17" s="51"/>
      <c r="KFO17" s="51"/>
      <c r="KFP17" s="51"/>
      <c r="KFQ17" s="51"/>
      <c r="KFR17" s="51"/>
      <c r="KFS17" s="51"/>
      <c r="KFT17" s="51"/>
      <c r="KFU17" s="51"/>
      <c r="KFV17" s="51"/>
      <c r="KFW17" s="51"/>
      <c r="KFX17" s="51"/>
      <c r="KFY17" s="51"/>
      <c r="KFZ17" s="51"/>
      <c r="KGA17" s="51"/>
      <c r="KGB17" s="51"/>
      <c r="KGC17" s="51"/>
      <c r="KGD17" s="51"/>
      <c r="KGE17" s="51"/>
      <c r="KGF17" s="51"/>
      <c r="KGG17" s="51"/>
      <c r="KGH17" s="51"/>
      <c r="KGI17" s="51"/>
      <c r="KGJ17" s="51"/>
      <c r="KGK17" s="51"/>
      <c r="KGL17" s="51"/>
      <c r="KGM17" s="51"/>
      <c r="KGN17" s="51"/>
      <c r="KGO17" s="51"/>
      <c r="KGP17" s="51"/>
      <c r="KGQ17" s="51"/>
      <c r="KGR17" s="51"/>
      <c r="KGS17" s="51"/>
      <c r="KGT17" s="51"/>
      <c r="KGU17" s="51"/>
      <c r="KGV17" s="51"/>
      <c r="KGW17" s="51"/>
      <c r="KGX17" s="51"/>
      <c r="KGY17" s="51"/>
      <c r="KGZ17" s="51"/>
      <c r="KHA17" s="51"/>
      <c r="KHB17" s="51"/>
      <c r="KHC17" s="51"/>
      <c r="KHD17" s="51"/>
      <c r="KHE17" s="51"/>
      <c r="KHF17" s="51"/>
      <c r="KHG17" s="51"/>
      <c r="KHH17" s="51"/>
      <c r="KHI17" s="51"/>
      <c r="KHJ17" s="51"/>
      <c r="KHK17" s="51"/>
      <c r="KHL17" s="51"/>
      <c r="KHM17" s="51"/>
      <c r="KHN17" s="51"/>
      <c r="KHO17" s="51"/>
      <c r="KHP17" s="51"/>
      <c r="KHQ17" s="51"/>
      <c r="KHR17" s="51"/>
      <c r="KHS17" s="51"/>
      <c r="KHT17" s="51"/>
      <c r="KHU17" s="51"/>
      <c r="KHV17" s="51"/>
      <c r="KHW17" s="51"/>
      <c r="KHX17" s="51"/>
      <c r="KHY17" s="51"/>
      <c r="KHZ17" s="51"/>
      <c r="KIA17" s="51"/>
      <c r="KIB17" s="51"/>
      <c r="KIC17" s="51"/>
      <c r="KID17" s="51"/>
      <c r="KIE17" s="51"/>
      <c r="KIF17" s="51"/>
      <c r="KIG17" s="51"/>
      <c r="KIH17" s="51"/>
      <c r="KII17" s="51"/>
      <c r="KIJ17" s="51"/>
      <c r="KIK17" s="51"/>
      <c r="KIL17" s="51"/>
      <c r="KIM17" s="51"/>
      <c r="KIN17" s="51"/>
      <c r="KIO17" s="51"/>
      <c r="KIP17" s="51"/>
      <c r="KIQ17" s="51"/>
      <c r="KIR17" s="51"/>
      <c r="KIS17" s="51"/>
      <c r="KIT17" s="51"/>
      <c r="KIU17" s="51"/>
      <c r="KIV17" s="51"/>
      <c r="KIW17" s="51"/>
      <c r="KIX17" s="51"/>
      <c r="KIY17" s="51"/>
      <c r="KIZ17" s="51"/>
      <c r="KJA17" s="51"/>
      <c r="KJB17" s="51"/>
      <c r="KJC17" s="51"/>
      <c r="KJD17" s="51"/>
      <c r="KJE17" s="51"/>
      <c r="KJF17" s="51"/>
      <c r="KJG17" s="51"/>
      <c r="KJH17" s="51"/>
      <c r="KJI17" s="51"/>
      <c r="KJJ17" s="51"/>
      <c r="KJK17" s="51"/>
      <c r="KJL17" s="51"/>
      <c r="KJM17" s="51"/>
      <c r="KJN17" s="51"/>
      <c r="KJO17" s="51"/>
      <c r="KJP17" s="51"/>
      <c r="KJQ17" s="51"/>
      <c r="KJR17" s="51"/>
      <c r="KJS17" s="51"/>
      <c r="KJT17" s="51"/>
      <c r="KJU17" s="51"/>
      <c r="KJV17" s="51"/>
      <c r="KJW17" s="51"/>
      <c r="KJX17" s="51"/>
      <c r="KJY17" s="51"/>
      <c r="KJZ17" s="51"/>
      <c r="KKA17" s="51"/>
      <c r="KKB17" s="51"/>
      <c r="KKC17" s="51"/>
      <c r="KKD17" s="51"/>
      <c r="KKE17" s="51"/>
      <c r="KKF17" s="51"/>
      <c r="KKG17" s="51"/>
      <c r="KKH17" s="51"/>
      <c r="KKI17" s="51"/>
      <c r="KKJ17" s="51"/>
      <c r="KKK17" s="51"/>
      <c r="KKL17" s="51"/>
      <c r="KKM17" s="51"/>
      <c r="KKN17" s="51"/>
      <c r="KKO17" s="51"/>
      <c r="KKP17" s="51"/>
      <c r="KKQ17" s="51"/>
      <c r="KKR17" s="51"/>
      <c r="KKS17" s="51"/>
      <c r="KKT17" s="51"/>
      <c r="KKU17" s="51"/>
      <c r="KKV17" s="51"/>
      <c r="KKW17" s="51"/>
      <c r="KKX17" s="51"/>
      <c r="KKY17" s="51"/>
      <c r="KKZ17" s="51"/>
      <c r="KLA17" s="51"/>
      <c r="KLB17" s="51"/>
      <c r="KLC17" s="51"/>
      <c r="KLD17" s="51"/>
      <c r="KLE17" s="51"/>
      <c r="KLF17" s="51"/>
      <c r="KLG17" s="51"/>
      <c r="KLH17" s="51"/>
      <c r="KLI17" s="51"/>
      <c r="KLJ17" s="51"/>
      <c r="KLK17" s="51"/>
      <c r="KLL17" s="51"/>
      <c r="KLM17" s="51"/>
      <c r="KLN17" s="51"/>
      <c r="KLO17" s="51"/>
      <c r="KLP17" s="51"/>
      <c r="KLQ17" s="51"/>
      <c r="KLR17" s="51"/>
      <c r="KLS17" s="51"/>
      <c r="KLT17" s="51"/>
      <c r="KLU17" s="51"/>
      <c r="KLV17" s="51"/>
      <c r="KLW17" s="51"/>
      <c r="KLX17" s="51"/>
      <c r="KLY17" s="51"/>
      <c r="KLZ17" s="51"/>
      <c r="KMA17" s="51"/>
      <c r="KMB17" s="51"/>
      <c r="KMC17" s="51"/>
      <c r="KMD17" s="51"/>
      <c r="KME17" s="51"/>
      <c r="KMF17" s="51"/>
      <c r="KMG17" s="51"/>
      <c r="KMH17" s="51"/>
      <c r="KMI17" s="51"/>
      <c r="KMJ17" s="51"/>
      <c r="KMK17" s="51"/>
      <c r="KML17" s="51"/>
      <c r="KMM17" s="51"/>
      <c r="KMN17" s="51"/>
      <c r="KMO17" s="51"/>
      <c r="KMP17" s="51"/>
      <c r="KMQ17" s="51"/>
      <c r="KMR17" s="51"/>
      <c r="KMS17" s="51"/>
      <c r="KMT17" s="51"/>
      <c r="KMU17" s="51"/>
      <c r="KMV17" s="51"/>
      <c r="KMW17" s="51"/>
      <c r="KMX17" s="51"/>
      <c r="KMY17" s="51"/>
      <c r="KMZ17" s="51"/>
      <c r="KNA17" s="51"/>
      <c r="KNB17" s="51"/>
      <c r="KNC17" s="51"/>
      <c r="KND17" s="51"/>
      <c r="KNE17" s="51"/>
      <c r="KNF17" s="51"/>
      <c r="KNG17" s="51"/>
      <c r="KNH17" s="51"/>
      <c r="KNI17" s="51"/>
      <c r="KNJ17" s="51"/>
      <c r="KNK17" s="51"/>
      <c r="KNL17" s="51"/>
      <c r="KNM17" s="51"/>
      <c r="KNN17" s="51"/>
      <c r="KNO17" s="51"/>
      <c r="KNP17" s="51"/>
      <c r="KNQ17" s="51"/>
      <c r="KNR17" s="51"/>
      <c r="KNS17" s="51"/>
      <c r="KNT17" s="51"/>
      <c r="KNU17" s="51"/>
      <c r="KNV17" s="51"/>
      <c r="KNW17" s="51"/>
      <c r="KNX17" s="51"/>
      <c r="KNY17" s="51"/>
      <c r="KNZ17" s="51"/>
      <c r="KOA17" s="51"/>
      <c r="KOB17" s="51"/>
      <c r="KOC17" s="51"/>
      <c r="KOD17" s="51"/>
      <c r="KOE17" s="51"/>
      <c r="KOF17" s="51"/>
      <c r="KOG17" s="51"/>
      <c r="KOH17" s="51"/>
      <c r="KOI17" s="51"/>
      <c r="KOJ17" s="51"/>
      <c r="KOK17" s="51"/>
      <c r="KOL17" s="51"/>
      <c r="KOM17" s="51"/>
      <c r="KON17" s="51"/>
      <c r="KOO17" s="51"/>
      <c r="KOP17" s="51"/>
      <c r="KOQ17" s="51"/>
      <c r="KOR17" s="51"/>
      <c r="KOS17" s="51"/>
      <c r="KOT17" s="51"/>
      <c r="KOU17" s="51"/>
      <c r="KOV17" s="51"/>
      <c r="KOW17" s="51"/>
      <c r="KOX17" s="51"/>
      <c r="KOY17" s="51"/>
      <c r="KOZ17" s="51"/>
      <c r="KPA17" s="51"/>
      <c r="KPB17" s="51"/>
      <c r="KPC17" s="51"/>
      <c r="KPD17" s="51"/>
      <c r="KPE17" s="51"/>
      <c r="KPF17" s="51"/>
      <c r="KPG17" s="51"/>
      <c r="KPH17" s="51"/>
      <c r="KPI17" s="51"/>
      <c r="KPJ17" s="51"/>
      <c r="KPK17" s="51"/>
      <c r="KPL17" s="51"/>
      <c r="KPM17" s="51"/>
      <c r="KPN17" s="51"/>
      <c r="KPO17" s="51"/>
      <c r="KPP17" s="51"/>
      <c r="KPQ17" s="51"/>
      <c r="KPR17" s="51"/>
      <c r="KPS17" s="51"/>
      <c r="KPT17" s="51"/>
      <c r="KPU17" s="51"/>
      <c r="KPV17" s="51"/>
      <c r="KPW17" s="51"/>
      <c r="KPX17" s="51"/>
      <c r="KPY17" s="51"/>
      <c r="KPZ17" s="51"/>
      <c r="KQA17" s="51"/>
      <c r="KQB17" s="51"/>
      <c r="KQC17" s="51"/>
      <c r="KQD17" s="51"/>
      <c r="KQE17" s="51"/>
      <c r="KQF17" s="51"/>
      <c r="KQG17" s="51"/>
      <c r="KQH17" s="51"/>
      <c r="KQI17" s="51"/>
      <c r="KQJ17" s="51"/>
      <c r="KQK17" s="51"/>
      <c r="KQL17" s="51"/>
      <c r="KQM17" s="51"/>
      <c r="KQN17" s="51"/>
      <c r="KQO17" s="51"/>
      <c r="KQP17" s="51"/>
      <c r="KQQ17" s="51"/>
      <c r="KQR17" s="51"/>
      <c r="KQS17" s="51"/>
      <c r="KQT17" s="51"/>
      <c r="KQU17" s="51"/>
      <c r="KQV17" s="51"/>
      <c r="KQW17" s="51"/>
      <c r="KQX17" s="51"/>
      <c r="KQY17" s="51"/>
      <c r="KQZ17" s="51"/>
      <c r="KRA17" s="51"/>
      <c r="KRB17" s="51"/>
      <c r="KRC17" s="51"/>
      <c r="KRD17" s="51"/>
      <c r="KRE17" s="51"/>
      <c r="KRF17" s="51"/>
      <c r="KRG17" s="51"/>
      <c r="KRH17" s="51"/>
      <c r="KRI17" s="51"/>
      <c r="KRJ17" s="51"/>
      <c r="KRK17" s="51"/>
      <c r="KRL17" s="51"/>
      <c r="KRM17" s="51"/>
      <c r="KRN17" s="51"/>
      <c r="KRO17" s="51"/>
      <c r="KRP17" s="51"/>
      <c r="KRQ17" s="51"/>
      <c r="KRR17" s="51"/>
      <c r="KRS17" s="51"/>
      <c r="KRT17" s="51"/>
      <c r="KRU17" s="51"/>
      <c r="KRV17" s="51"/>
      <c r="KRW17" s="51"/>
      <c r="KRX17" s="51"/>
      <c r="KRY17" s="51"/>
      <c r="KRZ17" s="51"/>
      <c r="KSA17" s="51"/>
      <c r="KSB17" s="51"/>
      <c r="KSC17" s="51"/>
      <c r="KSD17" s="51"/>
      <c r="KSE17" s="51"/>
      <c r="KSF17" s="51"/>
      <c r="KSG17" s="51"/>
      <c r="KSH17" s="51"/>
      <c r="KSI17" s="51"/>
      <c r="KSJ17" s="51"/>
      <c r="KSK17" s="51"/>
      <c r="KSL17" s="51"/>
      <c r="KSM17" s="51"/>
      <c r="KSN17" s="51"/>
      <c r="KSO17" s="51"/>
      <c r="KSP17" s="51"/>
      <c r="KSQ17" s="51"/>
      <c r="KSR17" s="51"/>
      <c r="KSS17" s="51"/>
      <c r="KST17" s="51"/>
      <c r="KSU17" s="51"/>
      <c r="KSV17" s="51"/>
      <c r="KSW17" s="51"/>
      <c r="KSX17" s="51"/>
      <c r="KSY17" s="51"/>
      <c r="KSZ17" s="51"/>
      <c r="KTA17" s="51"/>
      <c r="KTB17" s="51"/>
      <c r="KTC17" s="51"/>
      <c r="KTD17" s="51"/>
      <c r="KTE17" s="51"/>
      <c r="KTF17" s="51"/>
      <c r="KTG17" s="51"/>
      <c r="KTH17" s="51"/>
      <c r="KTI17" s="51"/>
      <c r="KTJ17" s="51"/>
      <c r="KTK17" s="51"/>
      <c r="KTL17" s="51"/>
      <c r="KTM17" s="51"/>
      <c r="KTN17" s="51"/>
      <c r="KTO17" s="51"/>
      <c r="KTP17" s="51"/>
      <c r="KTQ17" s="51"/>
      <c r="KTR17" s="51"/>
      <c r="KTS17" s="51"/>
      <c r="KTT17" s="51"/>
      <c r="KTU17" s="51"/>
      <c r="KTV17" s="51"/>
      <c r="KTW17" s="51"/>
      <c r="KTX17" s="51"/>
      <c r="KTY17" s="51"/>
      <c r="KTZ17" s="51"/>
      <c r="KUA17" s="51"/>
      <c r="KUB17" s="51"/>
      <c r="KUC17" s="51"/>
      <c r="KUD17" s="51"/>
      <c r="KUE17" s="51"/>
      <c r="KUF17" s="51"/>
      <c r="KUG17" s="51"/>
      <c r="KUH17" s="51"/>
      <c r="KUI17" s="51"/>
      <c r="KUJ17" s="51"/>
      <c r="KUK17" s="51"/>
      <c r="KUL17" s="51"/>
      <c r="KUM17" s="51"/>
      <c r="KUN17" s="51"/>
      <c r="KUO17" s="51"/>
      <c r="KUP17" s="51"/>
      <c r="KUQ17" s="51"/>
      <c r="KUR17" s="51"/>
      <c r="KUS17" s="51"/>
      <c r="KUT17" s="51"/>
      <c r="KUU17" s="51"/>
      <c r="KUV17" s="51"/>
      <c r="KUW17" s="51"/>
      <c r="KUX17" s="51"/>
      <c r="KUY17" s="51"/>
      <c r="KUZ17" s="51"/>
      <c r="KVA17" s="51"/>
      <c r="KVB17" s="51"/>
      <c r="KVC17" s="51"/>
      <c r="KVD17" s="51"/>
      <c r="KVE17" s="51"/>
      <c r="KVF17" s="51"/>
      <c r="KVG17" s="51"/>
      <c r="KVH17" s="51"/>
      <c r="KVI17" s="51"/>
      <c r="KVJ17" s="51"/>
      <c r="KVK17" s="51"/>
      <c r="KVL17" s="51"/>
      <c r="KVM17" s="51"/>
      <c r="KVN17" s="51"/>
      <c r="KVO17" s="51"/>
      <c r="KVP17" s="51"/>
      <c r="KVQ17" s="51"/>
      <c r="KVR17" s="51"/>
      <c r="KVS17" s="51"/>
      <c r="KVT17" s="51"/>
      <c r="KVU17" s="51"/>
      <c r="KVV17" s="51"/>
      <c r="KVW17" s="51"/>
      <c r="KVX17" s="51"/>
      <c r="KVY17" s="51"/>
      <c r="KVZ17" s="51"/>
      <c r="KWA17" s="51"/>
      <c r="KWB17" s="51"/>
      <c r="KWC17" s="51"/>
      <c r="KWD17" s="51"/>
      <c r="KWE17" s="51"/>
      <c r="KWF17" s="51"/>
      <c r="KWG17" s="51"/>
      <c r="KWH17" s="51"/>
      <c r="KWI17" s="51"/>
      <c r="KWJ17" s="51"/>
      <c r="KWK17" s="51"/>
      <c r="KWL17" s="51"/>
      <c r="KWM17" s="51"/>
      <c r="KWN17" s="51"/>
      <c r="KWO17" s="51"/>
      <c r="KWP17" s="51"/>
      <c r="KWQ17" s="51"/>
      <c r="KWR17" s="51"/>
      <c r="KWS17" s="51"/>
      <c r="KWT17" s="51"/>
      <c r="KWU17" s="51"/>
      <c r="KWV17" s="51"/>
      <c r="KWW17" s="51"/>
      <c r="KWX17" s="51"/>
      <c r="KWY17" s="51"/>
      <c r="KWZ17" s="51"/>
      <c r="KXA17" s="51"/>
      <c r="KXB17" s="51"/>
      <c r="KXC17" s="51"/>
      <c r="KXD17" s="51"/>
      <c r="KXE17" s="51"/>
      <c r="KXF17" s="51"/>
      <c r="KXG17" s="51"/>
      <c r="KXH17" s="51"/>
      <c r="KXI17" s="51"/>
      <c r="KXJ17" s="51"/>
      <c r="KXK17" s="51"/>
      <c r="KXL17" s="51"/>
      <c r="KXM17" s="51"/>
      <c r="KXN17" s="51"/>
      <c r="KXO17" s="51"/>
      <c r="KXP17" s="51"/>
      <c r="KXQ17" s="51"/>
      <c r="KXR17" s="51"/>
      <c r="KXS17" s="51"/>
      <c r="KXT17" s="51"/>
      <c r="KXU17" s="51"/>
      <c r="KXV17" s="51"/>
      <c r="KXW17" s="51"/>
      <c r="KXX17" s="51"/>
      <c r="KXY17" s="51"/>
      <c r="KXZ17" s="51"/>
      <c r="KYA17" s="51"/>
      <c r="KYB17" s="51"/>
      <c r="KYC17" s="51"/>
      <c r="KYD17" s="51"/>
      <c r="KYE17" s="51"/>
      <c r="KYF17" s="51"/>
      <c r="KYG17" s="51"/>
      <c r="KYH17" s="51"/>
      <c r="KYI17" s="51"/>
      <c r="KYJ17" s="51"/>
      <c r="KYK17" s="51"/>
      <c r="KYL17" s="51"/>
      <c r="KYM17" s="51"/>
      <c r="KYN17" s="51"/>
      <c r="KYO17" s="51"/>
      <c r="KYP17" s="51"/>
      <c r="KYQ17" s="51"/>
      <c r="KYR17" s="51"/>
      <c r="KYS17" s="51"/>
      <c r="KYT17" s="51"/>
      <c r="KYU17" s="51"/>
      <c r="KYV17" s="51"/>
      <c r="KYW17" s="51"/>
      <c r="KYX17" s="51"/>
      <c r="KYY17" s="51"/>
      <c r="KYZ17" s="51"/>
      <c r="KZA17" s="51"/>
      <c r="KZB17" s="51"/>
      <c r="KZC17" s="51"/>
      <c r="KZD17" s="51"/>
      <c r="KZE17" s="51"/>
      <c r="KZF17" s="51"/>
      <c r="KZG17" s="51"/>
      <c r="KZH17" s="51"/>
      <c r="KZI17" s="51"/>
      <c r="KZJ17" s="51"/>
      <c r="KZK17" s="51"/>
      <c r="KZL17" s="51"/>
      <c r="KZM17" s="51"/>
      <c r="KZN17" s="51"/>
      <c r="KZO17" s="51"/>
      <c r="KZP17" s="51"/>
      <c r="KZQ17" s="51"/>
      <c r="KZR17" s="51"/>
      <c r="KZS17" s="51"/>
      <c r="KZT17" s="51"/>
      <c r="KZU17" s="51"/>
      <c r="KZV17" s="51"/>
      <c r="KZW17" s="51"/>
      <c r="KZX17" s="51"/>
      <c r="KZY17" s="51"/>
      <c r="KZZ17" s="51"/>
      <c r="LAA17" s="51"/>
      <c r="LAB17" s="51"/>
      <c r="LAC17" s="51"/>
      <c r="LAD17" s="51"/>
      <c r="LAE17" s="51"/>
      <c r="LAF17" s="51"/>
      <c r="LAG17" s="51"/>
      <c r="LAH17" s="51"/>
      <c r="LAI17" s="51"/>
      <c r="LAJ17" s="51"/>
      <c r="LAK17" s="51"/>
      <c r="LAL17" s="51"/>
      <c r="LAM17" s="51"/>
      <c r="LAN17" s="51"/>
      <c r="LAO17" s="51"/>
      <c r="LAP17" s="51"/>
      <c r="LAQ17" s="51"/>
      <c r="LAR17" s="51"/>
      <c r="LAS17" s="51"/>
      <c r="LAT17" s="51"/>
      <c r="LAU17" s="51"/>
      <c r="LAV17" s="51"/>
      <c r="LAW17" s="51"/>
      <c r="LAX17" s="51"/>
      <c r="LAY17" s="51"/>
      <c r="LAZ17" s="51"/>
      <c r="LBA17" s="51"/>
      <c r="LBB17" s="51"/>
      <c r="LBC17" s="51"/>
      <c r="LBD17" s="51"/>
      <c r="LBE17" s="51"/>
      <c r="LBF17" s="51"/>
      <c r="LBG17" s="51"/>
      <c r="LBH17" s="51"/>
      <c r="LBI17" s="51"/>
      <c r="LBJ17" s="51"/>
      <c r="LBK17" s="51"/>
      <c r="LBL17" s="51"/>
      <c r="LBM17" s="51"/>
      <c r="LBN17" s="51"/>
      <c r="LBO17" s="51"/>
      <c r="LBP17" s="51"/>
      <c r="LBQ17" s="51"/>
      <c r="LBR17" s="51"/>
      <c r="LBS17" s="51"/>
      <c r="LBT17" s="51"/>
      <c r="LBU17" s="51"/>
      <c r="LBV17" s="51"/>
      <c r="LBW17" s="51"/>
      <c r="LBX17" s="51"/>
      <c r="LBY17" s="51"/>
      <c r="LBZ17" s="51"/>
      <c r="LCA17" s="51"/>
      <c r="LCB17" s="51"/>
      <c r="LCC17" s="51"/>
      <c r="LCD17" s="51"/>
      <c r="LCE17" s="51"/>
      <c r="LCF17" s="51"/>
      <c r="LCG17" s="51"/>
      <c r="LCH17" s="51"/>
      <c r="LCI17" s="51"/>
      <c r="LCJ17" s="51"/>
      <c r="LCK17" s="51"/>
      <c r="LCL17" s="51"/>
      <c r="LCM17" s="51"/>
      <c r="LCN17" s="51"/>
      <c r="LCO17" s="51"/>
      <c r="LCP17" s="51"/>
      <c r="LCQ17" s="51"/>
      <c r="LCR17" s="51"/>
      <c r="LCS17" s="51"/>
      <c r="LCT17" s="51"/>
      <c r="LCU17" s="51"/>
      <c r="LCV17" s="51"/>
      <c r="LCW17" s="51"/>
      <c r="LCX17" s="51"/>
      <c r="LCY17" s="51"/>
      <c r="LCZ17" s="51"/>
      <c r="LDA17" s="51"/>
      <c r="LDB17" s="51"/>
      <c r="LDC17" s="51"/>
      <c r="LDD17" s="51"/>
      <c r="LDE17" s="51"/>
      <c r="LDF17" s="51"/>
      <c r="LDG17" s="51"/>
      <c r="LDH17" s="51"/>
      <c r="LDI17" s="51"/>
      <c r="LDJ17" s="51"/>
      <c r="LDK17" s="51"/>
      <c r="LDL17" s="51"/>
      <c r="LDM17" s="51"/>
      <c r="LDN17" s="51"/>
      <c r="LDO17" s="51"/>
      <c r="LDP17" s="51"/>
      <c r="LDQ17" s="51"/>
      <c r="LDR17" s="51"/>
      <c r="LDS17" s="51"/>
      <c r="LDT17" s="51"/>
      <c r="LDU17" s="51"/>
      <c r="LDV17" s="51"/>
      <c r="LDW17" s="51"/>
      <c r="LDX17" s="51"/>
      <c r="LDY17" s="51"/>
      <c r="LDZ17" s="51"/>
      <c r="LEA17" s="51"/>
      <c r="LEB17" s="51"/>
      <c r="LEC17" s="51"/>
      <c r="LED17" s="51"/>
      <c r="LEE17" s="51"/>
      <c r="LEF17" s="51"/>
      <c r="LEG17" s="51"/>
      <c r="LEH17" s="51"/>
      <c r="LEI17" s="51"/>
      <c r="LEJ17" s="51"/>
      <c r="LEK17" s="51"/>
      <c r="LEL17" s="51"/>
      <c r="LEM17" s="51"/>
      <c r="LEN17" s="51"/>
      <c r="LEO17" s="51"/>
      <c r="LEP17" s="51"/>
      <c r="LEQ17" s="51"/>
      <c r="LER17" s="51"/>
      <c r="LES17" s="51"/>
      <c r="LET17" s="51"/>
      <c r="LEU17" s="51"/>
      <c r="LEV17" s="51"/>
      <c r="LEW17" s="51"/>
      <c r="LEX17" s="51"/>
      <c r="LEY17" s="51"/>
      <c r="LEZ17" s="51"/>
      <c r="LFA17" s="51"/>
      <c r="LFB17" s="51"/>
      <c r="LFC17" s="51"/>
      <c r="LFD17" s="51"/>
      <c r="LFE17" s="51"/>
      <c r="LFF17" s="51"/>
      <c r="LFG17" s="51"/>
      <c r="LFH17" s="51"/>
      <c r="LFI17" s="51"/>
      <c r="LFJ17" s="51"/>
      <c r="LFK17" s="51"/>
      <c r="LFL17" s="51"/>
      <c r="LFM17" s="51"/>
      <c r="LFN17" s="51"/>
      <c r="LFO17" s="51"/>
      <c r="LFP17" s="51"/>
      <c r="LFQ17" s="51"/>
      <c r="LFR17" s="51"/>
      <c r="LFS17" s="51"/>
      <c r="LFT17" s="51"/>
      <c r="LFU17" s="51"/>
      <c r="LFV17" s="51"/>
      <c r="LFW17" s="51"/>
      <c r="LFX17" s="51"/>
      <c r="LFY17" s="51"/>
      <c r="LFZ17" s="51"/>
      <c r="LGA17" s="51"/>
      <c r="LGB17" s="51"/>
      <c r="LGC17" s="51"/>
      <c r="LGD17" s="51"/>
      <c r="LGE17" s="51"/>
      <c r="LGF17" s="51"/>
      <c r="LGG17" s="51"/>
      <c r="LGH17" s="51"/>
      <c r="LGI17" s="51"/>
      <c r="LGJ17" s="51"/>
      <c r="LGK17" s="51"/>
      <c r="LGL17" s="51"/>
      <c r="LGM17" s="51"/>
      <c r="LGN17" s="51"/>
      <c r="LGO17" s="51"/>
      <c r="LGP17" s="51"/>
      <c r="LGQ17" s="51"/>
      <c r="LGR17" s="51"/>
      <c r="LGS17" s="51"/>
      <c r="LGT17" s="51"/>
      <c r="LGU17" s="51"/>
      <c r="LGV17" s="51"/>
      <c r="LGW17" s="51"/>
      <c r="LGX17" s="51"/>
      <c r="LGY17" s="51"/>
      <c r="LGZ17" s="51"/>
      <c r="LHA17" s="51"/>
      <c r="LHB17" s="51"/>
      <c r="LHC17" s="51"/>
      <c r="LHD17" s="51"/>
      <c r="LHE17" s="51"/>
      <c r="LHF17" s="51"/>
      <c r="LHG17" s="51"/>
      <c r="LHH17" s="51"/>
      <c r="LHI17" s="51"/>
      <c r="LHJ17" s="51"/>
      <c r="LHK17" s="51"/>
      <c r="LHL17" s="51"/>
      <c r="LHM17" s="51"/>
      <c r="LHN17" s="51"/>
      <c r="LHO17" s="51"/>
      <c r="LHP17" s="51"/>
      <c r="LHQ17" s="51"/>
      <c r="LHR17" s="51"/>
      <c r="LHS17" s="51"/>
      <c r="LHT17" s="51"/>
      <c r="LHU17" s="51"/>
      <c r="LHV17" s="51"/>
      <c r="LHW17" s="51"/>
      <c r="LHX17" s="51"/>
      <c r="LHY17" s="51"/>
      <c r="LHZ17" s="51"/>
      <c r="LIA17" s="51"/>
      <c r="LIB17" s="51"/>
      <c r="LIC17" s="51"/>
      <c r="LID17" s="51"/>
      <c r="LIE17" s="51"/>
      <c r="LIF17" s="51"/>
      <c r="LIG17" s="51"/>
      <c r="LIH17" s="51"/>
      <c r="LII17" s="51"/>
      <c r="LIJ17" s="51"/>
      <c r="LIK17" s="51"/>
      <c r="LIL17" s="51"/>
      <c r="LIM17" s="51"/>
      <c r="LIN17" s="51"/>
      <c r="LIO17" s="51"/>
      <c r="LIP17" s="51"/>
      <c r="LIQ17" s="51"/>
      <c r="LIR17" s="51"/>
      <c r="LIS17" s="51"/>
      <c r="LIT17" s="51"/>
      <c r="LIU17" s="51"/>
      <c r="LIV17" s="51"/>
      <c r="LIW17" s="51"/>
      <c r="LIX17" s="51"/>
      <c r="LIY17" s="51"/>
      <c r="LIZ17" s="51"/>
      <c r="LJA17" s="51"/>
      <c r="LJB17" s="51"/>
      <c r="LJC17" s="51"/>
      <c r="LJD17" s="51"/>
      <c r="LJE17" s="51"/>
      <c r="LJF17" s="51"/>
      <c r="LJG17" s="51"/>
      <c r="LJH17" s="51"/>
      <c r="LJI17" s="51"/>
      <c r="LJJ17" s="51"/>
      <c r="LJK17" s="51"/>
      <c r="LJL17" s="51"/>
      <c r="LJM17" s="51"/>
      <c r="LJN17" s="51"/>
      <c r="LJO17" s="51"/>
      <c r="LJP17" s="51"/>
      <c r="LJQ17" s="51"/>
      <c r="LJR17" s="51"/>
      <c r="LJS17" s="51"/>
      <c r="LJT17" s="51"/>
      <c r="LJU17" s="51"/>
      <c r="LJV17" s="51"/>
      <c r="LJW17" s="51"/>
      <c r="LJX17" s="51"/>
      <c r="LJY17" s="51"/>
      <c r="LJZ17" s="51"/>
      <c r="LKA17" s="51"/>
      <c r="LKB17" s="51"/>
      <c r="LKC17" s="51"/>
      <c r="LKD17" s="51"/>
      <c r="LKE17" s="51"/>
      <c r="LKF17" s="51"/>
      <c r="LKG17" s="51"/>
      <c r="LKH17" s="51"/>
      <c r="LKI17" s="51"/>
      <c r="LKJ17" s="51"/>
      <c r="LKK17" s="51"/>
      <c r="LKL17" s="51"/>
      <c r="LKM17" s="51"/>
      <c r="LKN17" s="51"/>
      <c r="LKO17" s="51"/>
      <c r="LKP17" s="51"/>
      <c r="LKQ17" s="51"/>
      <c r="LKR17" s="51"/>
      <c r="LKS17" s="51"/>
      <c r="LKT17" s="51"/>
      <c r="LKU17" s="51"/>
      <c r="LKV17" s="51"/>
      <c r="LKW17" s="51"/>
      <c r="LKX17" s="51"/>
      <c r="LKY17" s="51"/>
      <c r="LKZ17" s="51"/>
      <c r="LLA17" s="51"/>
      <c r="LLB17" s="51"/>
      <c r="LLC17" s="51"/>
      <c r="LLD17" s="51"/>
      <c r="LLE17" s="51"/>
      <c r="LLF17" s="51"/>
      <c r="LLG17" s="51"/>
      <c r="LLH17" s="51"/>
      <c r="LLI17" s="51"/>
      <c r="LLJ17" s="51"/>
      <c r="LLK17" s="51"/>
      <c r="LLL17" s="51"/>
      <c r="LLM17" s="51"/>
      <c r="LLN17" s="51"/>
      <c r="LLO17" s="51"/>
      <c r="LLP17" s="51"/>
      <c r="LLQ17" s="51"/>
      <c r="LLR17" s="51"/>
      <c r="LLS17" s="51"/>
      <c r="LLT17" s="51"/>
      <c r="LLU17" s="51"/>
      <c r="LLV17" s="51"/>
      <c r="LLW17" s="51"/>
      <c r="LLX17" s="51"/>
      <c r="LLY17" s="51"/>
      <c r="LLZ17" s="51"/>
      <c r="LMA17" s="51"/>
      <c r="LMB17" s="51"/>
      <c r="LMC17" s="51"/>
      <c r="LMD17" s="51"/>
      <c r="LME17" s="51"/>
      <c r="LMF17" s="51"/>
      <c r="LMG17" s="51"/>
      <c r="LMH17" s="51"/>
      <c r="LMI17" s="51"/>
      <c r="LMJ17" s="51"/>
      <c r="LMK17" s="51"/>
      <c r="LML17" s="51"/>
      <c r="LMM17" s="51"/>
      <c r="LMN17" s="51"/>
      <c r="LMO17" s="51"/>
      <c r="LMP17" s="51"/>
      <c r="LMQ17" s="51"/>
      <c r="LMR17" s="51"/>
      <c r="LMS17" s="51"/>
      <c r="LMT17" s="51"/>
      <c r="LMU17" s="51"/>
      <c r="LMV17" s="51"/>
      <c r="LMW17" s="51"/>
      <c r="LMX17" s="51"/>
      <c r="LMY17" s="51"/>
      <c r="LMZ17" s="51"/>
      <c r="LNA17" s="51"/>
      <c r="LNB17" s="51"/>
      <c r="LNC17" s="51"/>
      <c r="LND17" s="51"/>
      <c r="LNE17" s="51"/>
      <c r="LNF17" s="51"/>
      <c r="LNG17" s="51"/>
      <c r="LNH17" s="51"/>
      <c r="LNI17" s="51"/>
      <c r="LNJ17" s="51"/>
      <c r="LNK17" s="51"/>
      <c r="LNL17" s="51"/>
      <c r="LNM17" s="51"/>
      <c r="LNN17" s="51"/>
      <c r="LNO17" s="51"/>
      <c r="LNP17" s="51"/>
      <c r="LNQ17" s="51"/>
      <c r="LNR17" s="51"/>
      <c r="LNS17" s="51"/>
      <c r="LNT17" s="51"/>
      <c r="LNU17" s="51"/>
      <c r="LNV17" s="51"/>
      <c r="LNW17" s="51"/>
      <c r="LNX17" s="51"/>
      <c r="LNY17" s="51"/>
      <c r="LNZ17" s="51"/>
      <c r="LOA17" s="51"/>
      <c r="LOB17" s="51"/>
      <c r="LOC17" s="51"/>
      <c r="LOD17" s="51"/>
      <c r="LOE17" s="51"/>
      <c r="LOF17" s="51"/>
      <c r="LOG17" s="51"/>
      <c r="LOH17" s="51"/>
      <c r="LOI17" s="51"/>
      <c r="LOJ17" s="51"/>
      <c r="LOK17" s="51"/>
      <c r="LOL17" s="51"/>
      <c r="LOM17" s="51"/>
      <c r="LON17" s="51"/>
      <c r="LOO17" s="51"/>
      <c r="LOP17" s="51"/>
      <c r="LOQ17" s="51"/>
      <c r="LOR17" s="51"/>
      <c r="LOS17" s="51"/>
      <c r="LOT17" s="51"/>
      <c r="LOU17" s="51"/>
      <c r="LOV17" s="51"/>
      <c r="LOW17" s="51"/>
      <c r="LOX17" s="51"/>
      <c r="LOY17" s="51"/>
      <c r="LOZ17" s="51"/>
      <c r="LPA17" s="51"/>
      <c r="LPB17" s="51"/>
      <c r="LPC17" s="51"/>
      <c r="LPD17" s="51"/>
      <c r="LPE17" s="51"/>
      <c r="LPF17" s="51"/>
      <c r="LPG17" s="51"/>
      <c r="LPH17" s="51"/>
      <c r="LPI17" s="51"/>
      <c r="LPJ17" s="51"/>
      <c r="LPK17" s="51"/>
      <c r="LPL17" s="51"/>
      <c r="LPM17" s="51"/>
      <c r="LPN17" s="51"/>
      <c r="LPO17" s="51"/>
      <c r="LPP17" s="51"/>
      <c r="LPQ17" s="51"/>
      <c r="LPR17" s="51"/>
      <c r="LPS17" s="51"/>
      <c r="LPT17" s="51"/>
      <c r="LPU17" s="51"/>
      <c r="LPV17" s="51"/>
      <c r="LPW17" s="51"/>
      <c r="LPX17" s="51"/>
      <c r="LPY17" s="51"/>
      <c r="LPZ17" s="51"/>
      <c r="LQA17" s="51"/>
      <c r="LQB17" s="51"/>
      <c r="LQC17" s="51"/>
      <c r="LQD17" s="51"/>
      <c r="LQE17" s="51"/>
      <c r="LQF17" s="51"/>
      <c r="LQG17" s="51"/>
      <c r="LQH17" s="51"/>
      <c r="LQI17" s="51"/>
      <c r="LQJ17" s="51"/>
      <c r="LQK17" s="51"/>
      <c r="LQL17" s="51"/>
      <c r="LQM17" s="51"/>
      <c r="LQN17" s="51"/>
      <c r="LQO17" s="51"/>
      <c r="LQP17" s="51"/>
      <c r="LQQ17" s="51"/>
      <c r="LQR17" s="51"/>
      <c r="LQS17" s="51"/>
      <c r="LQT17" s="51"/>
      <c r="LQU17" s="51"/>
      <c r="LQV17" s="51"/>
      <c r="LQW17" s="51"/>
      <c r="LQX17" s="51"/>
      <c r="LQY17" s="51"/>
      <c r="LQZ17" s="51"/>
      <c r="LRA17" s="51"/>
      <c r="LRB17" s="51"/>
      <c r="LRC17" s="51"/>
      <c r="LRD17" s="51"/>
      <c r="LRE17" s="51"/>
      <c r="LRF17" s="51"/>
      <c r="LRG17" s="51"/>
      <c r="LRH17" s="51"/>
      <c r="LRI17" s="51"/>
      <c r="LRJ17" s="51"/>
      <c r="LRK17" s="51"/>
      <c r="LRL17" s="51"/>
      <c r="LRM17" s="51"/>
      <c r="LRN17" s="51"/>
      <c r="LRO17" s="51"/>
      <c r="LRP17" s="51"/>
      <c r="LRQ17" s="51"/>
      <c r="LRR17" s="51"/>
      <c r="LRS17" s="51"/>
      <c r="LRT17" s="51"/>
      <c r="LRU17" s="51"/>
      <c r="LRV17" s="51"/>
      <c r="LRW17" s="51"/>
      <c r="LRX17" s="51"/>
      <c r="LRY17" s="51"/>
      <c r="LRZ17" s="51"/>
      <c r="LSA17" s="51"/>
      <c r="LSB17" s="51"/>
      <c r="LSC17" s="51"/>
      <c r="LSD17" s="51"/>
      <c r="LSE17" s="51"/>
      <c r="LSF17" s="51"/>
      <c r="LSG17" s="51"/>
      <c r="LSH17" s="51"/>
      <c r="LSI17" s="51"/>
      <c r="LSJ17" s="51"/>
      <c r="LSK17" s="51"/>
      <c r="LSL17" s="51"/>
      <c r="LSM17" s="51"/>
      <c r="LSN17" s="51"/>
      <c r="LSO17" s="51"/>
      <c r="LSP17" s="51"/>
      <c r="LSQ17" s="51"/>
      <c r="LSR17" s="51"/>
      <c r="LSS17" s="51"/>
      <c r="LST17" s="51"/>
      <c r="LSU17" s="51"/>
      <c r="LSV17" s="51"/>
      <c r="LSW17" s="51"/>
      <c r="LSX17" s="51"/>
      <c r="LSY17" s="51"/>
      <c r="LSZ17" s="51"/>
      <c r="LTA17" s="51"/>
      <c r="LTB17" s="51"/>
      <c r="LTC17" s="51"/>
      <c r="LTD17" s="51"/>
      <c r="LTE17" s="51"/>
      <c r="LTF17" s="51"/>
      <c r="LTG17" s="51"/>
      <c r="LTH17" s="51"/>
      <c r="LTI17" s="51"/>
      <c r="LTJ17" s="51"/>
      <c r="LTK17" s="51"/>
      <c r="LTL17" s="51"/>
      <c r="LTM17" s="51"/>
      <c r="LTN17" s="51"/>
      <c r="LTO17" s="51"/>
      <c r="LTP17" s="51"/>
      <c r="LTQ17" s="51"/>
      <c r="LTR17" s="51"/>
      <c r="LTS17" s="51"/>
      <c r="LTT17" s="51"/>
      <c r="LTU17" s="51"/>
      <c r="LTV17" s="51"/>
      <c r="LTW17" s="51"/>
      <c r="LTX17" s="51"/>
      <c r="LTY17" s="51"/>
      <c r="LTZ17" s="51"/>
      <c r="LUA17" s="51"/>
      <c r="LUB17" s="51"/>
      <c r="LUC17" s="51"/>
      <c r="LUD17" s="51"/>
      <c r="LUE17" s="51"/>
      <c r="LUF17" s="51"/>
      <c r="LUG17" s="51"/>
      <c r="LUH17" s="51"/>
      <c r="LUI17" s="51"/>
      <c r="LUJ17" s="51"/>
      <c r="LUK17" s="51"/>
      <c r="LUL17" s="51"/>
      <c r="LUM17" s="51"/>
      <c r="LUN17" s="51"/>
      <c r="LUO17" s="51"/>
      <c r="LUP17" s="51"/>
      <c r="LUQ17" s="51"/>
      <c r="LUR17" s="51"/>
      <c r="LUS17" s="51"/>
      <c r="LUT17" s="51"/>
      <c r="LUU17" s="51"/>
      <c r="LUV17" s="51"/>
      <c r="LUW17" s="51"/>
      <c r="LUX17" s="51"/>
      <c r="LUY17" s="51"/>
      <c r="LUZ17" s="51"/>
      <c r="LVA17" s="51"/>
      <c r="LVB17" s="51"/>
      <c r="LVC17" s="51"/>
      <c r="LVD17" s="51"/>
      <c r="LVE17" s="51"/>
      <c r="LVF17" s="51"/>
      <c r="LVG17" s="51"/>
      <c r="LVH17" s="51"/>
      <c r="LVI17" s="51"/>
      <c r="LVJ17" s="51"/>
      <c r="LVK17" s="51"/>
      <c r="LVL17" s="51"/>
      <c r="LVM17" s="51"/>
      <c r="LVN17" s="51"/>
      <c r="LVO17" s="51"/>
      <c r="LVP17" s="51"/>
      <c r="LVQ17" s="51"/>
      <c r="LVR17" s="51"/>
      <c r="LVS17" s="51"/>
      <c r="LVT17" s="51"/>
      <c r="LVU17" s="51"/>
      <c r="LVV17" s="51"/>
      <c r="LVW17" s="51"/>
      <c r="LVX17" s="51"/>
      <c r="LVY17" s="51"/>
      <c r="LVZ17" s="51"/>
      <c r="LWA17" s="51"/>
      <c r="LWB17" s="51"/>
      <c r="LWC17" s="51"/>
      <c r="LWD17" s="51"/>
      <c r="LWE17" s="51"/>
      <c r="LWF17" s="51"/>
      <c r="LWG17" s="51"/>
      <c r="LWH17" s="51"/>
      <c r="LWI17" s="51"/>
      <c r="LWJ17" s="51"/>
      <c r="LWK17" s="51"/>
      <c r="LWL17" s="51"/>
      <c r="LWM17" s="51"/>
      <c r="LWN17" s="51"/>
      <c r="LWO17" s="51"/>
      <c r="LWP17" s="51"/>
      <c r="LWQ17" s="51"/>
      <c r="LWR17" s="51"/>
      <c r="LWS17" s="51"/>
      <c r="LWT17" s="51"/>
      <c r="LWU17" s="51"/>
      <c r="LWV17" s="51"/>
      <c r="LWW17" s="51"/>
      <c r="LWX17" s="51"/>
      <c r="LWY17" s="51"/>
      <c r="LWZ17" s="51"/>
      <c r="LXA17" s="51"/>
      <c r="LXB17" s="51"/>
      <c r="LXC17" s="51"/>
      <c r="LXD17" s="51"/>
      <c r="LXE17" s="51"/>
      <c r="LXF17" s="51"/>
      <c r="LXG17" s="51"/>
      <c r="LXH17" s="51"/>
      <c r="LXI17" s="51"/>
      <c r="LXJ17" s="51"/>
      <c r="LXK17" s="51"/>
      <c r="LXL17" s="51"/>
      <c r="LXM17" s="51"/>
      <c r="LXN17" s="51"/>
      <c r="LXO17" s="51"/>
      <c r="LXP17" s="51"/>
      <c r="LXQ17" s="51"/>
      <c r="LXR17" s="51"/>
      <c r="LXS17" s="51"/>
      <c r="LXT17" s="51"/>
      <c r="LXU17" s="51"/>
      <c r="LXV17" s="51"/>
      <c r="LXW17" s="51"/>
      <c r="LXX17" s="51"/>
      <c r="LXY17" s="51"/>
      <c r="LXZ17" s="51"/>
      <c r="LYA17" s="51"/>
      <c r="LYB17" s="51"/>
      <c r="LYC17" s="51"/>
      <c r="LYD17" s="51"/>
      <c r="LYE17" s="51"/>
      <c r="LYF17" s="51"/>
      <c r="LYG17" s="51"/>
      <c r="LYH17" s="51"/>
      <c r="LYI17" s="51"/>
      <c r="LYJ17" s="51"/>
      <c r="LYK17" s="51"/>
      <c r="LYL17" s="51"/>
      <c r="LYM17" s="51"/>
      <c r="LYN17" s="51"/>
      <c r="LYO17" s="51"/>
      <c r="LYP17" s="51"/>
      <c r="LYQ17" s="51"/>
      <c r="LYR17" s="51"/>
      <c r="LYS17" s="51"/>
      <c r="LYT17" s="51"/>
      <c r="LYU17" s="51"/>
      <c r="LYV17" s="51"/>
      <c r="LYW17" s="51"/>
      <c r="LYX17" s="51"/>
      <c r="LYY17" s="51"/>
      <c r="LYZ17" s="51"/>
      <c r="LZA17" s="51"/>
      <c r="LZB17" s="51"/>
      <c r="LZC17" s="51"/>
      <c r="LZD17" s="51"/>
      <c r="LZE17" s="51"/>
      <c r="LZF17" s="51"/>
      <c r="LZG17" s="51"/>
      <c r="LZH17" s="51"/>
      <c r="LZI17" s="51"/>
      <c r="LZJ17" s="51"/>
      <c r="LZK17" s="51"/>
      <c r="LZL17" s="51"/>
      <c r="LZM17" s="51"/>
      <c r="LZN17" s="51"/>
      <c r="LZO17" s="51"/>
      <c r="LZP17" s="51"/>
      <c r="LZQ17" s="51"/>
      <c r="LZR17" s="51"/>
      <c r="LZS17" s="51"/>
      <c r="LZT17" s="51"/>
      <c r="LZU17" s="51"/>
      <c r="LZV17" s="51"/>
      <c r="LZW17" s="51"/>
      <c r="LZX17" s="51"/>
      <c r="LZY17" s="51"/>
      <c r="LZZ17" s="51"/>
      <c r="MAA17" s="51"/>
      <c r="MAB17" s="51"/>
      <c r="MAC17" s="51"/>
      <c r="MAD17" s="51"/>
      <c r="MAE17" s="51"/>
      <c r="MAF17" s="51"/>
      <c r="MAG17" s="51"/>
      <c r="MAH17" s="51"/>
      <c r="MAI17" s="51"/>
      <c r="MAJ17" s="51"/>
      <c r="MAK17" s="51"/>
      <c r="MAL17" s="51"/>
      <c r="MAM17" s="51"/>
      <c r="MAN17" s="51"/>
      <c r="MAO17" s="51"/>
      <c r="MAP17" s="51"/>
      <c r="MAQ17" s="51"/>
      <c r="MAR17" s="51"/>
      <c r="MAS17" s="51"/>
      <c r="MAT17" s="51"/>
      <c r="MAU17" s="51"/>
      <c r="MAV17" s="51"/>
      <c r="MAW17" s="51"/>
      <c r="MAX17" s="51"/>
      <c r="MAY17" s="51"/>
      <c r="MAZ17" s="51"/>
      <c r="MBA17" s="51"/>
      <c r="MBB17" s="51"/>
      <c r="MBC17" s="51"/>
      <c r="MBD17" s="51"/>
      <c r="MBE17" s="51"/>
      <c r="MBF17" s="51"/>
      <c r="MBG17" s="51"/>
      <c r="MBH17" s="51"/>
      <c r="MBI17" s="51"/>
      <c r="MBJ17" s="51"/>
      <c r="MBK17" s="51"/>
      <c r="MBL17" s="51"/>
      <c r="MBM17" s="51"/>
      <c r="MBN17" s="51"/>
      <c r="MBO17" s="51"/>
      <c r="MBP17" s="51"/>
      <c r="MBQ17" s="51"/>
      <c r="MBR17" s="51"/>
      <c r="MBS17" s="51"/>
      <c r="MBT17" s="51"/>
      <c r="MBU17" s="51"/>
      <c r="MBV17" s="51"/>
      <c r="MBW17" s="51"/>
      <c r="MBX17" s="51"/>
      <c r="MBY17" s="51"/>
      <c r="MBZ17" s="51"/>
      <c r="MCA17" s="51"/>
      <c r="MCB17" s="51"/>
      <c r="MCC17" s="51"/>
      <c r="MCD17" s="51"/>
      <c r="MCE17" s="51"/>
      <c r="MCF17" s="51"/>
      <c r="MCG17" s="51"/>
      <c r="MCH17" s="51"/>
      <c r="MCI17" s="51"/>
      <c r="MCJ17" s="51"/>
      <c r="MCK17" s="51"/>
      <c r="MCL17" s="51"/>
      <c r="MCM17" s="51"/>
      <c r="MCN17" s="51"/>
      <c r="MCO17" s="51"/>
      <c r="MCP17" s="51"/>
      <c r="MCQ17" s="51"/>
      <c r="MCR17" s="51"/>
      <c r="MCS17" s="51"/>
      <c r="MCT17" s="51"/>
      <c r="MCU17" s="51"/>
      <c r="MCV17" s="51"/>
      <c r="MCW17" s="51"/>
      <c r="MCX17" s="51"/>
      <c r="MCY17" s="51"/>
      <c r="MCZ17" s="51"/>
      <c r="MDA17" s="51"/>
      <c r="MDB17" s="51"/>
      <c r="MDC17" s="51"/>
      <c r="MDD17" s="51"/>
      <c r="MDE17" s="51"/>
      <c r="MDF17" s="51"/>
      <c r="MDG17" s="51"/>
      <c r="MDH17" s="51"/>
      <c r="MDI17" s="51"/>
      <c r="MDJ17" s="51"/>
      <c r="MDK17" s="51"/>
      <c r="MDL17" s="51"/>
      <c r="MDM17" s="51"/>
      <c r="MDN17" s="51"/>
      <c r="MDO17" s="51"/>
      <c r="MDP17" s="51"/>
      <c r="MDQ17" s="51"/>
      <c r="MDR17" s="51"/>
      <c r="MDS17" s="51"/>
      <c r="MDT17" s="51"/>
      <c r="MDU17" s="51"/>
      <c r="MDV17" s="51"/>
      <c r="MDW17" s="51"/>
      <c r="MDX17" s="51"/>
      <c r="MDY17" s="51"/>
      <c r="MDZ17" s="51"/>
      <c r="MEA17" s="51"/>
      <c r="MEB17" s="51"/>
      <c r="MEC17" s="51"/>
      <c r="MED17" s="51"/>
      <c r="MEE17" s="51"/>
      <c r="MEF17" s="51"/>
      <c r="MEG17" s="51"/>
      <c r="MEH17" s="51"/>
      <c r="MEI17" s="51"/>
      <c r="MEJ17" s="51"/>
      <c r="MEK17" s="51"/>
      <c r="MEL17" s="51"/>
      <c r="MEM17" s="51"/>
      <c r="MEN17" s="51"/>
      <c r="MEO17" s="51"/>
      <c r="MEP17" s="51"/>
      <c r="MEQ17" s="51"/>
      <c r="MER17" s="51"/>
      <c r="MES17" s="51"/>
      <c r="MET17" s="51"/>
      <c r="MEU17" s="51"/>
      <c r="MEV17" s="51"/>
      <c r="MEW17" s="51"/>
      <c r="MEX17" s="51"/>
      <c r="MEY17" s="51"/>
      <c r="MEZ17" s="51"/>
      <c r="MFA17" s="51"/>
      <c r="MFB17" s="51"/>
      <c r="MFC17" s="51"/>
      <c r="MFD17" s="51"/>
      <c r="MFE17" s="51"/>
      <c r="MFF17" s="51"/>
      <c r="MFG17" s="51"/>
      <c r="MFH17" s="51"/>
      <c r="MFI17" s="51"/>
      <c r="MFJ17" s="51"/>
      <c r="MFK17" s="51"/>
      <c r="MFL17" s="51"/>
      <c r="MFM17" s="51"/>
      <c r="MFN17" s="51"/>
      <c r="MFO17" s="51"/>
      <c r="MFP17" s="51"/>
      <c r="MFQ17" s="51"/>
      <c r="MFR17" s="51"/>
      <c r="MFS17" s="51"/>
      <c r="MFT17" s="51"/>
      <c r="MFU17" s="51"/>
      <c r="MFV17" s="51"/>
      <c r="MFW17" s="51"/>
      <c r="MFX17" s="51"/>
      <c r="MFY17" s="51"/>
      <c r="MFZ17" s="51"/>
      <c r="MGA17" s="51"/>
      <c r="MGB17" s="51"/>
      <c r="MGC17" s="51"/>
      <c r="MGD17" s="51"/>
      <c r="MGE17" s="51"/>
      <c r="MGF17" s="51"/>
      <c r="MGG17" s="51"/>
      <c r="MGH17" s="51"/>
      <c r="MGI17" s="51"/>
      <c r="MGJ17" s="51"/>
      <c r="MGK17" s="51"/>
      <c r="MGL17" s="51"/>
      <c r="MGM17" s="51"/>
      <c r="MGN17" s="51"/>
      <c r="MGO17" s="51"/>
      <c r="MGP17" s="51"/>
      <c r="MGQ17" s="51"/>
      <c r="MGR17" s="51"/>
      <c r="MGS17" s="51"/>
      <c r="MGT17" s="51"/>
      <c r="MGU17" s="51"/>
      <c r="MGV17" s="51"/>
      <c r="MGW17" s="51"/>
      <c r="MGX17" s="51"/>
      <c r="MGY17" s="51"/>
      <c r="MGZ17" s="51"/>
      <c r="MHA17" s="51"/>
      <c r="MHB17" s="51"/>
      <c r="MHC17" s="51"/>
      <c r="MHD17" s="51"/>
      <c r="MHE17" s="51"/>
      <c r="MHF17" s="51"/>
      <c r="MHG17" s="51"/>
      <c r="MHH17" s="51"/>
      <c r="MHI17" s="51"/>
      <c r="MHJ17" s="51"/>
      <c r="MHK17" s="51"/>
      <c r="MHL17" s="51"/>
      <c r="MHM17" s="51"/>
      <c r="MHN17" s="51"/>
      <c r="MHO17" s="51"/>
      <c r="MHP17" s="51"/>
      <c r="MHQ17" s="51"/>
      <c r="MHR17" s="51"/>
      <c r="MHS17" s="51"/>
      <c r="MHT17" s="51"/>
      <c r="MHU17" s="51"/>
      <c r="MHV17" s="51"/>
      <c r="MHW17" s="51"/>
      <c r="MHX17" s="51"/>
      <c r="MHY17" s="51"/>
      <c r="MHZ17" s="51"/>
      <c r="MIA17" s="51"/>
      <c r="MIB17" s="51"/>
      <c r="MIC17" s="51"/>
      <c r="MID17" s="51"/>
      <c r="MIE17" s="51"/>
      <c r="MIF17" s="51"/>
      <c r="MIG17" s="51"/>
      <c r="MIH17" s="51"/>
      <c r="MII17" s="51"/>
      <c r="MIJ17" s="51"/>
      <c r="MIK17" s="51"/>
      <c r="MIL17" s="51"/>
      <c r="MIM17" s="51"/>
      <c r="MIN17" s="51"/>
      <c r="MIO17" s="51"/>
      <c r="MIP17" s="51"/>
      <c r="MIQ17" s="51"/>
      <c r="MIR17" s="51"/>
      <c r="MIS17" s="51"/>
      <c r="MIT17" s="51"/>
      <c r="MIU17" s="51"/>
      <c r="MIV17" s="51"/>
      <c r="MIW17" s="51"/>
      <c r="MIX17" s="51"/>
      <c r="MIY17" s="51"/>
      <c r="MIZ17" s="51"/>
      <c r="MJA17" s="51"/>
      <c r="MJB17" s="51"/>
      <c r="MJC17" s="51"/>
      <c r="MJD17" s="51"/>
      <c r="MJE17" s="51"/>
      <c r="MJF17" s="51"/>
      <c r="MJG17" s="51"/>
      <c r="MJH17" s="51"/>
      <c r="MJI17" s="51"/>
      <c r="MJJ17" s="51"/>
      <c r="MJK17" s="51"/>
      <c r="MJL17" s="51"/>
      <c r="MJM17" s="51"/>
      <c r="MJN17" s="51"/>
      <c r="MJO17" s="51"/>
      <c r="MJP17" s="51"/>
      <c r="MJQ17" s="51"/>
      <c r="MJR17" s="51"/>
      <c r="MJS17" s="51"/>
      <c r="MJT17" s="51"/>
      <c r="MJU17" s="51"/>
      <c r="MJV17" s="51"/>
      <c r="MJW17" s="51"/>
      <c r="MJX17" s="51"/>
      <c r="MJY17" s="51"/>
      <c r="MJZ17" s="51"/>
      <c r="MKA17" s="51"/>
      <c r="MKB17" s="51"/>
      <c r="MKC17" s="51"/>
      <c r="MKD17" s="51"/>
      <c r="MKE17" s="51"/>
      <c r="MKF17" s="51"/>
      <c r="MKG17" s="51"/>
      <c r="MKH17" s="51"/>
      <c r="MKI17" s="51"/>
      <c r="MKJ17" s="51"/>
      <c r="MKK17" s="51"/>
      <c r="MKL17" s="51"/>
      <c r="MKM17" s="51"/>
      <c r="MKN17" s="51"/>
      <c r="MKO17" s="51"/>
      <c r="MKP17" s="51"/>
      <c r="MKQ17" s="51"/>
      <c r="MKR17" s="51"/>
      <c r="MKS17" s="51"/>
      <c r="MKT17" s="51"/>
      <c r="MKU17" s="51"/>
      <c r="MKV17" s="51"/>
      <c r="MKW17" s="51"/>
      <c r="MKX17" s="51"/>
      <c r="MKY17" s="51"/>
      <c r="MKZ17" s="51"/>
      <c r="MLA17" s="51"/>
      <c r="MLB17" s="51"/>
      <c r="MLC17" s="51"/>
      <c r="MLD17" s="51"/>
      <c r="MLE17" s="51"/>
      <c r="MLF17" s="51"/>
      <c r="MLG17" s="51"/>
      <c r="MLH17" s="51"/>
      <c r="MLI17" s="51"/>
      <c r="MLJ17" s="51"/>
      <c r="MLK17" s="51"/>
      <c r="MLL17" s="51"/>
      <c r="MLM17" s="51"/>
      <c r="MLN17" s="51"/>
      <c r="MLO17" s="51"/>
      <c r="MLP17" s="51"/>
      <c r="MLQ17" s="51"/>
      <c r="MLR17" s="51"/>
      <c r="MLS17" s="51"/>
      <c r="MLT17" s="51"/>
      <c r="MLU17" s="51"/>
      <c r="MLV17" s="51"/>
      <c r="MLW17" s="51"/>
      <c r="MLX17" s="51"/>
      <c r="MLY17" s="51"/>
      <c r="MLZ17" s="51"/>
      <c r="MMA17" s="51"/>
      <c r="MMB17" s="51"/>
      <c r="MMC17" s="51"/>
      <c r="MMD17" s="51"/>
      <c r="MME17" s="51"/>
      <c r="MMF17" s="51"/>
      <c r="MMG17" s="51"/>
      <c r="MMH17" s="51"/>
      <c r="MMI17" s="51"/>
      <c r="MMJ17" s="51"/>
      <c r="MMK17" s="51"/>
      <c r="MML17" s="51"/>
      <c r="MMM17" s="51"/>
      <c r="MMN17" s="51"/>
      <c r="MMO17" s="51"/>
      <c r="MMP17" s="51"/>
      <c r="MMQ17" s="51"/>
      <c r="MMR17" s="51"/>
      <c r="MMS17" s="51"/>
      <c r="MMT17" s="51"/>
      <c r="MMU17" s="51"/>
      <c r="MMV17" s="51"/>
      <c r="MMW17" s="51"/>
      <c r="MMX17" s="51"/>
      <c r="MMY17" s="51"/>
      <c r="MMZ17" s="51"/>
      <c r="MNA17" s="51"/>
      <c r="MNB17" s="51"/>
      <c r="MNC17" s="51"/>
      <c r="MND17" s="51"/>
      <c r="MNE17" s="51"/>
      <c r="MNF17" s="51"/>
      <c r="MNG17" s="51"/>
      <c r="MNH17" s="51"/>
      <c r="MNI17" s="51"/>
      <c r="MNJ17" s="51"/>
      <c r="MNK17" s="51"/>
      <c r="MNL17" s="51"/>
      <c r="MNM17" s="51"/>
      <c r="MNN17" s="51"/>
      <c r="MNO17" s="51"/>
      <c r="MNP17" s="51"/>
      <c r="MNQ17" s="51"/>
      <c r="MNR17" s="51"/>
      <c r="MNS17" s="51"/>
      <c r="MNT17" s="51"/>
      <c r="MNU17" s="51"/>
      <c r="MNV17" s="51"/>
      <c r="MNW17" s="51"/>
      <c r="MNX17" s="51"/>
      <c r="MNY17" s="51"/>
      <c r="MNZ17" s="51"/>
      <c r="MOA17" s="51"/>
      <c r="MOB17" s="51"/>
      <c r="MOC17" s="51"/>
      <c r="MOD17" s="51"/>
      <c r="MOE17" s="51"/>
      <c r="MOF17" s="51"/>
      <c r="MOG17" s="51"/>
      <c r="MOH17" s="51"/>
      <c r="MOI17" s="51"/>
      <c r="MOJ17" s="51"/>
      <c r="MOK17" s="51"/>
      <c r="MOL17" s="51"/>
      <c r="MOM17" s="51"/>
      <c r="MON17" s="51"/>
      <c r="MOO17" s="51"/>
      <c r="MOP17" s="51"/>
      <c r="MOQ17" s="51"/>
      <c r="MOR17" s="51"/>
      <c r="MOS17" s="51"/>
      <c r="MOT17" s="51"/>
      <c r="MOU17" s="51"/>
      <c r="MOV17" s="51"/>
      <c r="MOW17" s="51"/>
      <c r="MOX17" s="51"/>
      <c r="MOY17" s="51"/>
      <c r="MOZ17" s="51"/>
      <c r="MPA17" s="51"/>
      <c r="MPB17" s="51"/>
      <c r="MPC17" s="51"/>
      <c r="MPD17" s="51"/>
      <c r="MPE17" s="51"/>
      <c r="MPF17" s="51"/>
      <c r="MPG17" s="51"/>
      <c r="MPH17" s="51"/>
      <c r="MPI17" s="51"/>
      <c r="MPJ17" s="51"/>
      <c r="MPK17" s="51"/>
      <c r="MPL17" s="51"/>
      <c r="MPM17" s="51"/>
      <c r="MPN17" s="51"/>
      <c r="MPO17" s="51"/>
      <c r="MPP17" s="51"/>
      <c r="MPQ17" s="51"/>
      <c r="MPR17" s="51"/>
      <c r="MPS17" s="51"/>
      <c r="MPT17" s="51"/>
      <c r="MPU17" s="51"/>
      <c r="MPV17" s="51"/>
      <c r="MPW17" s="51"/>
      <c r="MPX17" s="51"/>
      <c r="MPY17" s="51"/>
      <c r="MPZ17" s="51"/>
      <c r="MQA17" s="51"/>
      <c r="MQB17" s="51"/>
      <c r="MQC17" s="51"/>
      <c r="MQD17" s="51"/>
      <c r="MQE17" s="51"/>
      <c r="MQF17" s="51"/>
      <c r="MQG17" s="51"/>
      <c r="MQH17" s="51"/>
      <c r="MQI17" s="51"/>
      <c r="MQJ17" s="51"/>
      <c r="MQK17" s="51"/>
      <c r="MQL17" s="51"/>
      <c r="MQM17" s="51"/>
      <c r="MQN17" s="51"/>
      <c r="MQO17" s="51"/>
      <c r="MQP17" s="51"/>
      <c r="MQQ17" s="51"/>
      <c r="MQR17" s="51"/>
      <c r="MQS17" s="51"/>
      <c r="MQT17" s="51"/>
      <c r="MQU17" s="51"/>
      <c r="MQV17" s="51"/>
      <c r="MQW17" s="51"/>
      <c r="MQX17" s="51"/>
      <c r="MQY17" s="51"/>
      <c r="MQZ17" s="51"/>
      <c r="MRA17" s="51"/>
      <c r="MRB17" s="51"/>
      <c r="MRC17" s="51"/>
      <c r="MRD17" s="51"/>
      <c r="MRE17" s="51"/>
      <c r="MRF17" s="51"/>
      <c r="MRG17" s="51"/>
      <c r="MRH17" s="51"/>
      <c r="MRI17" s="51"/>
      <c r="MRJ17" s="51"/>
      <c r="MRK17" s="51"/>
      <c r="MRL17" s="51"/>
      <c r="MRM17" s="51"/>
      <c r="MRN17" s="51"/>
      <c r="MRO17" s="51"/>
      <c r="MRP17" s="51"/>
      <c r="MRQ17" s="51"/>
      <c r="MRR17" s="51"/>
      <c r="MRS17" s="51"/>
      <c r="MRT17" s="51"/>
      <c r="MRU17" s="51"/>
      <c r="MRV17" s="51"/>
      <c r="MRW17" s="51"/>
      <c r="MRX17" s="51"/>
      <c r="MRY17" s="51"/>
      <c r="MRZ17" s="51"/>
      <c r="MSA17" s="51"/>
      <c r="MSB17" s="51"/>
      <c r="MSC17" s="51"/>
      <c r="MSD17" s="51"/>
      <c r="MSE17" s="51"/>
      <c r="MSF17" s="51"/>
      <c r="MSG17" s="51"/>
      <c r="MSH17" s="51"/>
      <c r="MSI17" s="51"/>
      <c r="MSJ17" s="51"/>
      <c r="MSK17" s="51"/>
      <c r="MSL17" s="51"/>
      <c r="MSM17" s="51"/>
      <c r="MSN17" s="51"/>
      <c r="MSO17" s="51"/>
      <c r="MSP17" s="51"/>
      <c r="MSQ17" s="51"/>
      <c r="MSR17" s="51"/>
      <c r="MSS17" s="51"/>
      <c r="MST17" s="51"/>
      <c r="MSU17" s="51"/>
      <c r="MSV17" s="51"/>
      <c r="MSW17" s="51"/>
      <c r="MSX17" s="51"/>
      <c r="MSY17" s="51"/>
      <c r="MSZ17" s="51"/>
      <c r="MTA17" s="51"/>
      <c r="MTB17" s="51"/>
      <c r="MTC17" s="51"/>
      <c r="MTD17" s="51"/>
      <c r="MTE17" s="51"/>
      <c r="MTF17" s="51"/>
      <c r="MTG17" s="51"/>
      <c r="MTH17" s="51"/>
      <c r="MTI17" s="51"/>
      <c r="MTJ17" s="51"/>
      <c r="MTK17" s="51"/>
      <c r="MTL17" s="51"/>
      <c r="MTM17" s="51"/>
      <c r="MTN17" s="51"/>
      <c r="MTO17" s="51"/>
      <c r="MTP17" s="51"/>
      <c r="MTQ17" s="51"/>
      <c r="MTR17" s="51"/>
      <c r="MTS17" s="51"/>
      <c r="MTT17" s="51"/>
      <c r="MTU17" s="51"/>
      <c r="MTV17" s="51"/>
      <c r="MTW17" s="51"/>
      <c r="MTX17" s="51"/>
      <c r="MTY17" s="51"/>
      <c r="MTZ17" s="51"/>
      <c r="MUA17" s="51"/>
      <c r="MUB17" s="51"/>
      <c r="MUC17" s="51"/>
      <c r="MUD17" s="51"/>
      <c r="MUE17" s="51"/>
      <c r="MUF17" s="51"/>
      <c r="MUG17" s="51"/>
      <c r="MUH17" s="51"/>
      <c r="MUI17" s="51"/>
      <c r="MUJ17" s="51"/>
      <c r="MUK17" s="51"/>
      <c r="MUL17" s="51"/>
      <c r="MUM17" s="51"/>
      <c r="MUN17" s="51"/>
      <c r="MUO17" s="51"/>
      <c r="MUP17" s="51"/>
      <c r="MUQ17" s="51"/>
      <c r="MUR17" s="51"/>
      <c r="MUS17" s="51"/>
      <c r="MUT17" s="51"/>
      <c r="MUU17" s="51"/>
      <c r="MUV17" s="51"/>
      <c r="MUW17" s="51"/>
      <c r="MUX17" s="51"/>
      <c r="MUY17" s="51"/>
      <c r="MUZ17" s="51"/>
      <c r="MVA17" s="51"/>
      <c r="MVB17" s="51"/>
      <c r="MVC17" s="51"/>
      <c r="MVD17" s="51"/>
      <c r="MVE17" s="51"/>
      <c r="MVF17" s="51"/>
      <c r="MVG17" s="51"/>
      <c r="MVH17" s="51"/>
      <c r="MVI17" s="51"/>
      <c r="MVJ17" s="51"/>
      <c r="MVK17" s="51"/>
      <c r="MVL17" s="51"/>
      <c r="MVM17" s="51"/>
      <c r="MVN17" s="51"/>
      <c r="MVO17" s="51"/>
      <c r="MVP17" s="51"/>
      <c r="MVQ17" s="51"/>
      <c r="MVR17" s="51"/>
      <c r="MVS17" s="51"/>
      <c r="MVT17" s="51"/>
      <c r="MVU17" s="51"/>
      <c r="MVV17" s="51"/>
      <c r="MVW17" s="51"/>
      <c r="MVX17" s="51"/>
      <c r="MVY17" s="51"/>
      <c r="MVZ17" s="51"/>
      <c r="MWA17" s="51"/>
      <c r="MWB17" s="51"/>
      <c r="MWC17" s="51"/>
      <c r="MWD17" s="51"/>
      <c r="MWE17" s="51"/>
      <c r="MWF17" s="51"/>
      <c r="MWG17" s="51"/>
      <c r="MWH17" s="51"/>
      <c r="MWI17" s="51"/>
      <c r="MWJ17" s="51"/>
      <c r="MWK17" s="51"/>
      <c r="MWL17" s="51"/>
      <c r="MWM17" s="51"/>
      <c r="MWN17" s="51"/>
      <c r="MWO17" s="51"/>
      <c r="MWP17" s="51"/>
      <c r="MWQ17" s="51"/>
      <c r="MWR17" s="51"/>
      <c r="MWS17" s="51"/>
      <c r="MWT17" s="51"/>
      <c r="MWU17" s="51"/>
      <c r="MWV17" s="51"/>
      <c r="MWW17" s="51"/>
      <c r="MWX17" s="51"/>
      <c r="MWY17" s="51"/>
      <c r="MWZ17" s="51"/>
      <c r="MXA17" s="51"/>
      <c r="MXB17" s="51"/>
      <c r="MXC17" s="51"/>
      <c r="MXD17" s="51"/>
      <c r="MXE17" s="51"/>
      <c r="MXF17" s="51"/>
      <c r="MXG17" s="51"/>
      <c r="MXH17" s="51"/>
      <c r="MXI17" s="51"/>
      <c r="MXJ17" s="51"/>
      <c r="MXK17" s="51"/>
      <c r="MXL17" s="51"/>
      <c r="MXM17" s="51"/>
      <c r="MXN17" s="51"/>
      <c r="MXO17" s="51"/>
      <c r="MXP17" s="51"/>
      <c r="MXQ17" s="51"/>
      <c r="MXR17" s="51"/>
      <c r="MXS17" s="51"/>
      <c r="MXT17" s="51"/>
      <c r="MXU17" s="51"/>
      <c r="MXV17" s="51"/>
      <c r="MXW17" s="51"/>
      <c r="MXX17" s="51"/>
      <c r="MXY17" s="51"/>
      <c r="MXZ17" s="51"/>
      <c r="MYA17" s="51"/>
      <c r="MYB17" s="51"/>
      <c r="MYC17" s="51"/>
      <c r="MYD17" s="51"/>
      <c r="MYE17" s="51"/>
      <c r="MYF17" s="51"/>
      <c r="MYG17" s="51"/>
      <c r="MYH17" s="51"/>
      <c r="MYI17" s="51"/>
      <c r="MYJ17" s="51"/>
      <c r="MYK17" s="51"/>
      <c r="MYL17" s="51"/>
      <c r="MYM17" s="51"/>
      <c r="MYN17" s="51"/>
      <c r="MYO17" s="51"/>
      <c r="MYP17" s="51"/>
      <c r="MYQ17" s="51"/>
      <c r="MYR17" s="51"/>
      <c r="MYS17" s="51"/>
      <c r="MYT17" s="51"/>
      <c r="MYU17" s="51"/>
      <c r="MYV17" s="51"/>
      <c r="MYW17" s="51"/>
      <c r="MYX17" s="51"/>
      <c r="MYY17" s="51"/>
      <c r="MYZ17" s="51"/>
      <c r="MZA17" s="51"/>
      <c r="MZB17" s="51"/>
      <c r="MZC17" s="51"/>
      <c r="MZD17" s="51"/>
      <c r="MZE17" s="51"/>
      <c r="MZF17" s="51"/>
      <c r="MZG17" s="51"/>
      <c r="MZH17" s="51"/>
      <c r="MZI17" s="51"/>
      <c r="MZJ17" s="51"/>
      <c r="MZK17" s="51"/>
      <c r="MZL17" s="51"/>
      <c r="MZM17" s="51"/>
      <c r="MZN17" s="51"/>
      <c r="MZO17" s="51"/>
      <c r="MZP17" s="51"/>
      <c r="MZQ17" s="51"/>
      <c r="MZR17" s="51"/>
      <c r="MZS17" s="51"/>
      <c r="MZT17" s="51"/>
      <c r="MZU17" s="51"/>
      <c r="MZV17" s="51"/>
      <c r="MZW17" s="51"/>
      <c r="MZX17" s="51"/>
      <c r="MZY17" s="51"/>
      <c r="MZZ17" s="51"/>
      <c r="NAA17" s="51"/>
      <c r="NAB17" s="51"/>
      <c r="NAC17" s="51"/>
      <c r="NAD17" s="51"/>
      <c r="NAE17" s="51"/>
      <c r="NAF17" s="51"/>
      <c r="NAG17" s="51"/>
      <c r="NAH17" s="51"/>
      <c r="NAI17" s="51"/>
      <c r="NAJ17" s="51"/>
      <c r="NAK17" s="51"/>
      <c r="NAL17" s="51"/>
      <c r="NAM17" s="51"/>
      <c r="NAN17" s="51"/>
      <c r="NAO17" s="51"/>
      <c r="NAP17" s="51"/>
      <c r="NAQ17" s="51"/>
      <c r="NAR17" s="51"/>
      <c r="NAS17" s="51"/>
      <c r="NAT17" s="51"/>
      <c r="NAU17" s="51"/>
      <c r="NAV17" s="51"/>
      <c r="NAW17" s="51"/>
      <c r="NAX17" s="51"/>
      <c r="NAY17" s="51"/>
      <c r="NAZ17" s="51"/>
      <c r="NBA17" s="51"/>
      <c r="NBB17" s="51"/>
      <c r="NBC17" s="51"/>
      <c r="NBD17" s="51"/>
      <c r="NBE17" s="51"/>
      <c r="NBF17" s="51"/>
      <c r="NBG17" s="51"/>
      <c r="NBH17" s="51"/>
      <c r="NBI17" s="51"/>
      <c r="NBJ17" s="51"/>
      <c r="NBK17" s="51"/>
      <c r="NBL17" s="51"/>
      <c r="NBM17" s="51"/>
      <c r="NBN17" s="51"/>
      <c r="NBO17" s="51"/>
      <c r="NBP17" s="51"/>
      <c r="NBQ17" s="51"/>
      <c r="NBR17" s="51"/>
      <c r="NBS17" s="51"/>
      <c r="NBT17" s="51"/>
      <c r="NBU17" s="51"/>
      <c r="NBV17" s="51"/>
      <c r="NBW17" s="51"/>
      <c r="NBX17" s="51"/>
      <c r="NBY17" s="51"/>
      <c r="NBZ17" s="51"/>
      <c r="NCA17" s="51"/>
      <c r="NCB17" s="51"/>
      <c r="NCC17" s="51"/>
      <c r="NCD17" s="51"/>
      <c r="NCE17" s="51"/>
      <c r="NCF17" s="51"/>
      <c r="NCG17" s="51"/>
      <c r="NCH17" s="51"/>
      <c r="NCI17" s="51"/>
      <c r="NCJ17" s="51"/>
      <c r="NCK17" s="51"/>
      <c r="NCL17" s="51"/>
      <c r="NCM17" s="51"/>
      <c r="NCN17" s="51"/>
      <c r="NCO17" s="51"/>
      <c r="NCP17" s="51"/>
      <c r="NCQ17" s="51"/>
      <c r="NCR17" s="51"/>
      <c r="NCS17" s="51"/>
      <c r="NCT17" s="51"/>
      <c r="NCU17" s="51"/>
      <c r="NCV17" s="51"/>
      <c r="NCW17" s="51"/>
      <c r="NCX17" s="51"/>
      <c r="NCY17" s="51"/>
      <c r="NCZ17" s="51"/>
      <c r="NDA17" s="51"/>
      <c r="NDB17" s="51"/>
      <c r="NDC17" s="51"/>
      <c r="NDD17" s="51"/>
      <c r="NDE17" s="51"/>
      <c r="NDF17" s="51"/>
      <c r="NDG17" s="51"/>
      <c r="NDH17" s="51"/>
      <c r="NDI17" s="51"/>
      <c r="NDJ17" s="51"/>
      <c r="NDK17" s="51"/>
      <c r="NDL17" s="51"/>
      <c r="NDM17" s="51"/>
      <c r="NDN17" s="51"/>
      <c r="NDO17" s="51"/>
      <c r="NDP17" s="51"/>
      <c r="NDQ17" s="51"/>
      <c r="NDR17" s="51"/>
      <c r="NDS17" s="51"/>
      <c r="NDT17" s="51"/>
      <c r="NDU17" s="51"/>
      <c r="NDV17" s="51"/>
      <c r="NDW17" s="51"/>
      <c r="NDX17" s="51"/>
      <c r="NDY17" s="51"/>
      <c r="NDZ17" s="51"/>
      <c r="NEA17" s="51"/>
      <c r="NEB17" s="51"/>
      <c r="NEC17" s="51"/>
      <c r="NED17" s="51"/>
      <c r="NEE17" s="51"/>
      <c r="NEF17" s="51"/>
      <c r="NEG17" s="51"/>
      <c r="NEH17" s="51"/>
      <c r="NEI17" s="51"/>
      <c r="NEJ17" s="51"/>
      <c r="NEK17" s="51"/>
      <c r="NEL17" s="51"/>
      <c r="NEM17" s="51"/>
      <c r="NEN17" s="51"/>
      <c r="NEO17" s="51"/>
      <c r="NEP17" s="51"/>
      <c r="NEQ17" s="51"/>
      <c r="NER17" s="51"/>
      <c r="NES17" s="51"/>
      <c r="NET17" s="51"/>
      <c r="NEU17" s="51"/>
      <c r="NEV17" s="51"/>
      <c r="NEW17" s="51"/>
      <c r="NEX17" s="51"/>
      <c r="NEY17" s="51"/>
      <c r="NEZ17" s="51"/>
      <c r="NFA17" s="51"/>
      <c r="NFB17" s="51"/>
      <c r="NFC17" s="51"/>
      <c r="NFD17" s="51"/>
      <c r="NFE17" s="51"/>
      <c r="NFF17" s="51"/>
      <c r="NFG17" s="51"/>
      <c r="NFH17" s="51"/>
      <c r="NFI17" s="51"/>
      <c r="NFJ17" s="51"/>
      <c r="NFK17" s="51"/>
      <c r="NFL17" s="51"/>
      <c r="NFM17" s="51"/>
      <c r="NFN17" s="51"/>
      <c r="NFO17" s="51"/>
      <c r="NFP17" s="51"/>
      <c r="NFQ17" s="51"/>
      <c r="NFR17" s="51"/>
      <c r="NFS17" s="51"/>
      <c r="NFT17" s="51"/>
      <c r="NFU17" s="51"/>
      <c r="NFV17" s="51"/>
      <c r="NFW17" s="51"/>
      <c r="NFX17" s="51"/>
      <c r="NFY17" s="51"/>
      <c r="NFZ17" s="51"/>
      <c r="NGA17" s="51"/>
      <c r="NGB17" s="51"/>
      <c r="NGC17" s="51"/>
      <c r="NGD17" s="51"/>
      <c r="NGE17" s="51"/>
      <c r="NGF17" s="51"/>
      <c r="NGG17" s="51"/>
      <c r="NGH17" s="51"/>
      <c r="NGI17" s="51"/>
      <c r="NGJ17" s="51"/>
      <c r="NGK17" s="51"/>
      <c r="NGL17" s="51"/>
      <c r="NGM17" s="51"/>
      <c r="NGN17" s="51"/>
      <c r="NGO17" s="51"/>
      <c r="NGP17" s="51"/>
      <c r="NGQ17" s="51"/>
      <c r="NGR17" s="51"/>
      <c r="NGS17" s="51"/>
      <c r="NGT17" s="51"/>
      <c r="NGU17" s="51"/>
      <c r="NGV17" s="51"/>
      <c r="NGW17" s="51"/>
      <c r="NGX17" s="51"/>
      <c r="NGY17" s="51"/>
      <c r="NGZ17" s="51"/>
      <c r="NHA17" s="51"/>
      <c r="NHB17" s="51"/>
      <c r="NHC17" s="51"/>
      <c r="NHD17" s="51"/>
      <c r="NHE17" s="51"/>
      <c r="NHF17" s="51"/>
      <c r="NHG17" s="51"/>
      <c r="NHH17" s="51"/>
      <c r="NHI17" s="51"/>
      <c r="NHJ17" s="51"/>
      <c r="NHK17" s="51"/>
      <c r="NHL17" s="51"/>
      <c r="NHM17" s="51"/>
      <c r="NHN17" s="51"/>
      <c r="NHO17" s="51"/>
      <c r="NHP17" s="51"/>
      <c r="NHQ17" s="51"/>
      <c r="NHR17" s="51"/>
      <c r="NHS17" s="51"/>
      <c r="NHT17" s="51"/>
      <c r="NHU17" s="51"/>
      <c r="NHV17" s="51"/>
      <c r="NHW17" s="51"/>
      <c r="NHX17" s="51"/>
      <c r="NHY17" s="51"/>
      <c r="NHZ17" s="51"/>
      <c r="NIA17" s="51"/>
      <c r="NIB17" s="51"/>
      <c r="NIC17" s="51"/>
      <c r="NID17" s="51"/>
      <c r="NIE17" s="51"/>
      <c r="NIF17" s="51"/>
      <c r="NIG17" s="51"/>
      <c r="NIH17" s="51"/>
      <c r="NII17" s="51"/>
      <c r="NIJ17" s="51"/>
      <c r="NIK17" s="51"/>
      <c r="NIL17" s="51"/>
      <c r="NIM17" s="51"/>
      <c r="NIN17" s="51"/>
      <c r="NIO17" s="51"/>
      <c r="NIP17" s="51"/>
      <c r="NIQ17" s="51"/>
      <c r="NIR17" s="51"/>
      <c r="NIS17" s="51"/>
      <c r="NIT17" s="51"/>
      <c r="NIU17" s="51"/>
      <c r="NIV17" s="51"/>
      <c r="NIW17" s="51"/>
      <c r="NIX17" s="51"/>
      <c r="NIY17" s="51"/>
      <c r="NIZ17" s="51"/>
      <c r="NJA17" s="51"/>
      <c r="NJB17" s="51"/>
      <c r="NJC17" s="51"/>
      <c r="NJD17" s="51"/>
      <c r="NJE17" s="51"/>
      <c r="NJF17" s="51"/>
      <c r="NJG17" s="51"/>
      <c r="NJH17" s="51"/>
      <c r="NJI17" s="51"/>
      <c r="NJJ17" s="51"/>
      <c r="NJK17" s="51"/>
      <c r="NJL17" s="51"/>
      <c r="NJM17" s="51"/>
      <c r="NJN17" s="51"/>
      <c r="NJO17" s="51"/>
      <c r="NJP17" s="51"/>
      <c r="NJQ17" s="51"/>
      <c r="NJR17" s="51"/>
      <c r="NJS17" s="51"/>
      <c r="NJT17" s="51"/>
      <c r="NJU17" s="51"/>
      <c r="NJV17" s="51"/>
      <c r="NJW17" s="51"/>
      <c r="NJX17" s="51"/>
      <c r="NJY17" s="51"/>
      <c r="NJZ17" s="51"/>
      <c r="NKA17" s="51"/>
      <c r="NKB17" s="51"/>
      <c r="NKC17" s="51"/>
      <c r="NKD17" s="51"/>
      <c r="NKE17" s="51"/>
      <c r="NKF17" s="51"/>
      <c r="NKG17" s="51"/>
      <c r="NKH17" s="51"/>
      <c r="NKI17" s="51"/>
      <c r="NKJ17" s="51"/>
      <c r="NKK17" s="51"/>
      <c r="NKL17" s="51"/>
      <c r="NKM17" s="51"/>
      <c r="NKN17" s="51"/>
      <c r="NKO17" s="51"/>
      <c r="NKP17" s="51"/>
      <c r="NKQ17" s="51"/>
      <c r="NKR17" s="51"/>
      <c r="NKS17" s="51"/>
      <c r="NKT17" s="51"/>
      <c r="NKU17" s="51"/>
      <c r="NKV17" s="51"/>
      <c r="NKW17" s="51"/>
      <c r="NKX17" s="51"/>
      <c r="NKY17" s="51"/>
      <c r="NKZ17" s="51"/>
      <c r="NLA17" s="51"/>
      <c r="NLB17" s="51"/>
      <c r="NLC17" s="51"/>
      <c r="NLD17" s="51"/>
      <c r="NLE17" s="51"/>
      <c r="NLF17" s="51"/>
      <c r="NLG17" s="51"/>
      <c r="NLH17" s="51"/>
      <c r="NLI17" s="51"/>
      <c r="NLJ17" s="51"/>
      <c r="NLK17" s="51"/>
      <c r="NLL17" s="51"/>
      <c r="NLM17" s="51"/>
      <c r="NLN17" s="51"/>
      <c r="NLO17" s="51"/>
      <c r="NLP17" s="51"/>
      <c r="NLQ17" s="51"/>
      <c r="NLR17" s="51"/>
      <c r="NLS17" s="51"/>
      <c r="NLT17" s="51"/>
      <c r="NLU17" s="51"/>
      <c r="NLV17" s="51"/>
      <c r="NLW17" s="51"/>
      <c r="NLX17" s="51"/>
      <c r="NLY17" s="51"/>
      <c r="NLZ17" s="51"/>
      <c r="NMA17" s="51"/>
      <c r="NMB17" s="51"/>
      <c r="NMC17" s="51"/>
      <c r="NMD17" s="51"/>
      <c r="NME17" s="51"/>
      <c r="NMF17" s="51"/>
      <c r="NMG17" s="51"/>
      <c r="NMH17" s="51"/>
      <c r="NMI17" s="51"/>
      <c r="NMJ17" s="51"/>
      <c r="NMK17" s="51"/>
      <c r="NML17" s="51"/>
      <c r="NMM17" s="51"/>
      <c r="NMN17" s="51"/>
      <c r="NMO17" s="51"/>
      <c r="NMP17" s="51"/>
      <c r="NMQ17" s="51"/>
      <c r="NMR17" s="51"/>
      <c r="NMS17" s="51"/>
      <c r="NMT17" s="51"/>
      <c r="NMU17" s="51"/>
      <c r="NMV17" s="51"/>
      <c r="NMW17" s="51"/>
      <c r="NMX17" s="51"/>
      <c r="NMY17" s="51"/>
      <c r="NMZ17" s="51"/>
      <c r="NNA17" s="51"/>
      <c r="NNB17" s="51"/>
      <c r="NNC17" s="51"/>
      <c r="NND17" s="51"/>
      <c r="NNE17" s="51"/>
      <c r="NNF17" s="51"/>
      <c r="NNG17" s="51"/>
      <c r="NNH17" s="51"/>
      <c r="NNI17" s="51"/>
      <c r="NNJ17" s="51"/>
      <c r="NNK17" s="51"/>
      <c r="NNL17" s="51"/>
      <c r="NNM17" s="51"/>
      <c r="NNN17" s="51"/>
      <c r="NNO17" s="51"/>
      <c r="NNP17" s="51"/>
      <c r="NNQ17" s="51"/>
      <c r="NNR17" s="51"/>
      <c r="NNS17" s="51"/>
      <c r="NNT17" s="51"/>
      <c r="NNU17" s="51"/>
      <c r="NNV17" s="51"/>
      <c r="NNW17" s="51"/>
      <c r="NNX17" s="51"/>
      <c r="NNY17" s="51"/>
      <c r="NNZ17" s="51"/>
      <c r="NOA17" s="51"/>
      <c r="NOB17" s="51"/>
      <c r="NOC17" s="51"/>
      <c r="NOD17" s="51"/>
      <c r="NOE17" s="51"/>
      <c r="NOF17" s="51"/>
      <c r="NOG17" s="51"/>
      <c r="NOH17" s="51"/>
      <c r="NOI17" s="51"/>
      <c r="NOJ17" s="51"/>
      <c r="NOK17" s="51"/>
      <c r="NOL17" s="51"/>
      <c r="NOM17" s="51"/>
      <c r="NON17" s="51"/>
      <c r="NOO17" s="51"/>
      <c r="NOP17" s="51"/>
      <c r="NOQ17" s="51"/>
      <c r="NOR17" s="51"/>
      <c r="NOS17" s="51"/>
      <c r="NOT17" s="51"/>
      <c r="NOU17" s="51"/>
      <c r="NOV17" s="51"/>
      <c r="NOW17" s="51"/>
      <c r="NOX17" s="51"/>
      <c r="NOY17" s="51"/>
      <c r="NOZ17" s="51"/>
      <c r="NPA17" s="51"/>
      <c r="NPB17" s="51"/>
      <c r="NPC17" s="51"/>
      <c r="NPD17" s="51"/>
      <c r="NPE17" s="51"/>
      <c r="NPF17" s="51"/>
      <c r="NPG17" s="51"/>
      <c r="NPH17" s="51"/>
      <c r="NPI17" s="51"/>
      <c r="NPJ17" s="51"/>
      <c r="NPK17" s="51"/>
      <c r="NPL17" s="51"/>
      <c r="NPM17" s="51"/>
      <c r="NPN17" s="51"/>
      <c r="NPO17" s="51"/>
      <c r="NPP17" s="51"/>
      <c r="NPQ17" s="51"/>
      <c r="NPR17" s="51"/>
      <c r="NPS17" s="51"/>
      <c r="NPT17" s="51"/>
      <c r="NPU17" s="51"/>
      <c r="NPV17" s="51"/>
      <c r="NPW17" s="51"/>
      <c r="NPX17" s="51"/>
      <c r="NPY17" s="51"/>
      <c r="NPZ17" s="51"/>
      <c r="NQA17" s="51"/>
      <c r="NQB17" s="51"/>
      <c r="NQC17" s="51"/>
      <c r="NQD17" s="51"/>
      <c r="NQE17" s="51"/>
      <c r="NQF17" s="51"/>
      <c r="NQG17" s="51"/>
      <c r="NQH17" s="51"/>
      <c r="NQI17" s="51"/>
      <c r="NQJ17" s="51"/>
      <c r="NQK17" s="51"/>
      <c r="NQL17" s="51"/>
      <c r="NQM17" s="51"/>
      <c r="NQN17" s="51"/>
      <c r="NQO17" s="51"/>
      <c r="NQP17" s="51"/>
      <c r="NQQ17" s="51"/>
      <c r="NQR17" s="51"/>
      <c r="NQS17" s="51"/>
      <c r="NQT17" s="51"/>
      <c r="NQU17" s="51"/>
      <c r="NQV17" s="51"/>
      <c r="NQW17" s="51"/>
      <c r="NQX17" s="51"/>
      <c r="NQY17" s="51"/>
      <c r="NQZ17" s="51"/>
      <c r="NRA17" s="51"/>
      <c r="NRB17" s="51"/>
      <c r="NRC17" s="51"/>
      <c r="NRD17" s="51"/>
      <c r="NRE17" s="51"/>
      <c r="NRF17" s="51"/>
      <c r="NRG17" s="51"/>
      <c r="NRH17" s="51"/>
      <c r="NRI17" s="51"/>
      <c r="NRJ17" s="51"/>
      <c r="NRK17" s="51"/>
      <c r="NRL17" s="51"/>
      <c r="NRM17" s="51"/>
      <c r="NRN17" s="51"/>
      <c r="NRO17" s="51"/>
      <c r="NRP17" s="51"/>
      <c r="NRQ17" s="51"/>
      <c r="NRR17" s="51"/>
      <c r="NRS17" s="51"/>
      <c r="NRT17" s="51"/>
      <c r="NRU17" s="51"/>
      <c r="NRV17" s="51"/>
      <c r="NRW17" s="51"/>
      <c r="NRX17" s="51"/>
      <c r="NRY17" s="51"/>
      <c r="NRZ17" s="51"/>
      <c r="NSA17" s="51"/>
      <c r="NSB17" s="51"/>
      <c r="NSC17" s="51"/>
      <c r="NSD17" s="51"/>
      <c r="NSE17" s="51"/>
      <c r="NSF17" s="51"/>
      <c r="NSG17" s="51"/>
      <c r="NSH17" s="51"/>
      <c r="NSI17" s="51"/>
      <c r="NSJ17" s="51"/>
      <c r="NSK17" s="51"/>
      <c r="NSL17" s="51"/>
      <c r="NSM17" s="51"/>
      <c r="NSN17" s="51"/>
      <c r="NSO17" s="51"/>
      <c r="NSP17" s="51"/>
      <c r="NSQ17" s="51"/>
      <c r="NSR17" s="51"/>
      <c r="NSS17" s="51"/>
      <c r="NST17" s="51"/>
      <c r="NSU17" s="51"/>
      <c r="NSV17" s="51"/>
      <c r="NSW17" s="51"/>
      <c r="NSX17" s="51"/>
      <c r="NSY17" s="51"/>
      <c r="NSZ17" s="51"/>
      <c r="NTA17" s="51"/>
      <c r="NTB17" s="51"/>
      <c r="NTC17" s="51"/>
      <c r="NTD17" s="51"/>
      <c r="NTE17" s="51"/>
      <c r="NTF17" s="51"/>
      <c r="NTG17" s="51"/>
      <c r="NTH17" s="51"/>
      <c r="NTI17" s="51"/>
      <c r="NTJ17" s="51"/>
      <c r="NTK17" s="51"/>
      <c r="NTL17" s="51"/>
      <c r="NTM17" s="51"/>
      <c r="NTN17" s="51"/>
      <c r="NTO17" s="51"/>
      <c r="NTP17" s="51"/>
      <c r="NTQ17" s="51"/>
      <c r="NTR17" s="51"/>
      <c r="NTS17" s="51"/>
      <c r="NTT17" s="51"/>
      <c r="NTU17" s="51"/>
      <c r="NTV17" s="51"/>
      <c r="NTW17" s="51"/>
      <c r="NTX17" s="51"/>
      <c r="NTY17" s="51"/>
      <c r="NTZ17" s="51"/>
      <c r="NUA17" s="51"/>
      <c r="NUB17" s="51"/>
      <c r="NUC17" s="51"/>
      <c r="NUD17" s="51"/>
      <c r="NUE17" s="51"/>
      <c r="NUF17" s="51"/>
      <c r="NUG17" s="51"/>
      <c r="NUH17" s="51"/>
      <c r="NUI17" s="51"/>
      <c r="NUJ17" s="51"/>
      <c r="NUK17" s="51"/>
      <c r="NUL17" s="51"/>
      <c r="NUM17" s="51"/>
      <c r="NUN17" s="51"/>
      <c r="NUO17" s="51"/>
      <c r="NUP17" s="51"/>
      <c r="NUQ17" s="51"/>
      <c r="NUR17" s="51"/>
      <c r="NUS17" s="51"/>
      <c r="NUT17" s="51"/>
      <c r="NUU17" s="51"/>
      <c r="NUV17" s="51"/>
      <c r="NUW17" s="51"/>
      <c r="NUX17" s="51"/>
      <c r="NUY17" s="51"/>
      <c r="NUZ17" s="51"/>
      <c r="NVA17" s="51"/>
      <c r="NVB17" s="51"/>
      <c r="NVC17" s="51"/>
      <c r="NVD17" s="51"/>
      <c r="NVE17" s="51"/>
      <c r="NVF17" s="51"/>
      <c r="NVG17" s="51"/>
      <c r="NVH17" s="51"/>
      <c r="NVI17" s="51"/>
      <c r="NVJ17" s="51"/>
      <c r="NVK17" s="51"/>
      <c r="NVL17" s="51"/>
      <c r="NVM17" s="51"/>
      <c r="NVN17" s="51"/>
      <c r="NVO17" s="51"/>
      <c r="NVP17" s="51"/>
      <c r="NVQ17" s="51"/>
      <c r="NVR17" s="51"/>
      <c r="NVS17" s="51"/>
      <c r="NVT17" s="51"/>
      <c r="NVU17" s="51"/>
      <c r="NVV17" s="51"/>
      <c r="NVW17" s="51"/>
      <c r="NVX17" s="51"/>
      <c r="NVY17" s="51"/>
      <c r="NVZ17" s="51"/>
      <c r="NWA17" s="51"/>
      <c r="NWB17" s="51"/>
      <c r="NWC17" s="51"/>
      <c r="NWD17" s="51"/>
      <c r="NWE17" s="51"/>
      <c r="NWF17" s="51"/>
      <c r="NWG17" s="51"/>
      <c r="NWH17" s="51"/>
      <c r="NWI17" s="51"/>
      <c r="NWJ17" s="51"/>
      <c r="NWK17" s="51"/>
      <c r="NWL17" s="51"/>
      <c r="NWM17" s="51"/>
      <c r="NWN17" s="51"/>
      <c r="NWO17" s="51"/>
      <c r="NWP17" s="51"/>
      <c r="NWQ17" s="51"/>
      <c r="NWR17" s="51"/>
      <c r="NWS17" s="51"/>
      <c r="NWT17" s="51"/>
      <c r="NWU17" s="51"/>
      <c r="NWV17" s="51"/>
      <c r="NWW17" s="51"/>
      <c r="NWX17" s="51"/>
      <c r="NWY17" s="51"/>
      <c r="NWZ17" s="51"/>
      <c r="NXA17" s="51"/>
      <c r="NXB17" s="51"/>
      <c r="NXC17" s="51"/>
      <c r="NXD17" s="51"/>
      <c r="NXE17" s="51"/>
      <c r="NXF17" s="51"/>
      <c r="NXG17" s="51"/>
      <c r="NXH17" s="51"/>
      <c r="NXI17" s="51"/>
      <c r="NXJ17" s="51"/>
      <c r="NXK17" s="51"/>
      <c r="NXL17" s="51"/>
      <c r="NXM17" s="51"/>
      <c r="NXN17" s="51"/>
      <c r="NXO17" s="51"/>
      <c r="NXP17" s="51"/>
      <c r="NXQ17" s="51"/>
      <c r="NXR17" s="51"/>
      <c r="NXS17" s="51"/>
      <c r="NXT17" s="51"/>
      <c r="NXU17" s="51"/>
      <c r="NXV17" s="51"/>
      <c r="NXW17" s="51"/>
      <c r="NXX17" s="51"/>
      <c r="NXY17" s="51"/>
      <c r="NXZ17" s="51"/>
      <c r="NYA17" s="51"/>
      <c r="NYB17" s="51"/>
      <c r="NYC17" s="51"/>
      <c r="NYD17" s="51"/>
      <c r="NYE17" s="51"/>
      <c r="NYF17" s="51"/>
      <c r="NYG17" s="51"/>
      <c r="NYH17" s="51"/>
      <c r="NYI17" s="51"/>
      <c r="NYJ17" s="51"/>
      <c r="NYK17" s="51"/>
      <c r="NYL17" s="51"/>
      <c r="NYM17" s="51"/>
      <c r="NYN17" s="51"/>
      <c r="NYO17" s="51"/>
      <c r="NYP17" s="51"/>
      <c r="NYQ17" s="51"/>
      <c r="NYR17" s="51"/>
      <c r="NYS17" s="51"/>
      <c r="NYT17" s="51"/>
      <c r="NYU17" s="51"/>
      <c r="NYV17" s="51"/>
      <c r="NYW17" s="51"/>
      <c r="NYX17" s="51"/>
      <c r="NYY17" s="51"/>
      <c r="NYZ17" s="51"/>
      <c r="NZA17" s="51"/>
      <c r="NZB17" s="51"/>
      <c r="NZC17" s="51"/>
      <c r="NZD17" s="51"/>
      <c r="NZE17" s="51"/>
      <c r="NZF17" s="51"/>
      <c r="NZG17" s="51"/>
      <c r="NZH17" s="51"/>
      <c r="NZI17" s="51"/>
      <c r="NZJ17" s="51"/>
      <c r="NZK17" s="51"/>
      <c r="NZL17" s="51"/>
      <c r="NZM17" s="51"/>
      <c r="NZN17" s="51"/>
      <c r="NZO17" s="51"/>
      <c r="NZP17" s="51"/>
      <c r="NZQ17" s="51"/>
      <c r="NZR17" s="51"/>
      <c r="NZS17" s="51"/>
      <c r="NZT17" s="51"/>
      <c r="NZU17" s="51"/>
      <c r="NZV17" s="51"/>
      <c r="NZW17" s="51"/>
      <c r="NZX17" s="51"/>
      <c r="NZY17" s="51"/>
      <c r="NZZ17" s="51"/>
      <c r="OAA17" s="51"/>
      <c r="OAB17" s="51"/>
      <c r="OAC17" s="51"/>
      <c r="OAD17" s="51"/>
      <c r="OAE17" s="51"/>
      <c r="OAF17" s="51"/>
      <c r="OAG17" s="51"/>
      <c r="OAH17" s="51"/>
      <c r="OAI17" s="51"/>
      <c r="OAJ17" s="51"/>
      <c r="OAK17" s="51"/>
      <c r="OAL17" s="51"/>
      <c r="OAM17" s="51"/>
      <c r="OAN17" s="51"/>
      <c r="OAO17" s="51"/>
      <c r="OAP17" s="51"/>
      <c r="OAQ17" s="51"/>
      <c r="OAR17" s="51"/>
      <c r="OAS17" s="51"/>
      <c r="OAT17" s="51"/>
      <c r="OAU17" s="51"/>
      <c r="OAV17" s="51"/>
      <c r="OAW17" s="51"/>
      <c r="OAX17" s="51"/>
      <c r="OAY17" s="51"/>
      <c r="OAZ17" s="51"/>
      <c r="OBA17" s="51"/>
      <c r="OBB17" s="51"/>
      <c r="OBC17" s="51"/>
      <c r="OBD17" s="51"/>
      <c r="OBE17" s="51"/>
      <c r="OBF17" s="51"/>
      <c r="OBG17" s="51"/>
      <c r="OBH17" s="51"/>
      <c r="OBI17" s="51"/>
      <c r="OBJ17" s="51"/>
      <c r="OBK17" s="51"/>
      <c r="OBL17" s="51"/>
      <c r="OBM17" s="51"/>
      <c r="OBN17" s="51"/>
      <c r="OBO17" s="51"/>
      <c r="OBP17" s="51"/>
      <c r="OBQ17" s="51"/>
      <c r="OBR17" s="51"/>
      <c r="OBS17" s="51"/>
      <c r="OBT17" s="51"/>
      <c r="OBU17" s="51"/>
      <c r="OBV17" s="51"/>
      <c r="OBW17" s="51"/>
      <c r="OBX17" s="51"/>
      <c r="OBY17" s="51"/>
      <c r="OBZ17" s="51"/>
      <c r="OCA17" s="51"/>
      <c r="OCB17" s="51"/>
      <c r="OCC17" s="51"/>
      <c r="OCD17" s="51"/>
      <c r="OCE17" s="51"/>
      <c r="OCF17" s="51"/>
      <c r="OCG17" s="51"/>
      <c r="OCH17" s="51"/>
      <c r="OCI17" s="51"/>
      <c r="OCJ17" s="51"/>
      <c r="OCK17" s="51"/>
      <c r="OCL17" s="51"/>
      <c r="OCM17" s="51"/>
      <c r="OCN17" s="51"/>
      <c r="OCO17" s="51"/>
      <c r="OCP17" s="51"/>
      <c r="OCQ17" s="51"/>
      <c r="OCR17" s="51"/>
      <c r="OCS17" s="51"/>
      <c r="OCT17" s="51"/>
      <c r="OCU17" s="51"/>
      <c r="OCV17" s="51"/>
      <c r="OCW17" s="51"/>
      <c r="OCX17" s="51"/>
      <c r="OCY17" s="51"/>
      <c r="OCZ17" s="51"/>
      <c r="ODA17" s="51"/>
      <c r="ODB17" s="51"/>
      <c r="ODC17" s="51"/>
      <c r="ODD17" s="51"/>
      <c r="ODE17" s="51"/>
      <c r="ODF17" s="51"/>
      <c r="ODG17" s="51"/>
      <c r="ODH17" s="51"/>
      <c r="ODI17" s="51"/>
      <c r="ODJ17" s="51"/>
      <c r="ODK17" s="51"/>
      <c r="ODL17" s="51"/>
      <c r="ODM17" s="51"/>
      <c r="ODN17" s="51"/>
      <c r="ODO17" s="51"/>
      <c r="ODP17" s="51"/>
      <c r="ODQ17" s="51"/>
      <c r="ODR17" s="51"/>
      <c r="ODS17" s="51"/>
      <c r="ODT17" s="51"/>
      <c r="ODU17" s="51"/>
      <c r="ODV17" s="51"/>
      <c r="ODW17" s="51"/>
      <c r="ODX17" s="51"/>
      <c r="ODY17" s="51"/>
      <c r="ODZ17" s="51"/>
      <c r="OEA17" s="51"/>
      <c r="OEB17" s="51"/>
      <c r="OEC17" s="51"/>
      <c r="OED17" s="51"/>
      <c r="OEE17" s="51"/>
      <c r="OEF17" s="51"/>
      <c r="OEG17" s="51"/>
      <c r="OEH17" s="51"/>
      <c r="OEI17" s="51"/>
      <c r="OEJ17" s="51"/>
      <c r="OEK17" s="51"/>
      <c r="OEL17" s="51"/>
      <c r="OEM17" s="51"/>
      <c r="OEN17" s="51"/>
      <c r="OEO17" s="51"/>
      <c r="OEP17" s="51"/>
      <c r="OEQ17" s="51"/>
      <c r="OER17" s="51"/>
      <c r="OES17" s="51"/>
      <c r="OET17" s="51"/>
      <c r="OEU17" s="51"/>
      <c r="OEV17" s="51"/>
      <c r="OEW17" s="51"/>
      <c r="OEX17" s="51"/>
      <c r="OEY17" s="51"/>
      <c r="OEZ17" s="51"/>
      <c r="OFA17" s="51"/>
      <c r="OFB17" s="51"/>
      <c r="OFC17" s="51"/>
      <c r="OFD17" s="51"/>
      <c r="OFE17" s="51"/>
      <c r="OFF17" s="51"/>
      <c r="OFG17" s="51"/>
      <c r="OFH17" s="51"/>
      <c r="OFI17" s="51"/>
      <c r="OFJ17" s="51"/>
      <c r="OFK17" s="51"/>
      <c r="OFL17" s="51"/>
      <c r="OFM17" s="51"/>
      <c r="OFN17" s="51"/>
      <c r="OFO17" s="51"/>
      <c r="OFP17" s="51"/>
      <c r="OFQ17" s="51"/>
      <c r="OFR17" s="51"/>
      <c r="OFS17" s="51"/>
      <c r="OFT17" s="51"/>
      <c r="OFU17" s="51"/>
      <c r="OFV17" s="51"/>
      <c r="OFW17" s="51"/>
      <c r="OFX17" s="51"/>
      <c r="OFY17" s="51"/>
      <c r="OFZ17" s="51"/>
      <c r="OGA17" s="51"/>
      <c r="OGB17" s="51"/>
      <c r="OGC17" s="51"/>
      <c r="OGD17" s="51"/>
      <c r="OGE17" s="51"/>
      <c r="OGF17" s="51"/>
      <c r="OGG17" s="51"/>
      <c r="OGH17" s="51"/>
      <c r="OGI17" s="51"/>
      <c r="OGJ17" s="51"/>
      <c r="OGK17" s="51"/>
      <c r="OGL17" s="51"/>
      <c r="OGM17" s="51"/>
      <c r="OGN17" s="51"/>
      <c r="OGO17" s="51"/>
      <c r="OGP17" s="51"/>
      <c r="OGQ17" s="51"/>
      <c r="OGR17" s="51"/>
      <c r="OGS17" s="51"/>
      <c r="OGT17" s="51"/>
      <c r="OGU17" s="51"/>
      <c r="OGV17" s="51"/>
      <c r="OGW17" s="51"/>
      <c r="OGX17" s="51"/>
      <c r="OGY17" s="51"/>
      <c r="OGZ17" s="51"/>
      <c r="OHA17" s="51"/>
      <c r="OHB17" s="51"/>
      <c r="OHC17" s="51"/>
      <c r="OHD17" s="51"/>
      <c r="OHE17" s="51"/>
      <c r="OHF17" s="51"/>
      <c r="OHG17" s="51"/>
      <c r="OHH17" s="51"/>
      <c r="OHI17" s="51"/>
      <c r="OHJ17" s="51"/>
      <c r="OHK17" s="51"/>
      <c r="OHL17" s="51"/>
      <c r="OHM17" s="51"/>
      <c r="OHN17" s="51"/>
      <c r="OHO17" s="51"/>
      <c r="OHP17" s="51"/>
      <c r="OHQ17" s="51"/>
      <c r="OHR17" s="51"/>
      <c r="OHS17" s="51"/>
      <c r="OHT17" s="51"/>
      <c r="OHU17" s="51"/>
      <c r="OHV17" s="51"/>
      <c r="OHW17" s="51"/>
      <c r="OHX17" s="51"/>
      <c r="OHY17" s="51"/>
      <c r="OHZ17" s="51"/>
      <c r="OIA17" s="51"/>
      <c r="OIB17" s="51"/>
      <c r="OIC17" s="51"/>
      <c r="OID17" s="51"/>
      <c r="OIE17" s="51"/>
      <c r="OIF17" s="51"/>
      <c r="OIG17" s="51"/>
      <c r="OIH17" s="51"/>
      <c r="OII17" s="51"/>
      <c r="OIJ17" s="51"/>
      <c r="OIK17" s="51"/>
      <c r="OIL17" s="51"/>
      <c r="OIM17" s="51"/>
      <c r="OIN17" s="51"/>
      <c r="OIO17" s="51"/>
      <c r="OIP17" s="51"/>
      <c r="OIQ17" s="51"/>
      <c r="OIR17" s="51"/>
      <c r="OIS17" s="51"/>
      <c r="OIT17" s="51"/>
      <c r="OIU17" s="51"/>
      <c r="OIV17" s="51"/>
      <c r="OIW17" s="51"/>
      <c r="OIX17" s="51"/>
      <c r="OIY17" s="51"/>
      <c r="OIZ17" s="51"/>
      <c r="OJA17" s="51"/>
      <c r="OJB17" s="51"/>
      <c r="OJC17" s="51"/>
      <c r="OJD17" s="51"/>
      <c r="OJE17" s="51"/>
      <c r="OJF17" s="51"/>
      <c r="OJG17" s="51"/>
      <c r="OJH17" s="51"/>
      <c r="OJI17" s="51"/>
      <c r="OJJ17" s="51"/>
      <c r="OJK17" s="51"/>
      <c r="OJL17" s="51"/>
      <c r="OJM17" s="51"/>
      <c r="OJN17" s="51"/>
      <c r="OJO17" s="51"/>
      <c r="OJP17" s="51"/>
      <c r="OJQ17" s="51"/>
      <c r="OJR17" s="51"/>
      <c r="OJS17" s="51"/>
      <c r="OJT17" s="51"/>
      <c r="OJU17" s="51"/>
      <c r="OJV17" s="51"/>
      <c r="OJW17" s="51"/>
      <c r="OJX17" s="51"/>
      <c r="OJY17" s="51"/>
      <c r="OJZ17" s="51"/>
      <c r="OKA17" s="51"/>
      <c r="OKB17" s="51"/>
      <c r="OKC17" s="51"/>
      <c r="OKD17" s="51"/>
      <c r="OKE17" s="51"/>
      <c r="OKF17" s="51"/>
      <c r="OKG17" s="51"/>
      <c r="OKH17" s="51"/>
      <c r="OKI17" s="51"/>
      <c r="OKJ17" s="51"/>
      <c r="OKK17" s="51"/>
      <c r="OKL17" s="51"/>
      <c r="OKM17" s="51"/>
      <c r="OKN17" s="51"/>
      <c r="OKO17" s="51"/>
      <c r="OKP17" s="51"/>
      <c r="OKQ17" s="51"/>
      <c r="OKR17" s="51"/>
      <c r="OKS17" s="51"/>
      <c r="OKT17" s="51"/>
      <c r="OKU17" s="51"/>
      <c r="OKV17" s="51"/>
      <c r="OKW17" s="51"/>
      <c r="OKX17" s="51"/>
      <c r="OKY17" s="51"/>
      <c r="OKZ17" s="51"/>
      <c r="OLA17" s="51"/>
      <c r="OLB17" s="51"/>
      <c r="OLC17" s="51"/>
      <c r="OLD17" s="51"/>
      <c r="OLE17" s="51"/>
      <c r="OLF17" s="51"/>
      <c r="OLG17" s="51"/>
      <c r="OLH17" s="51"/>
      <c r="OLI17" s="51"/>
      <c r="OLJ17" s="51"/>
      <c r="OLK17" s="51"/>
      <c r="OLL17" s="51"/>
      <c r="OLM17" s="51"/>
      <c r="OLN17" s="51"/>
      <c r="OLO17" s="51"/>
      <c r="OLP17" s="51"/>
      <c r="OLQ17" s="51"/>
      <c r="OLR17" s="51"/>
      <c r="OLS17" s="51"/>
      <c r="OLT17" s="51"/>
      <c r="OLU17" s="51"/>
      <c r="OLV17" s="51"/>
      <c r="OLW17" s="51"/>
      <c r="OLX17" s="51"/>
      <c r="OLY17" s="51"/>
      <c r="OLZ17" s="51"/>
      <c r="OMA17" s="51"/>
      <c r="OMB17" s="51"/>
      <c r="OMC17" s="51"/>
      <c r="OMD17" s="51"/>
      <c r="OME17" s="51"/>
      <c r="OMF17" s="51"/>
      <c r="OMG17" s="51"/>
      <c r="OMH17" s="51"/>
      <c r="OMI17" s="51"/>
      <c r="OMJ17" s="51"/>
      <c r="OMK17" s="51"/>
      <c r="OML17" s="51"/>
      <c r="OMM17" s="51"/>
      <c r="OMN17" s="51"/>
      <c r="OMO17" s="51"/>
      <c r="OMP17" s="51"/>
      <c r="OMQ17" s="51"/>
      <c r="OMR17" s="51"/>
      <c r="OMS17" s="51"/>
      <c r="OMT17" s="51"/>
      <c r="OMU17" s="51"/>
      <c r="OMV17" s="51"/>
      <c r="OMW17" s="51"/>
      <c r="OMX17" s="51"/>
      <c r="OMY17" s="51"/>
      <c r="OMZ17" s="51"/>
      <c r="ONA17" s="51"/>
      <c r="ONB17" s="51"/>
      <c r="ONC17" s="51"/>
      <c r="OND17" s="51"/>
      <c r="ONE17" s="51"/>
      <c r="ONF17" s="51"/>
      <c r="ONG17" s="51"/>
      <c r="ONH17" s="51"/>
      <c r="ONI17" s="51"/>
      <c r="ONJ17" s="51"/>
      <c r="ONK17" s="51"/>
      <c r="ONL17" s="51"/>
      <c r="ONM17" s="51"/>
      <c r="ONN17" s="51"/>
      <c r="ONO17" s="51"/>
      <c r="ONP17" s="51"/>
      <c r="ONQ17" s="51"/>
      <c r="ONR17" s="51"/>
      <c r="ONS17" s="51"/>
      <c r="ONT17" s="51"/>
      <c r="ONU17" s="51"/>
      <c r="ONV17" s="51"/>
      <c r="ONW17" s="51"/>
      <c r="ONX17" s="51"/>
      <c r="ONY17" s="51"/>
      <c r="ONZ17" s="51"/>
      <c r="OOA17" s="51"/>
      <c r="OOB17" s="51"/>
      <c r="OOC17" s="51"/>
      <c r="OOD17" s="51"/>
      <c r="OOE17" s="51"/>
      <c r="OOF17" s="51"/>
      <c r="OOG17" s="51"/>
      <c r="OOH17" s="51"/>
      <c r="OOI17" s="51"/>
      <c r="OOJ17" s="51"/>
      <c r="OOK17" s="51"/>
      <c r="OOL17" s="51"/>
      <c r="OOM17" s="51"/>
      <c r="OON17" s="51"/>
      <c r="OOO17" s="51"/>
      <c r="OOP17" s="51"/>
      <c r="OOQ17" s="51"/>
      <c r="OOR17" s="51"/>
      <c r="OOS17" s="51"/>
      <c r="OOT17" s="51"/>
      <c r="OOU17" s="51"/>
      <c r="OOV17" s="51"/>
      <c r="OOW17" s="51"/>
      <c r="OOX17" s="51"/>
      <c r="OOY17" s="51"/>
      <c r="OOZ17" s="51"/>
      <c r="OPA17" s="51"/>
      <c r="OPB17" s="51"/>
      <c r="OPC17" s="51"/>
      <c r="OPD17" s="51"/>
      <c r="OPE17" s="51"/>
      <c r="OPF17" s="51"/>
      <c r="OPG17" s="51"/>
      <c r="OPH17" s="51"/>
      <c r="OPI17" s="51"/>
      <c r="OPJ17" s="51"/>
      <c r="OPK17" s="51"/>
      <c r="OPL17" s="51"/>
      <c r="OPM17" s="51"/>
      <c r="OPN17" s="51"/>
      <c r="OPO17" s="51"/>
      <c r="OPP17" s="51"/>
      <c r="OPQ17" s="51"/>
      <c r="OPR17" s="51"/>
      <c r="OPS17" s="51"/>
      <c r="OPT17" s="51"/>
      <c r="OPU17" s="51"/>
      <c r="OPV17" s="51"/>
      <c r="OPW17" s="51"/>
      <c r="OPX17" s="51"/>
      <c r="OPY17" s="51"/>
      <c r="OPZ17" s="51"/>
      <c r="OQA17" s="51"/>
      <c r="OQB17" s="51"/>
      <c r="OQC17" s="51"/>
      <c r="OQD17" s="51"/>
      <c r="OQE17" s="51"/>
      <c r="OQF17" s="51"/>
      <c r="OQG17" s="51"/>
      <c r="OQH17" s="51"/>
      <c r="OQI17" s="51"/>
      <c r="OQJ17" s="51"/>
      <c r="OQK17" s="51"/>
      <c r="OQL17" s="51"/>
      <c r="OQM17" s="51"/>
      <c r="OQN17" s="51"/>
      <c r="OQO17" s="51"/>
      <c r="OQP17" s="51"/>
      <c r="OQQ17" s="51"/>
      <c r="OQR17" s="51"/>
      <c r="OQS17" s="51"/>
      <c r="OQT17" s="51"/>
      <c r="OQU17" s="51"/>
      <c r="OQV17" s="51"/>
      <c r="OQW17" s="51"/>
      <c r="OQX17" s="51"/>
      <c r="OQY17" s="51"/>
      <c r="OQZ17" s="51"/>
      <c r="ORA17" s="51"/>
      <c r="ORB17" s="51"/>
      <c r="ORC17" s="51"/>
      <c r="ORD17" s="51"/>
      <c r="ORE17" s="51"/>
      <c r="ORF17" s="51"/>
      <c r="ORG17" s="51"/>
      <c r="ORH17" s="51"/>
      <c r="ORI17" s="51"/>
      <c r="ORJ17" s="51"/>
      <c r="ORK17" s="51"/>
      <c r="ORL17" s="51"/>
      <c r="ORM17" s="51"/>
      <c r="ORN17" s="51"/>
      <c r="ORO17" s="51"/>
      <c r="ORP17" s="51"/>
      <c r="ORQ17" s="51"/>
      <c r="ORR17" s="51"/>
      <c r="ORS17" s="51"/>
      <c r="ORT17" s="51"/>
      <c r="ORU17" s="51"/>
      <c r="ORV17" s="51"/>
      <c r="ORW17" s="51"/>
      <c r="ORX17" s="51"/>
      <c r="ORY17" s="51"/>
      <c r="ORZ17" s="51"/>
      <c r="OSA17" s="51"/>
      <c r="OSB17" s="51"/>
      <c r="OSC17" s="51"/>
      <c r="OSD17" s="51"/>
      <c r="OSE17" s="51"/>
      <c r="OSF17" s="51"/>
      <c r="OSG17" s="51"/>
      <c r="OSH17" s="51"/>
      <c r="OSI17" s="51"/>
      <c r="OSJ17" s="51"/>
      <c r="OSK17" s="51"/>
      <c r="OSL17" s="51"/>
      <c r="OSM17" s="51"/>
      <c r="OSN17" s="51"/>
      <c r="OSO17" s="51"/>
      <c r="OSP17" s="51"/>
      <c r="OSQ17" s="51"/>
      <c r="OSR17" s="51"/>
      <c r="OSS17" s="51"/>
      <c r="OST17" s="51"/>
      <c r="OSU17" s="51"/>
      <c r="OSV17" s="51"/>
      <c r="OSW17" s="51"/>
      <c r="OSX17" s="51"/>
      <c r="OSY17" s="51"/>
      <c r="OSZ17" s="51"/>
      <c r="OTA17" s="51"/>
      <c r="OTB17" s="51"/>
      <c r="OTC17" s="51"/>
      <c r="OTD17" s="51"/>
      <c r="OTE17" s="51"/>
      <c r="OTF17" s="51"/>
      <c r="OTG17" s="51"/>
      <c r="OTH17" s="51"/>
      <c r="OTI17" s="51"/>
      <c r="OTJ17" s="51"/>
      <c r="OTK17" s="51"/>
      <c r="OTL17" s="51"/>
      <c r="OTM17" s="51"/>
      <c r="OTN17" s="51"/>
      <c r="OTO17" s="51"/>
      <c r="OTP17" s="51"/>
      <c r="OTQ17" s="51"/>
      <c r="OTR17" s="51"/>
      <c r="OTS17" s="51"/>
      <c r="OTT17" s="51"/>
      <c r="OTU17" s="51"/>
      <c r="OTV17" s="51"/>
      <c r="OTW17" s="51"/>
      <c r="OTX17" s="51"/>
      <c r="OTY17" s="51"/>
      <c r="OTZ17" s="51"/>
      <c r="OUA17" s="51"/>
      <c r="OUB17" s="51"/>
      <c r="OUC17" s="51"/>
      <c r="OUD17" s="51"/>
      <c r="OUE17" s="51"/>
      <c r="OUF17" s="51"/>
      <c r="OUG17" s="51"/>
      <c r="OUH17" s="51"/>
      <c r="OUI17" s="51"/>
      <c r="OUJ17" s="51"/>
      <c r="OUK17" s="51"/>
      <c r="OUL17" s="51"/>
      <c r="OUM17" s="51"/>
      <c r="OUN17" s="51"/>
      <c r="OUO17" s="51"/>
      <c r="OUP17" s="51"/>
      <c r="OUQ17" s="51"/>
      <c r="OUR17" s="51"/>
      <c r="OUS17" s="51"/>
      <c r="OUT17" s="51"/>
      <c r="OUU17" s="51"/>
      <c r="OUV17" s="51"/>
      <c r="OUW17" s="51"/>
      <c r="OUX17" s="51"/>
      <c r="OUY17" s="51"/>
      <c r="OUZ17" s="51"/>
      <c r="OVA17" s="51"/>
      <c r="OVB17" s="51"/>
      <c r="OVC17" s="51"/>
      <c r="OVD17" s="51"/>
      <c r="OVE17" s="51"/>
      <c r="OVF17" s="51"/>
      <c r="OVG17" s="51"/>
      <c r="OVH17" s="51"/>
      <c r="OVI17" s="51"/>
      <c r="OVJ17" s="51"/>
      <c r="OVK17" s="51"/>
      <c r="OVL17" s="51"/>
      <c r="OVM17" s="51"/>
      <c r="OVN17" s="51"/>
      <c r="OVO17" s="51"/>
      <c r="OVP17" s="51"/>
      <c r="OVQ17" s="51"/>
      <c r="OVR17" s="51"/>
      <c r="OVS17" s="51"/>
      <c r="OVT17" s="51"/>
      <c r="OVU17" s="51"/>
      <c r="OVV17" s="51"/>
      <c r="OVW17" s="51"/>
      <c r="OVX17" s="51"/>
      <c r="OVY17" s="51"/>
      <c r="OVZ17" s="51"/>
      <c r="OWA17" s="51"/>
      <c r="OWB17" s="51"/>
      <c r="OWC17" s="51"/>
      <c r="OWD17" s="51"/>
      <c r="OWE17" s="51"/>
      <c r="OWF17" s="51"/>
      <c r="OWG17" s="51"/>
      <c r="OWH17" s="51"/>
      <c r="OWI17" s="51"/>
      <c r="OWJ17" s="51"/>
      <c r="OWK17" s="51"/>
      <c r="OWL17" s="51"/>
      <c r="OWM17" s="51"/>
      <c r="OWN17" s="51"/>
      <c r="OWO17" s="51"/>
      <c r="OWP17" s="51"/>
      <c r="OWQ17" s="51"/>
      <c r="OWR17" s="51"/>
      <c r="OWS17" s="51"/>
      <c r="OWT17" s="51"/>
      <c r="OWU17" s="51"/>
      <c r="OWV17" s="51"/>
      <c r="OWW17" s="51"/>
      <c r="OWX17" s="51"/>
      <c r="OWY17" s="51"/>
      <c r="OWZ17" s="51"/>
      <c r="OXA17" s="51"/>
      <c r="OXB17" s="51"/>
      <c r="OXC17" s="51"/>
      <c r="OXD17" s="51"/>
      <c r="OXE17" s="51"/>
      <c r="OXF17" s="51"/>
      <c r="OXG17" s="51"/>
      <c r="OXH17" s="51"/>
      <c r="OXI17" s="51"/>
      <c r="OXJ17" s="51"/>
      <c r="OXK17" s="51"/>
      <c r="OXL17" s="51"/>
      <c r="OXM17" s="51"/>
      <c r="OXN17" s="51"/>
      <c r="OXO17" s="51"/>
      <c r="OXP17" s="51"/>
      <c r="OXQ17" s="51"/>
      <c r="OXR17" s="51"/>
      <c r="OXS17" s="51"/>
      <c r="OXT17" s="51"/>
      <c r="OXU17" s="51"/>
      <c r="OXV17" s="51"/>
      <c r="OXW17" s="51"/>
      <c r="OXX17" s="51"/>
      <c r="OXY17" s="51"/>
      <c r="OXZ17" s="51"/>
      <c r="OYA17" s="51"/>
      <c r="OYB17" s="51"/>
      <c r="OYC17" s="51"/>
      <c r="OYD17" s="51"/>
      <c r="OYE17" s="51"/>
      <c r="OYF17" s="51"/>
      <c r="OYG17" s="51"/>
      <c r="OYH17" s="51"/>
      <c r="OYI17" s="51"/>
      <c r="OYJ17" s="51"/>
      <c r="OYK17" s="51"/>
      <c r="OYL17" s="51"/>
      <c r="OYM17" s="51"/>
      <c r="OYN17" s="51"/>
      <c r="OYO17" s="51"/>
      <c r="OYP17" s="51"/>
      <c r="OYQ17" s="51"/>
      <c r="OYR17" s="51"/>
      <c r="OYS17" s="51"/>
      <c r="OYT17" s="51"/>
      <c r="OYU17" s="51"/>
      <c r="OYV17" s="51"/>
      <c r="OYW17" s="51"/>
      <c r="OYX17" s="51"/>
      <c r="OYY17" s="51"/>
      <c r="OYZ17" s="51"/>
      <c r="OZA17" s="51"/>
      <c r="OZB17" s="51"/>
      <c r="OZC17" s="51"/>
      <c r="OZD17" s="51"/>
      <c r="OZE17" s="51"/>
      <c r="OZF17" s="51"/>
      <c r="OZG17" s="51"/>
      <c r="OZH17" s="51"/>
      <c r="OZI17" s="51"/>
      <c r="OZJ17" s="51"/>
      <c r="OZK17" s="51"/>
      <c r="OZL17" s="51"/>
      <c r="OZM17" s="51"/>
      <c r="OZN17" s="51"/>
      <c r="OZO17" s="51"/>
      <c r="OZP17" s="51"/>
      <c r="OZQ17" s="51"/>
      <c r="OZR17" s="51"/>
      <c r="OZS17" s="51"/>
      <c r="OZT17" s="51"/>
      <c r="OZU17" s="51"/>
      <c r="OZV17" s="51"/>
      <c r="OZW17" s="51"/>
      <c r="OZX17" s="51"/>
      <c r="OZY17" s="51"/>
      <c r="OZZ17" s="51"/>
      <c r="PAA17" s="51"/>
      <c r="PAB17" s="51"/>
      <c r="PAC17" s="51"/>
      <c r="PAD17" s="51"/>
      <c r="PAE17" s="51"/>
      <c r="PAF17" s="51"/>
      <c r="PAG17" s="51"/>
      <c r="PAH17" s="51"/>
      <c r="PAI17" s="51"/>
      <c r="PAJ17" s="51"/>
      <c r="PAK17" s="51"/>
      <c r="PAL17" s="51"/>
      <c r="PAM17" s="51"/>
      <c r="PAN17" s="51"/>
      <c r="PAO17" s="51"/>
      <c r="PAP17" s="51"/>
      <c r="PAQ17" s="51"/>
      <c r="PAR17" s="51"/>
      <c r="PAS17" s="51"/>
      <c r="PAT17" s="51"/>
      <c r="PAU17" s="51"/>
      <c r="PAV17" s="51"/>
      <c r="PAW17" s="51"/>
      <c r="PAX17" s="51"/>
      <c r="PAY17" s="51"/>
      <c r="PAZ17" s="51"/>
      <c r="PBA17" s="51"/>
      <c r="PBB17" s="51"/>
      <c r="PBC17" s="51"/>
      <c r="PBD17" s="51"/>
      <c r="PBE17" s="51"/>
      <c r="PBF17" s="51"/>
      <c r="PBG17" s="51"/>
      <c r="PBH17" s="51"/>
      <c r="PBI17" s="51"/>
      <c r="PBJ17" s="51"/>
      <c r="PBK17" s="51"/>
      <c r="PBL17" s="51"/>
      <c r="PBM17" s="51"/>
      <c r="PBN17" s="51"/>
      <c r="PBO17" s="51"/>
      <c r="PBP17" s="51"/>
      <c r="PBQ17" s="51"/>
      <c r="PBR17" s="51"/>
      <c r="PBS17" s="51"/>
      <c r="PBT17" s="51"/>
      <c r="PBU17" s="51"/>
      <c r="PBV17" s="51"/>
      <c r="PBW17" s="51"/>
      <c r="PBX17" s="51"/>
      <c r="PBY17" s="51"/>
      <c r="PBZ17" s="51"/>
      <c r="PCA17" s="51"/>
      <c r="PCB17" s="51"/>
      <c r="PCC17" s="51"/>
      <c r="PCD17" s="51"/>
      <c r="PCE17" s="51"/>
      <c r="PCF17" s="51"/>
      <c r="PCG17" s="51"/>
      <c r="PCH17" s="51"/>
      <c r="PCI17" s="51"/>
      <c r="PCJ17" s="51"/>
      <c r="PCK17" s="51"/>
      <c r="PCL17" s="51"/>
      <c r="PCM17" s="51"/>
      <c r="PCN17" s="51"/>
      <c r="PCO17" s="51"/>
      <c r="PCP17" s="51"/>
      <c r="PCQ17" s="51"/>
      <c r="PCR17" s="51"/>
      <c r="PCS17" s="51"/>
      <c r="PCT17" s="51"/>
      <c r="PCU17" s="51"/>
      <c r="PCV17" s="51"/>
      <c r="PCW17" s="51"/>
      <c r="PCX17" s="51"/>
      <c r="PCY17" s="51"/>
      <c r="PCZ17" s="51"/>
      <c r="PDA17" s="51"/>
      <c r="PDB17" s="51"/>
      <c r="PDC17" s="51"/>
      <c r="PDD17" s="51"/>
      <c r="PDE17" s="51"/>
      <c r="PDF17" s="51"/>
      <c r="PDG17" s="51"/>
      <c r="PDH17" s="51"/>
      <c r="PDI17" s="51"/>
      <c r="PDJ17" s="51"/>
      <c r="PDK17" s="51"/>
      <c r="PDL17" s="51"/>
      <c r="PDM17" s="51"/>
      <c r="PDN17" s="51"/>
      <c r="PDO17" s="51"/>
      <c r="PDP17" s="51"/>
      <c r="PDQ17" s="51"/>
      <c r="PDR17" s="51"/>
      <c r="PDS17" s="51"/>
      <c r="PDT17" s="51"/>
      <c r="PDU17" s="51"/>
      <c r="PDV17" s="51"/>
      <c r="PDW17" s="51"/>
      <c r="PDX17" s="51"/>
      <c r="PDY17" s="51"/>
      <c r="PDZ17" s="51"/>
      <c r="PEA17" s="51"/>
      <c r="PEB17" s="51"/>
      <c r="PEC17" s="51"/>
      <c r="PED17" s="51"/>
      <c r="PEE17" s="51"/>
      <c r="PEF17" s="51"/>
      <c r="PEG17" s="51"/>
      <c r="PEH17" s="51"/>
      <c r="PEI17" s="51"/>
      <c r="PEJ17" s="51"/>
      <c r="PEK17" s="51"/>
      <c r="PEL17" s="51"/>
      <c r="PEM17" s="51"/>
      <c r="PEN17" s="51"/>
      <c r="PEO17" s="51"/>
      <c r="PEP17" s="51"/>
      <c r="PEQ17" s="51"/>
      <c r="PER17" s="51"/>
      <c r="PES17" s="51"/>
      <c r="PET17" s="51"/>
      <c r="PEU17" s="51"/>
      <c r="PEV17" s="51"/>
      <c r="PEW17" s="51"/>
      <c r="PEX17" s="51"/>
      <c r="PEY17" s="51"/>
      <c r="PEZ17" s="51"/>
      <c r="PFA17" s="51"/>
      <c r="PFB17" s="51"/>
      <c r="PFC17" s="51"/>
      <c r="PFD17" s="51"/>
      <c r="PFE17" s="51"/>
      <c r="PFF17" s="51"/>
      <c r="PFG17" s="51"/>
      <c r="PFH17" s="51"/>
      <c r="PFI17" s="51"/>
      <c r="PFJ17" s="51"/>
      <c r="PFK17" s="51"/>
      <c r="PFL17" s="51"/>
      <c r="PFM17" s="51"/>
      <c r="PFN17" s="51"/>
      <c r="PFO17" s="51"/>
      <c r="PFP17" s="51"/>
      <c r="PFQ17" s="51"/>
      <c r="PFR17" s="51"/>
      <c r="PFS17" s="51"/>
      <c r="PFT17" s="51"/>
      <c r="PFU17" s="51"/>
      <c r="PFV17" s="51"/>
      <c r="PFW17" s="51"/>
      <c r="PFX17" s="51"/>
      <c r="PFY17" s="51"/>
      <c r="PFZ17" s="51"/>
      <c r="PGA17" s="51"/>
      <c r="PGB17" s="51"/>
      <c r="PGC17" s="51"/>
      <c r="PGD17" s="51"/>
      <c r="PGE17" s="51"/>
      <c r="PGF17" s="51"/>
      <c r="PGG17" s="51"/>
      <c r="PGH17" s="51"/>
      <c r="PGI17" s="51"/>
      <c r="PGJ17" s="51"/>
      <c r="PGK17" s="51"/>
      <c r="PGL17" s="51"/>
      <c r="PGM17" s="51"/>
      <c r="PGN17" s="51"/>
      <c r="PGO17" s="51"/>
      <c r="PGP17" s="51"/>
      <c r="PGQ17" s="51"/>
      <c r="PGR17" s="51"/>
      <c r="PGS17" s="51"/>
      <c r="PGT17" s="51"/>
      <c r="PGU17" s="51"/>
      <c r="PGV17" s="51"/>
      <c r="PGW17" s="51"/>
      <c r="PGX17" s="51"/>
      <c r="PGY17" s="51"/>
      <c r="PGZ17" s="51"/>
      <c r="PHA17" s="51"/>
      <c r="PHB17" s="51"/>
      <c r="PHC17" s="51"/>
      <c r="PHD17" s="51"/>
      <c r="PHE17" s="51"/>
      <c r="PHF17" s="51"/>
      <c r="PHG17" s="51"/>
      <c r="PHH17" s="51"/>
      <c r="PHI17" s="51"/>
      <c r="PHJ17" s="51"/>
      <c r="PHK17" s="51"/>
      <c r="PHL17" s="51"/>
      <c r="PHM17" s="51"/>
      <c r="PHN17" s="51"/>
      <c r="PHO17" s="51"/>
      <c r="PHP17" s="51"/>
      <c r="PHQ17" s="51"/>
      <c r="PHR17" s="51"/>
      <c r="PHS17" s="51"/>
      <c r="PHT17" s="51"/>
      <c r="PHU17" s="51"/>
      <c r="PHV17" s="51"/>
      <c r="PHW17" s="51"/>
      <c r="PHX17" s="51"/>
      <c r="PHY17" s="51"/>
      <c r="PHZ17" s="51"/>
      <c r="PIA17" s="51"/>
      <c r="PIB17" s="51"/>
      <c r="PIC17" s="51"/>
      <c r="PID17" s="51"/>
      <c r="PIE17" s="51"/>
      <c r="PIF17" s="51"/>
      <c r="PIG17" s="51"/>
      <c r="PIH17" s="51"/>
      <c r="PII17" s="51"/>
      <c r="PIJ17" s="51"/>
      <c r="PIK17" s="51"/>
      <c r="PIL17" s="51"/>
      <c r="PIM17" s="51"/>
      <c r="PIN17" s="51"/>
      <c r="PIO17" s="51"/>
      <c r="PIP17" s="51"/>
      <c r="PIQ17" s="51"/>
      <c r="PIR17" s="51"/>
      <c r="PIS17" s="51"/>
      <c r="PIT17" s="51"/>
      <c r="PIU17" s="51"/>
      <c r="PIV17" s="51"/>
      <c r="PIW17" s="51"/>
      <c r="PIX17" s="51"/>
      <c r="PIY17" s="51"/>
      <c r="PIZ17" s="51"/>
      <c r="PJA17" s="51"/>
      <c r="PJB17" s="51"/>
      <c r="PJC17" s="51"/>
      <c r="PJD17" s="51"/>
      <c r="PJE17" s="51"/>
      <c r="PJF17" s="51"/>
      <c r="PJG17" s="51"/>
      <c r="PJH17" s="51"/>
      <c r="PJI17" s="51"/>
      <c r="PJJ17" s="51"/>
      <c r="PJK17" s="51"/>
      <c r="PJL17" s="51"/>
      <c r="PJM17" s="51"/>
      <c r="PJN17" s="51"/>
      <c r="PJO17" s="51"/>
      <c r="PJP17" s="51"/>
      <c r="PJQ17" s="51"/>
      <c r="PJR17" s="51"/>
      <c r="PJS17" s="51"/>
      <c r="PJT17" s="51"/>
      <c r="PJU17" s="51"/>
      <c r="PJV17" s="51"/>
      <c r="PJW17" s="51"/>
      <c r="PJX17" s="51"/>
      <c r="PJY17" s="51"/>
      <c r="PJZ17" s="51"/>
      <c r="PKA17" s="51"/>
      <c r="PKB17" s="51"/>
      <c r="PKC17" s="51"/>
      <c r="PKD17" s="51"/>
      <c r="PKE17" s="51"/>
      <c r="PKF17" s="51"/>
      <c r="PKG17" s="51"/>
      <c r="PKH17" s="51"/>
      <c r="PKI17" s="51"/>
      <c r="PKJ17" s="51"/>
      <c r="PKK17" s="51"/>
      <c r="PKL17" s="51"/>
      <c r="PKM17" s="51"/>
      <c r="PKN17" s="51"/>
      <c r="PKO17" s="51"/>
      <c r="PKP17" s="51"/>
      <c r="PKQ17" s="51"/>
      <c r="PKR17" s="51"/>
      <c r="PKS17" s="51"/>
      <c r="PKT17" s="51"/>
      <c r="PKU17" s="51"/>
      <c r="PKV17" s="51"/>
      <c r="PKW17" s="51"/>
      <c r="PKX17" s="51"/>
      <c r="PKY17" s="51"/>
      <c r="PKZ17" s="51"/>
      <c r="PLA17" s="51"/>
      <c r="PLB17" s="51"/>
      <c r="PLC17" s="51"/>
      <c r="PLD17" s="51"/>
      <c r="PLE17" s="51"/>
      <c r="PLF17" s="51"/>
      <c r="PLG17" s="51"/>
      <c r="PLH17" s="51"/>
      <c r="PLI17" s="51"/>
      <c r="PLJ17" s="51"/>
      <c r="PLK17" s="51"/>
      <c r="PLL17" s="51"/>
      <c r="PLM17" s="51"/>
      <c r="PLN17" s="51"/>
      <c r="PLO17" s="51"/>
      <c r="PLP17" s="51"/>
      <c r="PLQ17" s="51"/>
      <c r="PLR17" s="51"/>
      <c r="PLS17" s="51"/>
      <c r="PLT17" s="51"/>
      <c r="PLU17" s="51"/>
      <c r="PLV17" s="51"/>
      <c r="PLW17" s="51"/>
      <c r="PLX17" s="51"/>
      <c r="PLY17" s="51"/>
      <c r="PLZ17" s="51"/>
      <c r="PMA17" s="51"/>
      <c r="PMB17" s="51"/>
      <c r="PMC17" s="51"/>
      <c r="PMD17" s="51"/>
      <c r="PME17" s="51"/>
      <c r="PMF17" s="51"/>
      <c r="PMG17" s="51"/>
      <c r="PMH17" s="51"/>
      <c r="PMI17" s="51"/>
      <c r="PMJ17" s="51"/>
      <c r="PMK17" s="51"/>
      <c r="PML17" s="51"/>
      <c r="PMM17" s="51"/>
      <c r="PMN17" s="51"/>
      <c r="PMO17" s="51"/>
      <c r="PMP17" s="51"/>
      <c r="PMQ17" s="51"/>
      <c r="PMR17" s="51"/>
      <c r="PMS17" s="51"/>
      <c r="PMT17" s="51"/>
      <c r="PMU17" s="51"/>
      <c r="PMV17" s="51"/>
      <c r="PMW17" s="51"/>
      <c r="PMX17" s="51"/>
      <c r="PMY17" s="51"/>
      <c r="PMZ17" s="51"/>
      <c r="PNA17" s="51"/>
      <c r="PNB17" s="51"/>
      <c r="PNC17" s="51"/>
      <c r="PND17" s="51"/>
      <c r="PNE17" s="51"/>
      <c r="PNF17" s="51"/>
      <c r="PNG17" s="51"/>
      <c r="PNH17" s="51"/>
      <c r="PNI17" s="51"/>
      <c r="PNJ17" s="51"/>
      <c r="PNK17" s="51"/>
      <c r="PNL17" s="51"/>
      <c r="PNM17" s="51"/>
      <c r="PNN17" s="51"/>
      <c r="PNO17" s="51"/>
      <c r="PNP17" s="51"/>
      <c r="PNQ17" s="51"/>
      <c r="PNR17" s="51"/>
      <c r="PNS17" s="51"/>
      <c r="PNT17" s="51"/>
      <c r="PNU17" s="51"/>
      <c r="PNV17" s="51"/>
      <c r="PNW17" s="51"/>
      <c r="PNX17" s="51"/>
      <c r="PNY17" s="51"/>
      <c r="PNZ17" s="51"/>
      <c r="POA17" s="51"/>
      <c r="POB17" s="51"/>
      <c r="POC17" s="51"/>
      <c r="POD17" s="51"/>
      <c r="POE17" s="51"/>
      <c r="POF17" s="51"/>
      <c r="POG17" s="51"/>
      <c r="POH17" s="51"/>
      <c r="POI17" s="51"/>
      <c r="POJ17" s="51"/>
      <c r="POK17" s="51"/>
      <c r="POL17" s="51"/>
      <c r="POM17" s="51"/>
      <c r="PON17" s="51"/>
      <c r="POO17" s="51"/>
      <c r="POP17" s="51"/>
      <c r="POQ17" s="51"/>
      <c r="POR17" s="51"/>
      <c r="POS17" s="51"/>
      <c r="POT17" s="51"/>
      <c r="POU17" s="51"/>
      <c r="POV17" s="51"/>
      <c r="POW17" s="51"/>
      <c r="POX17" s="51"/>
      <c r="POY17" s="51"/>
      <c r="POZ17" s="51"/>
      <c r="PPA17" s="51"/>
      <c r="PPB17" s="51"/>
      <c r="PPC17" s="51"/>
      <c r="PPD17" s="51"/>
      <c r="PPE17" s="51"/>
      <c r="PPF17" s="51"/>
      <c r="PPG17" s="51"/>
      <c r="PPH17" s="51"/>
      <c r="PPI17" s="51"/>
      <c r="PPJ17" s="51"/>
      <c r="PPK17" s="51"/>
      <c r="PPL17" s="51"/>
      <c r="PPM17" s="51"/>
      <c r="PPN17" s="51"/>
      <c r="PPO17" s="51"/>
      <c r="PPP17" s="51"/>
      <c r="PPQ17" s="51"/>
      <c r="PPR17" s="51"/>
      <c r="PPS17" s="51"/>
      <c r="PPT17" s="51"/>
      <c r="PPU17" s="51"/>
      <c r="PPV17" s="51"/>
      <c r="PPW17" s="51"/>
      <c r="PPX17" s="51"/>
      <c r="PPY17" s="51"/>
      <c r="PPZ17" s="51"/>
      <c r="PQA17" s="51"/>
      <c r="PQB17" s="51"/>
      <c r="PQC17" s="51"/>
      <c r="PQD17" s="51"/>
      <c r="PQE17" s="51"/>
      <c r="PQF17" s="51"/>
      <c r="PQG17" s="51"/>
      <c r="PQH17" s="51"/>
      <c r="PQI17" s="51"/>
      <c r="PQJ17" s="51"/>
      <c r="PQK17" s="51"/>
      <c r="PQL17" s="51"/>
      <c r="PQM17" s="51"/>
      <c r="PQN17" s="51"/>
      <c r="PQO17" s="51"/>
      <c r="PQP17" s="51"/>
      <c r="PQQ17" s="51"/>
      <c r="PQR17" s="51"/>
      <c r="PQS17" s="51"/>
      <c r="PQT17" s="51"/>
      <c r="PQU17" s="51"/>
      <c r="PQV17" s="51"/>
      <c r="PQW17" s="51"/>
      <c r="PQX17" s="51"/>
      <c r="PQY17" s="51"/>
      <c r="PQZ17" s="51"/>
      <c r="PRA17" s="51"/>
      <c r="PRB17" s="51"/>
      <c r="PRC17" s="51"/>
      <c r="PRD17" s="51"/>
      <c r="PRE17" s="51"/>
      <c r="PRF17" s="51"/>
      <c r="PRG17" s="51"/>
      <c r="PRH17" s="51"/>
      <c r="PRI17" s="51"/>
      <c r="PRJ17" s="51"/>
      <c r="PRK17" s="51"/>
      <c r="PRL17" s="51"/>
      <c r="PRM17" s="51"/>
      <c r="PRN17" s="51"/>
      <c r="PRO17" s="51"/>
      <c r="PRP17" s="51"/>
      <c r="PRQ17" s="51"/>
      <c r="PRR17" s="51"/>
      <c r="PRS17" s="51"/>
      <c r="PRT17" s="51"/>
      <c r="PRU17" s="51"/>
      <c r="PRV17" s="51"/>
      <c r="PRW17" s="51"/>
      <c r="PRX17" s="51"/>
      <c r="PRY17" s="51"/>
      <c r="PRZ17" s="51"/>
      <c r="PSA17" s="51"/>
      <c r="PSB17" s="51"/>
      <c r="PSC17" s="51"/>
      <c r="PSD17" s="51"/>
      <c r="PSE17" s="51"/>
      <c r="PSF17" s="51"/>
      <c r="PSG17" s="51"/>
      <c r="PSH17" s="51"/>
      <c r="PSI17" s="51"/>
      <c r="PSJ17" s="51"/>
      <c r="PSK17" s="51"/>
      <c r="PSL17" s="51"/>
      <c r="PSM17" s="51"/>
      <c r="PSN17" s="51"/>
      <c r="PSO17" s="51"/>
      <c r="PSP17" s="51"/>
      <c r="PSQ17" s="51"/>
      <c r="PSR17" s="51"/>
      <c r="PSS17" s="51"/>
      <c r="PST17" s="51"/>
      <c r="PSU17" s="51"/>
      <c r="PSV17" s="51"/>
      <c r="PSW17" s="51"/>
      <c r="PSX17" s="51"/>
      <c r="PSY17" s="51"/>
      <c r="PSZ17" s="51"/>
      <c r="PTA17" s="51"/>
      <c r="PTB17" s="51"/>
      <c r="PTC17" s="51"/>
      <c r="PTD17" s="51"/>
      <c r="PTE17" s="51"/>
      <c r="PTF17" s="51"/>
      <c r="PTG17" s="51"/>
      <c r="PTH17" s="51"/>
      <c r="PTI17" s="51"/>
      <c r="PTJ17" s="51"/>
      <c r="PTK17" s="51"/>
      <c r="PTL17" s="51"/>
      <c r="PTM17" s="51"/>
      <c r="PTN17" s="51"/>
      <c r="PTO17" s="51"/>
      <c r="PTP17" s="51"/>
      <c r="PTQ17" s="51"/>
      <c r="PTR17" s="51"/>
      <c r="PTS17" s="51"/>
      <c r="PTT17" s="51"/>
      <c r="PTU17" s="51"/>
      <c r="PTV17" s="51"/>
      <c r="PTW17" s="51"/>
      <c r="PTX17" s="51"/>
      <c r="PTY17" s="51"/>
      <c r="PTZ17" s="51"/>
      <c r="PUA17" s="51"/>
      <c r="PUB17" s="51"/>
      <c r="PUC17" s="51"/>
      <c r="PUD17" s="51"/>
      <c r="PUE17" s="51"/>
      <c r="PUF17" s="51"/>
      <c r="PUG17" s="51"/>
      <c r="PUH17" s="51"/>
      <c r="PUI17" s="51"/>
      <c r="PUJ17" s="51"/>
      <c r="PUK17" s="51"/>
      <c r="PUL17" s="51"/>
      <c r="PUM17" s="51"/>
      <c r="PUN17" s="51"/>
      <c r="PUO17" s="51"/>
      <c r="PUP17" s="51"/>
      <c r="PUQ17" s="51"/>
      <c r="PUR17" s="51"/>
      <c r="PUS17" s="51"/>
      <c r="PUT17" s="51"/>
      <c r="PUU17" s="51"/>
      <c r="PUV17" s="51"/>
      <c r="PUW17" s="51"/>
      <c r="PUX17" s="51"/>
      <c r="PUY17" s="51"/>
      <c r="PUZ17" s="51"/>
      <c r="PVA17" s="51"/>
      <c r="PVB17" s="51"/>
      <c r="PVC17" s="51"/>
      <c r="PVD17" s="51"/>
      <c r="PVE17" s="51"/>
      <c r="PVF17" s="51"/>
      <c r="PVG17" s="51"/>
      <c r="PVH17" s="51"/>
      <c r="PVI17" s="51"/>
      <c r="PVJ17" s="51"/>
      <c r="PVK17" s="51"/>
      <c r="PVL17" s="51"/>
      <c r="PVM17" s="51"/>
      <c r="PVN17" s="51"/>
      <c r="PVO17" s="51"/>
      <c r="PVP17" s="51"/>
      <c r="PVQ17" s="51"/>
      <c r="PVR17" s="51"/>
      <c r="PVS17" s="51"/>
      <c r="PVT17" s="51"/>
      <c r="PVU17" s="51"/>
      <c r="PVV17" s="51"/>
      <c r="PVW17" s="51"/>
      <c r="PVX17" s="51"/>
      <c r="PVY17" s="51"/>
      <c r="PVZ17" s="51"/>
      <c r="PWA17" s="51"/>
      <c r="PWB17" s="51"/>
      <c r="PWC17" s="51"/>
      <c r="PWD17" s="51"/>
      <c r="PWE17" s="51"/>
      <c r="PWF17" s="51"/>
      <c r="PWG17" s="51"/>
      <c r="PWH17" s="51"/>
      <c r="PWI17" s="51"/>
      <c r="PWJ17" s="51"/>
      <c r="PWK17" s="51"/>
      <c r="PWL17" s="51"/>
      <c r="PWM17" s="51"/>
      <c r="PWN17" s="51"/>
      <c r="PWO17" s="51"/>
      <c r="PWP17" s="51"/>
      <c r="PWQ17" s="51"/>
      <c r="PWR17" s="51"/>
      <c r="PWS17" s="51"/>
      <c r="PWT17" s="51"/>
      <c r="PWU17" s="51"/>
      <c r="PWV17" s="51"/>
      <c r="PWW17" s="51"/>
      <c r="PWX17" s="51"/>
      <c r="PWY17" s="51"/>
      <c r="PWZ17" s="51"/>
      <c r="PXA17" s="51"/>
      <c r="PXB17" s="51"/>
      <c r="PXC17" s="51"/>
      <c r="PXD17" s="51"/>
      <c r="PXE17" s="51"/>
      <c r="PXF17" s="51"/>
      <c r="PXG17" s="51"/>
      <c r="PXH17" s="51"/>
      <c r="PXI17" s="51"/>
      <c r="PXJ17" s="51"/>
      <c r="PXK17" s="51"/>
      <c r="PXL17" s="51"/>
      <c r="PXM17" s="51"/>
      <c r="PXN17" s="51"/>
      <c r="PXO17" s="51"/>
      <c r="PXP17" s="51"/>
      <c r="PXQ17" s="51"/>
      <c r="PXR17" s="51"/>
      <c r="PXS17" s="51"/>
      <c r="PXT17" s="51"/>
      <c r="PXU17" s="51"/>
      <c r="PXV17" s="51"/>
      <c r="PXW17" s="51"/>
      <c r="PXX17" s="51"/>
      <c r="PXY17" s="51"/>
      <c r="PXZ17" s="51"/>
      <c r="PYA17" s="51"/>
      <c r="PYB17" s="51"/>
      <c r="PYC17" s="51"/>
      <c r="PYD17" s="51"/>
      <c r="PYE17" s="51"/>
      <c r="PYF17" s="51"/>
      <c r="PYG17" s="51"/>
      <c r="PYH17" s="51"/>
      <c r="PYI17" s="51"/>
      <c r="PYJ17" s="51"/>
      <c r="PYK17" s="51"/>
      <c r="PYL17" s="51"/>
      <c r="PYM17" s="51"/>
      <c r="PYN17" s="51"/>
      <c r="PYO17" s="51"/>
      <c r="PYP17" s="51"/>
      <c r="PYQ17" s="51"/>
      <c r="PYR17" s="51"/>
      <c r="PYS17" s="51"/>
      <c r="PYT17" s="51"/>
      <c r="PYU17" s="51"/>
      <c r="PYV17" s="51"/>
      <c r="PYW17" s="51"/>
      <c r="PYX17" s="51"/>
      <c r="PYY17" s="51"/>
      <c r="PYZ17" s="51"/>
      <c r="PZA17" s="51"/>
      <c r="PZB17" s="51"/>
      <c r="PZC17" s="51"/>
      <c r="PZD17" s="51"/>
      <c r="PZE17" s="51"/>
      <c r="PZF17" s="51"/>
      <c r="PZG17" s="51"/>
      <c r="PZH17" s="51"/>
      <c r="PZI17" s="51"/>
      <c r="PZJ17" s="51"/>
      <c r="PZK17" s="51"/>
      <c r="PZL17" s="51"/>
      <c r="PZM17" s="51"/>
      <c r="PZN17" s="51"/>
      <c r="PZO17" s="51"/>
      <c r="PZP17" s="51"/>
      <c r="PZQ17" s="51"/>
      <c r="PZR17" s="51"/>
      <c r="PZS17" s="51"/>
      <c r="PZT17" s="51"/>
      <c r="PZU17" s="51"/>
      <c r="PZV17" s="51"/>
      <c r="PZW17" s="51"/>
      <c r="PZX17" s="51"/>
      <c r="PZY17" s="51"/>
      <c r="PZZ17" s="51"/>
      <c r="QAA17" s="51"/>
      <c r="QAB17" s="51"/>
      <c r="QAC17" s="51"/>
      <c r="QAD17" s="51"/>
      <c r="QAE17" s="51"/>
      <c r="QAF17" s="51"/>
      <c r="QAG17" s="51"/>
      <c r="QAH17" s="51"/>
      <c r="QAI17" s="51"/>
      <c r="QAJ17" s="51"/>
      <c r="QAK17" s="51"/>
      <c r="QAL17" s="51"/>
      <c r="QAM17" s="51"/>
      <c r="QAN17" s="51"/>
      <c r="QAO17" s="51"/>
      <c r="QAP17" s="51"/>
      <c r="QAQ17" s="51"/>
      <c r="QAR17" s="51"/>
      <c r="QAS17" s="51"/>
      <c r="QAT17" s="51"/>
      <c r="QAU17" s="51"/>
      <c r="QAV17" s="51"/>
      <c r="QAW17" s="51"/>
      <c r="QAX17" s="51"/>
      <c r="QAY17" s="51"/>
      <c r="QAZ17" s="51"/>
      <c r="QBA17" s="51"/>
      <c r="QBB17" s="51"/>
      <c r="QBC17" s="51"/>
      <c r="QBD17" s="51"/>
      <c r="QBE17" s="51"/>
      <c r="QBF17" s="51"/>
      <c r="QBG17" s="51"/>
      <c r="QBH17" s="51"/>
      <c r="QBI17" s="51"/>
      <c r="QBJ17" s="51"/>
      <c r="QBK17" s="51"/>
      <c r="QBL17" s="51"/>
      <c r="QBM17" s="51"/>
      <c r="QBN17" s="51"/>
      <c r="QBO17" s="51"/>
      <c r="QBP17" s="51"/>
      <c r="QBQ17" s="51"/>
      <c r="QBR17" s="51"/>
      <c r="QBS17" s="51"/>
      <c r="QBT17" s="51"/>
      <c r="QBU17" s="51"/>
      <c r="QBV17" s="51"/>
      <c r="QBW17" s="51"/>
      <c r="QBX17" s="51"/>
      <c r="QBY17" s="51"/>
      <c r="QBZ17" s="51"/>
      <c r="QCA17" s="51"/>
      <c r="QCB17" s="51"/>
      <c r="QCC17" s="51"/>
      <c r="QCD17" s="51"/>
      <c r="QCE17" s="51"/>
      <c r="QCF17" s="51"/>
      <c r="QCG17" s="51"/>
      <c r="QCH17" s="51"/>
      <c r="QCI17" s="51"/>
      <c r="QCJ17" s="51"/>
      <c r="QCK17" s="51"/>
      <c r="QCL17" s="51"/>
      <c r="QCM17" s="51"/>
      <c r="QCN17" s="51"/>
      <c r="QCO17" s="51"/>
      <c r="QCP17" s="51"/>
      <c r="QCQ17" s="51"/>
      <c r="QCR17" s="51"/>
      <c r="QCS17" s="51"/>
      <c r="QCT17" s="51"/>
      <c r="QCU17" s="51"/>
      <c r="QCV17" s="51"/>
      <c r="QCW17" s="51"/>
      <c r="QCX17" s="51"/>
      <c r="QCY17" s="51"/>
      <c r="QCZ17" s="51"/>
      <c r="QDA17" s="51"/>
      <c r="QDB17" s="51"/>
      <c r="QDC17" s="51"/>
      <c r="QDD17" s="51"/>
      <c r="QDE17" s="51"/>
      <c r="QDF17" s="51"/>
      <c r="QDG17" s="51"/>
      <c r="QDH17" s="51"/>
      <c r="QDI17" s="51"/>
      <c r="QDJ17" s="51"/>
      <c r="QDK17" s="51"/>
      <c r="QDL17" s="51"/>
      <c r="QDM17" s="51"/>
      <c r="QDN17" s="51"/>
      <c r="QDO17" s="51"/>
      <c r="QDP17" s="51"/>
      <c r="QDQ17" s="51"/>
      <c r="QDR17" s="51"/>
      <c r="QDS17" s="51"/>
      <c r="QDT17" s="51"/>
      <c r="QDU17" s="51"/>
      <c r="QDV17" s="51"/>
      <c r="QDW17" s="51"/>
      <c r="QDX17" s="51"/>
      <c r="QDY17" s="51"/>
      <c r="QDZ17" s="51"/>
      <c r="QEA17" s="51"/>
      <c r="QEB17" s="51"/>
      <c r="QEC17" s="51"/>
      <c r="QED17" s="51"/>
      <c r="QEE17" s="51"/>
      <c r="QEF17" s="51"/>
      <c r="QEG17" s="51"/>
      <c r="QEH17" s="51"/>
      <c r="QEI17" s="51"/>
      <c r="QEJ17" s="51"/>
      <c r="QEK17" s="51"/>
      <c r="QEL17" s="51"/>
      <c r="QEM17" s="51"/>
      <c r="QEN17" s="51"/>
      <c r="QEO17" s="51"/>
      <c r="QEP17" s="51"/>
      <c r="QEQ17" s="51"/>
      <c r="QER17" s="51"/>
      <c r="QES17" s="51"/>
      <c r="QET17" s="51"/>
      <c r="QEU17" s="51"/>
      <c r="QEV17" s="51"/>
      <c r="QEW17" s="51"/>
      <c r="QEX17" s="51"/>
      <c r="QEY17" s="51"/>
      <c r="QEZ17" s="51"/>
      <c r="QFA17" s="51"/>
      <c r="QFB17" s="51"/>
      <c r="QFC17" s="51"/>
      <c r="QFD17" s="51"/>
      <c r="QFE17" s="51"/>
      <c r="QFF17" s="51"/>
      <c r="QFG17" s="51"/>
      <c r="QFH17" s="51"/>
      <c r="QFI17" s="51"/>
      <c r="QFJ17" s="51"/>
      <c r="QFK17" s="51"/>
      <c r="QFL17" s="51"/>
      <c r="QFM17" s="51"/>
      <c r="QFN17" s="51"/>
      <c r="QFO17" s="51"/>
      <c r="QFP17" s="51"/>
      <c r="QFQ17" s="51"/>
      <c r="QFR17" s="51"/>
      <c r="QFS17" s="51"/>
      <c r="QFT17" s="51"/>
      <c r="QFU17" s="51"/>
      <c r="QFV17" s="51"/>
      <c r="QFW17" s="51"/>
      <c r="QFX17" s="51"/>
      <c r="QFY17" s="51"/>
      <c r="QFZ17" s="51"/>
      <c r="QGA17" s="51"/>
      <c r="QGB17" s="51"/>
      <c r="QGC17" s="51"/>
      <c r="QGD17" s="51"/>
      <c r="QGE17" s="51"/>
      <c r="QGF17" s="51"/>
      <c r="QGG17" s="51"/>
      <c r="QGH17" s="51"/>
      <c r="QGI17" s="51"/>
      <c r="QGJ17" s="51"/>
      <c r="QGK17" s="51"/>
      <c r="QGL17" s="51"/>
      <c r="QGM17" s="51"/>
      <c r="QGN17" s="51"/>
      <c r="QGO17" s="51"/>
      <c r="QGP17" s="51"/>
      <c r="QGQ17" s="51"/>
      <c r="QGR17" s="51"/>
      <c r="QGS17" s="51"/>
      <c r="QGT17" s="51"/>
      <c r="QGU17" s="51"/>
      <c r="QGV17" s="51"/>
      <c r="QGW17" s="51"/>
      <c r="QGX17" s="51"/>
      <c r="QGY17" s="51"/>
      <c r="QGZ17" s="51"/>
      <c r="QHA17" s="51"/>
      <c r="QHB17" s="51"/>
      <c r="QHC17" s="51"/>
      <c r="QHD17" s="51"/>
      <c r="QHE17" s="51"/>
      <c r="QHF17" s="51"/>
      <c r="QHG17" s="51"/>
      <c r="QHH17" s="51"/>
      <c r="QHI17" s="51"/>
      <c r="QHJ17" s="51"/>
      <c r="QHK17" s="51"/>
      <c r="QHL17" s="51"/>
      <c r="QHM17" s="51"/>
      <c r="QHN17" s="51"/>
      <c r="QHO17" s="51"/>
      <c r="QHP17" s="51"/>
      <c r="QHQ17" s="51"/>
      <c r="QHR17" s="51"/>
      <c r="QHS17" s="51"/>
      <c r="QHT17" s="51"/>
      <c r="QHU17" s="51"/>
      <c r="QHV17" s="51"/>
      <c r="QHW17" s="51"/>
      <c r="QHX17" s="51"/>
      <c r="QHY17" s="51"/>
      <c r="QHZ17" s="51"/>
      <c r="QIA17" s="51"/>
      <c r="QIB17" s="51"/>
      <c r="QIC17" s="51"/>
      <c r="QID17" s="51"/>
      <c r="QIE17" s="51"/>
      <c r="QIF17" s="51"/>
      <c r="QIG17" s="51"/>
      <c r="QIH17" s="51"/>
      <c r="QII17" s="51"/>
      <c r="QIJ17" s="51"/>
      <c r="QIK17" s="51"/>
      <c r="QIL17" s="51"/>
      <c r="QIM17" s="51"/>
      <c r="QIN17" s="51"/>
      <c r="QIO17" s="51"/>
      <c r="QIP17" s="51"/>
      <c r="QIQ17" s="51"/>
      <c r="QIR17" s="51"/>
      <c r="QIS17" s="51"/>
      <c r="QIT17" s="51"/>
      <c r="QIU17" s="51"/>
      <c r="QIV17" s="51"/>
      <c r="QIW17" s="51"/>
      <c r="QIX17" s="51"/>
      <c r="QIY17" s="51"/>
      <c r="QIZ17" s="51"/>
      <c r="QJA17" s="51"/>
      <c r="QJB17" s="51"/>
      <c r="QJC17" s="51"/>
      <c r="QJD17" s="51"/>
      <c r="QJE17" s="51"/>
      <c r="QJF17" s="51"/>
      <c r="QJG17" s="51"/>
      <c r="QJH17" s="51"/>
      <c r="QJI17" s="51"/>
      <c r="QJJ17" s="51"/>
      <c r="QJK17" s="51"/>
      <c r="QJL17" s="51"/>
      <c r="QJM17" s="51"/>
      <c r="QJN17" s="51"/>
      <c r="QJO17" s="51"/>
      <c r="QJP17" s="51"/>
      <c r="QJQ17" s="51"/>
      <c r="QJR17" s="51"/>
      <c r="QJS17" s="51"/>
      <c r="QJT17" s="51"/>
      <c r="QJU17" s="51"/>
      <c r="QJV17" s="51"/>
      <c r="QJW17" s="51"/>
      <c r="QJX17" s="51"/>
      <c r="QJY17" s="51"/>
      <c r="QJZ17" s="51"/>
      <c r="QKA17" s="51"/>
      <c r="QKB17" s="51"/>
      <c r="QKC17" s="51"/>
      <c r="QKD17" s="51"/>
      <c r="QKE17" s="51"/>
      <c r="QKF17" s="51"/>
      <c r="QKG17" s="51"/>
      <c r="QKH17" s="51"/>
      <c r="QKI17" s="51"/>
      <c r="QKJ17" s="51"/>
      <c r="QKK17" s="51"/>
      <c r="QKL17" s="51"/>
      <c r="QKM17" s="51"/>
      <c r="QKN17" s="51"/>
      <c r="QKO17" s="51"/>
      <c r="QKP17" s="51"/>
      <c r="QKQ17" s="51"/>
      <c r="QKR17" s="51"/>
      <c r="QKS17" s="51"/>
      <c r="QKT17" s="51"/>
      <c r="QKU17" s="51"/>
      <c r="QKV17" s="51"/>
      <c r="QKW17" s="51"/>
      <c r="QKX17" s="51"/>
      <c r="QKY17" s="51"/>
      <c r="QKZ17" s="51"/>
      <c r="QLA17" s="51"/>
      <c r="QLB17" s="51"/>
      <c r="QLC17" s="51"/>
      <c r="QLD17" s="51"/>
      <c r="QLE17" s="51"/>
      <c r="QLF17" s="51"/>
      <c r="QLG17" s="51"/>
      <c r="QLH17" s="51"/>
      <c r="QLI17" s="51"/>
      <c r="QLJ17" s="51"/>
      <c r="QLK17" s="51"/>
      <c r="QLL17" s="51"/>
      <c r="QLM17" s="51"/>
      <c r="QLN17" s="51"/>
      <c r="QLO17" s="51"/>
      <c r="QLP17" s="51"/>
      <c r="QLQ17" s="51"/>
      <c r="QLR17" s="51"/>
      <c r="QLS17" s="51"/>
      <c r="QLT17" s="51"/>
      <c r="QLU17" s="51"/>
      <c r="QLV17" s="51"/>
      <c r="QLW17" s="51"/>
      <c r="QLX17" s="51"/>
      <c r="QLY17" s="51"/>
      <c r="QLZ17" s="51"/>
      <c r="QMA17" s="51"/>
      <c r="QMB17" s="51"/>
      <c r="QMC17" s="51"/>
      <c r="QMD17" s="51"/>
      <c r="QME17" s="51"/>
      <c r="QMF17" s="51"/>
      <c r="QMG17" s="51"/>
      <c r="QMH17" s="51"/>
      <c r="QMI17" s="51"/>
      <c r="QMJ17" s="51"/>
      <c r="QMK17" s="51"/>
      <c r="QML17" s="51"/>
      <c r="QMM17" s="51"/>
      <c r="QMN17" s="51"/>
      <c r="QMO17" s="51"/>
      <c r="QMP17" s="51"/>
      <c r="QMQ17" s="51"/>
      <c r="QMR17" s="51"/>
      <c r="QMS17" s="51"/>
      <c r="QMT17" s="51"/>
      <c r="QMU17" s="51"/>
      <c r="QMV17" s="51"/>
      <c r="QMW17" s="51"/>
      <c r="QMX17" s="51"/>
      <c r="QMY17" s="51"/>
      <c r="QMZ17" s="51"/>
      <c r="QNA17" s="51"/>
      <c r="QNB17" s="51"/>
      <c r="QNC17" s="51"/>
      <c r="QND17" s="51"/>
      <c r="QNE17" s="51"/>
      <c r="QNF17" s="51"/>
      <c r="QNG17" s="51"/>
      <c r="QNH17" s="51"/>
      <c r="QNI17" s="51"/>
      <c r="QNJ17" s="51"/>
      <c r="QNK17" s="51"/>
      <c r="QNL17" s="51"/>
      <c r="QNM17" s="51"/>
      <c r="QNN17" s="51"/>
      <c r="QNO17" s="51"/>
      <c r="QNP17" s="51"/>
      <c r="QNQ17" s="51"/>
      <c r="QNR17" s="51"/>
      <c r="QNS17" s="51"/>
      <c r="QNT17" s="51"/>
      <c r="QNU17" s="51"/>
      <c r="QNV17" s="51"/>
      <c r="QNW17" s="51"/>
      <c r="QNX17" s="51"/>
      <c r="QNY17" s="51"/>
      <c r="QNZ17" s="51"/>
      <c r="QOA17" s="51"/>
      <c r="QOB17" s="51"/>
      <c r="QOC17" s="51"/>
      <c r="QOD17" s="51"/>
      <c r="QOE17" s="51"/>
      <c r="QOF17" s="51"/>
      <c r="QOG17" s="51"/>
      <c r="QOH17" s="51"/>
      <c r="QOI17" s="51"/>
      <c r="QOJ17" s="51"/>
      <c r="QOK17" s="51"/>
      <c r="QOL17" s="51"/>
      <c r="QOM17" s="51"/>
      <c r="QON17" s="51"/>
      <c r="QOO17" s="51"/>
      <c r="QOP17" s="51"/>
      <c r="QOQ17" s="51"/>
      <c r="QOR17" s="51"/>
      <c r="QOS17" s="51"/>
      <c r="QOT17" s="51"/>
      <c r="QOU17" s="51"/>
      <c r="QOV17" s="51"/>
      <c r="QOW17" s="51"/>
      <c r="QOX17" s="51"/>
      <c r="QOY17" s="51"/>
      <c r="QOZ17" s="51"/>
      <c r="QPA17" s="51"/>
      <c r="QPB17" s="51"/>
      <c r="QPC17" s="51"/>
      <c r="QPD17" s="51"/>
      <c r="QPE17" s="51"/>
      <c r="QPF17" s="51"/>
      <c r="QPG17" s="51"/>
      <c r="QPH17" s="51"/>
      <c r="QPI17" s="51"/>
      <c r="QPJ17" s="51"/>
      <c r="QPK17" s="51"/>
      <c r="QPL17" s="51"/>
      <c r="QPM17" s="51"/>
      <c r="QPN17" s="51"/>
      <c r="QPO17" s="51"/>
      <c r="QPP17" s="51"/>
      <c r="QPQ17" s="51"/>
      <c r="QPR17" s="51"/>
      <c r="QPS17" s="51"/>
      <c r="QPT17" s="51"/>
      <c r="QPU17" s="51"/>
      <c r="QPV17" s="51"/>
      <c r="QPW17" s="51"/>
      <c r="QPX17" s="51"/>
      <c r="QPY17" s="51"/>
      <c r="QPZ17" s="51"/>
      <c r="QQA17" s="51"/>
      <c r="QQB17" s="51"/>
      <c r="QQC17" s="51"/>
      <c r="QQD17" s="51"/>
      <c r="QQE17" s="51"/>
      <c r="QQF17" s="51"/>
      <c r="QQG17" s="51"/>
      <c r="QQH17" s="51"/>
      <c r="QQI17" s="51"/>
      <c r="QQJ17" s="51"/>
      <c r="QQK17" s="51"/>
      <c r="QQL17" s="51"/>
      <c r="QQM17" s="51"/>
      <c r="QQN17" s="51"/>
      <c r="QQO17" s="51"/>
      <c r="QQP17" s="51"/>
      <c r="QQQ17" s="51"/>
      <c r="QQR17" s="51"/>
      <c r="QQS17" s="51"/>
      <c r="QQT17" s="51"/>
      <c r="QQU17" s="51"/>
      <c r="QQV17" s="51"/>
      <c r="QQW17" s="51"/>
      <c r="QQX17" s="51"/>
      <c r="QQY17" s="51"/>
      <c r="QQZ17" s="51"/>
      <c r="QRA17" s="51"/>
      <c r="QRB17" s="51"/>
      <c r="QRC17" s="51"/>
      <c r="QRD17" s="51"/>
      <c r="QRE17" s="51"/>
      <c r="QRF17" s="51"/>
      <c r="QRG17" s="51"/>
      <c r="QRH17" s="51"/>
      <c r="QRI17" s="51"/>
      <c r="QRJ17" s="51"/>
      <c r="QRK17" s="51"/>
      <c r="QRL17" s="51"/>
      <c r="QRM17" s="51"/>
      <c r="QRN17" s="51"/>
      <c r="QRO17" s="51"/>
      <c r="QRP17" s="51"/>
      <c r="QRQ17" s="51"/>
      <c r="QRR17" s="51"/>
      <c r="QRS17" s="51"/>
      <c r="QRT17" s="51"/>
      <c r="QRU17" s="51"/>
      <c r="QRV17" s="51"/>
      <c r="QRW17" s="51"/>
      <c r="QRX17" s="51"/>
      <c r="QRY17" s="51"/>
      <c r="QRZ17" s="51"/>
      <c r="QSA17" s="51"/>
      <c r="QSB17" s="51"/>
      <c r="QSC17" s="51"/>
      <c r="QSD17" s="51"/>
      <c r="QSE17" s="51"/>
      <c r="QSF17" s="51"/>
      <c r="QSG17" s="51"/>
      <c r="QSH17" s="51"/>
      <c r="QSI17" s="51"/>
      <c r="QSJ17" s="51"/>
      <c r="QSK17" s="51"/>
      <c r="QSL17" s="51"/>
      <c r="QSM17" s="51"/>
      <c r="QSN17" s="51"/>
      <c r="QSO17" s="51"/>
      <c r="QSP17" s="51"/>
      <c r="QSQ17" s="51"/>
      <c r="QSR17" s="51"/>
      <c r="QSS17" s="51"/>
      <c r="QST17" s="51"/>
      <c r="QSU17" s="51"/>
      <c r="QSV17" s="51"/>
      <c r="QSW17" s="51"/>
      <c r="QSX17" s="51"/>
      <c r="QSY17" s="51"/>
      <c r="QSZ17" s="51"/>
      <c r="QTA17" s="51"/>
      <c r="QTB17" s="51"/>
      <c r="QTC17" s="51"/>
      <c r="QTD17" s="51"/>
      <c r="QTE17" s="51"/>
      <c r="QTF17" s="51"/>
      <c r="QTG17" s="51"/>
      <c r="QTH17" s="51"/>
      <c r="QTI17" s="51"/>
      <c r="QTJ17" s="51"/>
      <c r="QTK17" s="51"/>
      <c r="QTL17" s="51"/>
      <c r="QTM17" s="51"/>
      <c r="QTN17" s="51"/>
      <c r="QTO17" s="51"/>
      <c r="QTP17" s="51"/>
      <c r="QTQ17" s="51"/>
      <c r="QTR17" s="51"/>
      <c r="QTS17" s="51"/>
      <c r="QTT17" s="51"/>
      <c r="QTU17" s="51"/>
      <c r="QTV17" s="51"/>
      <c r="QTW17" s="51"/>
      <c r="QTX17" s="51"/>
      <c r="QTY17" s="51"/>
      <c r="QTZ17" s="51"/>
      <c r="QUA17" s="51"/>
      <c r="QUB17" s="51"/>
      <c r="QUC17" s="51"/>
      <c r="QUD17" s="51"/>
      <c r="QUE17" s="51"/>
      <c r="QUF17" s="51"/>
      <c r="QUG17" s="51"/>
      <c r="QUH17" s="51"/>
      <c r="QUI17" s="51"/>
      <c r="QUJ17" s="51"/>
      <c r="QUK17" s="51"/>
      <c r="QUL17" s="51"/>
      <c r="QUM17" s="51"/>
      <c r="QUN17" s="51"/>
      <c r="QUO17" s="51"/>
      <c r="QUP17" s="51"/>
      <c r="QUQ17" s="51"/>
      <c r="QUR17" s="51"/>
      <c r="QUS17" s="51"/>
      <c r="QUT17" s="51"/>
      <c r="QUU17" s="51"/>
      <c r="QUV17" s="51"/>
      <c r="QUW17" s="51"/>
      <c r="QUX17" s="51"/>
      <c r="QUY17" s="51"/>
      <c r="QUZ17" s="51"/>
      <c r="QVA17" s="51"/>
      <c r="QVB17" s="51"/>
      <c r="QVC17" s="51"/>
      <c r="QVD17" s="51"/>
      <c r="QVE17" s="51"/>
      <c r="QVF17" s="51"/>
      <c r="QVG17" s="51"/>
      <c r="QVH17" s="51"/>
      <c r="QVI17" s="51"/>
      <c r="QVJ17" s="51"/>
      <c r="QVK17" s="51"/>
      <c r="QVL17" s="51"/>
      <c r="QVM17" s="51"/>
      <c r="QVN17" s="51"/>
      <c r="QVO17" s="51"/>
      <c r="QVP17" s="51"/>
      <c r="QVQ17" s="51"/>
      <c r="QVR17" s="51"/>
      <c r="QVS17" s="51"/>
      <c r="QVT17" s="51"/>
      <c r="QVU17" s="51"/>
      <c r="QVV17" s="51"/>
      <c r="QVW17" s="51"/>
      <c r="QVX17" s="51"/>
      <c r="QVY17" s="51"/>
      <c r="QVZ17" s="51"/>
      <c r="QWA17" s="51"/>
      <c r="QWB17" s="51"/>
      <c r="QWC17" s="51"/>
      <c r="QWD17" s="51"/>
      <c r="QWE17" s="51"/>
      <c r="QWF17" s="51"/>
      <c r="QWG17" s="51"/>
      <c r="QWH17" s="51"/>
      <c r="QWI17" s="51"/>
      <c r="QWJ17" s="51"/>
      <c r="QWK17" s="51"/>
      <c r="QWL17" s="51"/>
      <c r="QWM17" s="51"/>
      <c r="QWN17" s="51"/>
      <c r="QWO17" s="51"/>
      <c r="QWP17" s="51"/>
      <c r="QWQ17" s="51"/>
      <c r="QWR17" s="51"/>
      <c r="QWS17" s="51"/>
      <c r="QWT17" s="51"/>
      <c r="QWU17" s="51"/>
      <c r="QWV17" s="51"/>
      <c r="QWW17" s="51"/>
      <c r="QWX17" s="51"/>
      <c r="QWY17" s="51"/>
      <c r="QWZ17" s="51"/>
      <c r="QXA17" s="51"/>
      <c r="QXB17" s="51"/>
      <c r="QXC17" s="51"/>
      <c r="QXD17" s="51"/>
      <c r="QXE17" s="51"/>
      <c r="QXF17" s="51"/>
      <c r="QXG17" s="51"/>
      <c r="QXH17" s="51"/>
      <c r="QXI17" s="51"/>
      <c r="QXJ17" s="51"/>
      <c r="QXK17" s="51"/>
      <c r="QXL17" s="51"/>
      <c r="QXM17" s="51"/>
      <c r="QXN17" s="51"/>
      <c r="QXO17" s="51"/>
      <c r="QXP17" s="51"/>
      <c r="QXQ17" s="51"/>
      <c r="QXR17" s="51"/>
      <c r="QXS17" s="51"/>
      <c r="QXT17" s="51"/>
      <c r="QXU17" s="51"/>
      <c r="QXV17" s="51"/>
      <c r="QXW17" s="51"/>
      <c r="QXX17" s="51"/>
      <c r="QXY17" s="51"/>
      <c r="QXZ17" s="51"/>
      <c r="QYA17" s="51"/>
      <c r="QYB17" s="51"/>
      <c r="QYC17" s="51"/>
      <c r="QYD17" s="51"/>
      <c r="QYE17" s="51"/>
      <c r="QYF17" s="51"/>
      <c r="QYG17" s="51"/>
      <c r="QYH17" s="51"/>
      <c r="QYI17" s="51"/>
      <c r="QYJ17" s="51"/>
      <c r="QYK17" s="51"/>
      <c r="QYL17" s="51"/>
      <c r="QYM17" s="51"/>
      <c r="QYN17" s="51"/>
      <c r="QYO17" s="51"/>
      <c r="QYP17" s="51"/>
      <c r="QYQ17" s="51"/>
      <c r="QYR17" s="51"/>
      <c r="QYS17" s="51"/>
      <c r="QYT17" s="51"/>
      <c r="QYU17" s="51"/>
      <c r="QYV17" s="51"/>
      <c r="QYW17" s="51"/>
      <c r="QYX17" s="51"/>
      <c r="QYY17" s="51"/>
      <c r="QYZ17" s="51"/>
      <c r="QZA17" s="51"/>
      <c r="QZB17" s="51"/>
      <c r="QZC17" s="51"/>
      <c r="QZD17" s="51"/>
      <c r="QZE17" s="51"/>
      <c r="QZF17" s="51"/>
      <c r="QZG17" s="51"/>
      <c r="QZH17" s="51"/>
      <c r="QZI17" s="51"/>
      <c r="QZJ17" s="51"/>
      <c r="QZK17" s="51"/>
      <c r="QZL17" s="51"/>
      <c r="QZM17" s="51"/>
      <c r="QZN17" s="51"/>
      <c r="QZO17" s="51"/>
      <c r="QZP17" s="51"/>
      <c r="QZQ17" s="51"/>
      <c r="QZR17" s="51"/>
      <c r="QZS17" s="51"/>
      <c r="QZT17" s="51"/>
      <c r="QZU17" s="51"/>
      <c r="QZV17" s="51"/>
      <c r="QZW17" s="51"/>
      <c r="QZX17" s="51"/>
      <c r="QZY17" s="51"/>
      <c r="QZZ17" s="51"/>
      <c r="RAA17" s="51"/>
      <c r="RAB17" s="51"/>
      <c r="RAC17" s="51"/>
      <c r="RAD17" s="51"/>
      <c r="RAE17" s="51"/>
      <c r="RAF17" s="51"/>
      <c r="RAG17" s="51"/>
      <c r="RAH17" s="51"/>
      <c r="RAI17" s="51"/>
      <c r="RAJ17" s="51"/>
      <c r="RAK17" s="51"/>
      <c r="RAL17" s="51"/>
      <c r="RAM17" s="51"/>
      <c r="RAN17" s="51"/>
      <c r="RAO17" s="51"/>
      <c r="RAP17" s="51"/>
      <c r="RAQ17" s="51"/>
      <c r="RAR17" s="51"/>
      <c r="RAS17" s="51"/>
      <c r="RAT17" s="51"/>
      <c r="RAU17" s="51"/>
      <c r="RAV17" s="51"/>
      <c r="RAW17" s="51"/>
      <c r="RAX17" s="51"/>
      <c r="RAY17" s="51"/>
      <c r="RAZ17" s="51"/>
      <c r="RBA17" s="51"/>
      <c r="RBB17" s="51"/>
      <c r="RBC17" s="51"/>
      <c r="RBD17" s="51"/>
      <c r="RBE17" s="51"/>
      <c r="RBF17" s="51"/>
      <c r="RBG17" s="51"/>
      <c r="RBH17" s="51"/>
      <c r="RBI17" s="51"/>
      <c r="RBJ17" s="51"/>
      <c r="RBK17" s="51"/>
      <c r="RBL17" s="51"/>
      <c r="RBM17" s="51"/>
      <c r="RBN17" s="51"/>
      <c r="RBO17" s="51"/>
      <c r="RBP17" s="51"/>
      <c r="RBQ17" s="51"/>
      <c r="RBR17" s="51"/>
      <c r="RBS17" s="51"/>
      <c r="RBT17" s="51"/>
      <c r="RBU17" s="51"/>
      <c r="RBV17" s="51"/>
      <c r="RBW17" s="51"/>
      <c r="RBX17" s="51"/>
      <c r="RBY17" s="51"/>
      <c r="RBZ17" s="51"/>
      <c r="RCA17" s="51"/>
      <c r="RCB17" s="51"/>
      <c r="RCC17" s="51"/>
      <c r="RCD17" s="51"/>
      <c r="RCE17" s="51"/>
      <c r="RCF17" s="51"/>
      <c r="RCG17" s="51"/>
      <c r="RCH17" s="51"/>
      <c r="RCI17" s="51"/>
      <c r="RCJ17" s="51"/>
      <c r="RCK17" s="51"/>
      <c r="RCL17" s="51"/>
      <c r="RCM17" s="51"/>
      <c r="RCN17" s="51"/>
      <c r="RCO17" s="51"/>
      <c r="RCP17" s="51"/>
      <c r="RCQ17" s="51"/>
      <c r="RCR17" s="51"/>
      <c r="RCS17" s="51"/>
      <c r="RCT17" s="51"/>
      <c r="RCU17" s="51"/>
      <c r="RCV17" s="51"/>
      <c r="RCW17" s="51"/>
      <c r="RCX17" s="51"/>
      <c r="RCY17" s="51"/>
      <c r="RCZ17" s="51"/>
      <c r="RDA17" s="51"/>
      <c r="RDB17" s="51"/>
      <c r="RDC17" s="51"/>
      <c r="RDD17" s="51"/>
      <c r="RDE17" s="51"/>
      <c r="RDF17" s="51"/>
      <c r="RDG17" s="51"/>
      <c r="RDH17" s="51"/>
      <c r="RDI17" s="51"/>
      <c r="RDJ17" s="51"/>
      <c r="RDK17" s="51"/>
      <c r="RDL17" s="51"/>
      <c r="RDM17" s="51"/>
      <c r="RDN17" s="51"/>
      <c r="RDO17" s="51"/>
      <c r="RDP17" s="51"/>
      <c r="RDQ17" s="51"/>
      <c r="RDR17" s="51"/>
      <c r="RDS17" s="51"/>
      <c r="RDT17" s="51"/>
      <c r="RDU17" s="51"/>
      <c r="RDV17" s="51"/>
      <c r="RDW17" s="51"/>
      <c r="RDX17" s="51"/>
      <c r="RDY17" s="51"/>
      <c r="RDZ17" s="51"/>
      <c r="REA17" s="51"/>
      <c r="REB17" s="51"/>
      <c r="REC17" s="51"/>
      <c r="RED17" s="51"/>
      <c r="REE17" s="51"/>
      <c r="REF17" s="51"/>
      <c r="REG17" s="51"/>
      <c r="REH17" s="51"/>
      <c r="REI17" s="51"/>
      <c r="REJ17" s="51"/>
      <c r="REK17" s="51"/>
      <c r="REL17" s="51"/>
      <c r="REM17" s="51"/>
      <c r="REN17" s="51"/>
      <c r="REO17" s="51"/>
      <c r="REP17" s="51"/>
      <c r="REQ17" s="51"/>
      <c r="RER17" s="51"/>
      <c r="RES17" s="51"/>
      <c r="RET17" s="51"/>
      <c r="REU17" s="51"/>
      <c r="REV17" s="51"/>
      <c r="REW17" s="51"/>
      <c r="REX17" s="51"/>
      <c r="REY17" s="51"/>
      <c r="REZ17" s="51"/>
      <c r="RFA17" s="51"/>
      <c r="RFB17" s="51"/>
      <c r="RFC17" s="51"/>
      <c r="RFD17" s="51"/>
      <c r="RFE17" s="51"/>
      <c r="RFF17" s="51"/>
      <c r="RFG17" s="51"/>
      <c r="RFH17" s="51"/>
      <c r="RFI17" s="51"/>
      <c r="RFJ17" s="51"/>
      <c r="RFK17" s="51"/>
      <c r="RFL17" s="51"/>
      <c r="RFM17" s="51"/>
      <c r="RFN17" s="51"/>
      <c r="RFO17" s="51"/>
      <c r="RFP17" s="51"/>
      <c r="RFQ17" s="51"/>
      <c r="RFR17" s="51"/>
      <c r="RFS17" s="51"/>
      <c r="RFT17" s="51"/>
      <c r="RFU17" s="51"/>
      <c r="RFV17" s="51"/>
      <c r="RFW17" s="51"/>
      <c r="RFX17" s="51"/>
      <c r="RFY17" s="51"/>
      <c r="RFZ17" s="51"/>
      <c r="RGA17" s="51"/>
      <c r="RGB17" s="51"/>
      <c r="RGC17" s="51"/>
      <c r="RGD17" s="51"/>
      <c r="RGE17" s="51"/>
      <c r="RGF17" s="51"/>
      <c r="RGG17" s="51"/>
      <c r="RGH17" s="51"/>
      <c r="RGI17" s="51"/>
      <c r="RGJ17" s="51"/>
      <c r="RGK17" s="51"/>
      <c r="RGL17" s="51"/>
      <c r="RGM17" s="51"/>
      <c r="RGN17" s="51"/>
      <c r="RGO17" s="51"/>
      <c r="RGP17" s="51"/>
      <c r="RGQ17" s="51"/>
      <c r="RGR17" s="51"/>
      <c r="RGS17" s="51"/>
      <c r="RGT17" s="51"/>
      <c r="RGU17" s="51"/>
      <c r="RGV17" s="51"/>
      <c r="RGW17" s="51"/>
      <c r="RGX17" s="51"/>
      <c r="RGY17" s="51"/>
      <c r="RGZ17" s="51"/>
      <c r="RHA17" s="51"/>
      <c r="RHB17" s="51"/>
      <c r="RHC17" s="51"/>
      <c r="RHD17" s="51"/>
      <c r="RHE17" s="51"/>
      <c r="RHF17" s="51"/>
      <c r="RHG17" s="51"/>
      <c r="RHH17" s="51"/>
      <c r="RHI17" s="51"/>
      <c r="RHJ17" s="51"/>
      <c r="RHK17" s="51"/>
      <c r="RHL17" s="51"/>
      <c r="RHM17" s="51"/>
      <c r="RHN17" s="51"/>
      <c r="RHO17" s="51"/>
      <c r="RHP17" s="51"/>
      <c r="RHQ17" s="51"/>
      <c r="RHR17" s="51"/>
      <c r="RHS17" s="51"/>
      <c r="RHT17" s="51"/>
      <c r="RHU17" s="51"/>
      <c r="RHV17" s="51"/>
      <c r="RHW17" s="51"/>
      <c r="RHX17" s="51"/>
      <c r="RHY17" s="51"/>
      <c r="RHZ17" s="51"/>
      <c r="RIA17" s="51"/>
      <c r="RIB17" s="51"/>
      <c r="RIC17" s="51"/>
      <c r="RID17" s="51"/>
      <c r="RIE17" s="51"/>
      <c r="RIF17" s="51"/>
      <c r="RIG17" s="51"/>
      <c r="RIH17" s="51"/>
      <c r="RII17" s="51"/>
      <c r="RIJ17" s="51"/>
      <c r="RIK17" s="51"/>
      <c r="RIL17" s="51"/>
      <c r="RIM17" s="51"/>
      <c r="RIN17" s="51"/>
      <c r="RIO17" s="51"/>
      <c r="RIP17" s="51"/>
      <c r="RIQ17" s="51"/>
      <c r="RIR17" s="51"/>
      <c r="RIS17" s="51"/>
      <c r="RIT17" s="51"/>
      <c r="RIU17" s="51"/>
      <c r="RIV17" s="51"/>
      <c r="RIW17" s="51"/>
      <c r="RIX17" s="51"/>
      <c r="RIY17" s="51"/>
      <c r="RIZ17" s="51"/>
      <c r="RJA17" s="51"/>
      <c r="RJB17" s="51"/>
      <c r="RJC17" s="51"/>
      <c r="RJD17" s="51"/>
      <c r="RJE17" s="51"/>
      <c r="RJF17" s="51"/>
      <c r="RJG17" s="51"/>
      <c r="RJH17" s="51"/>
      <c r="RJI17" s="51"/>
      <c r="RJJ17" s="51"/>
      <c r="RJK17" s="51"/>
      <c r="RJL17" s="51"/>
      <c r="RJM17" s="51"/>
      <c r="RJN17" s="51"/>
      <c r="RJO17" s="51"/>
      <c r="RJP17" s="51"/>
      <c r="RJQ17" s="51"/>
      <c r="RJR17" s="51"/>
      <c r="RJS17" s="51"/>
      <c r="RJT17" s="51"/>
      <c r="RJU17" s="51"/>
      <c r="RJV17" s="51"/>
      <c r="RJW17" s="51"/>
      <c r="RJX17" s="51"/>
      <c r="RJY17" s="51"/>
      <c r="RJZ17" s="51"/>
      <c r="RKA17" s="51"/>
      <c r="RKB17" s="51"/>
      <c r="RKC17" s="51"/>
      <c r="RKD17" s="51"/>
      <c r="RKE17" s="51"/>
      <c r="RKF17" s="51"/>
      <c r="RKG17" s="51"/>
      <c r="RKH17" s="51"/>
      <c r="RKI17" s="51"/>
      <c r="RKJ17" s="51"/>
      <c r="RKK17" s="51"/>
      <c r="RKL17" s="51"/>
      <c r="RKM17" s="51"/>
      <c r="RKN17" s="51"/>
      <c r="RKO17" s="51"/>
      <c r="RKP17" s="51"/>
      <c r="RKQ17" s="51"/>
      <c r="RKR17" s="51"/>
      <c r="RKS17" s="51"/>
      <c r="RKT17" s="51"/>
      <c r="RKU17" s="51"/>
      <c r="RKV17" s="51"/>
      <c r="RKW17" s="51"/>
      <c r="RKX17" s="51"/>
      <c r="RKY17" s="51"/>
      <c r="RKZ17" s="51"/>
      <c r="RLA17" s="51"/>
      <c r="RLB17" s="51"/>
      <c r="RLC17" s="51"/>
      <c r="RLD17" s="51"/>
      <c r="RLE17" s="51"/>
      <c r="RLF17" s="51"/>
      <c r="RLG17" s="51"/>
      <c r="RLH17" s="51"/>
      <c r="RLI17" s="51"/>
      <c r="RLJ17" s="51"/>
      <c r="RLK17" s="51"/>
      <c r="RLL17" s="51"/>
      <c r="RLM17" s="51"/>
      <c r="RLN17" s="51"/>
      <c r="RLO17" s="51"/>
      <c r="RLP17" s="51"/>
      <c r="RLQ17" s="51"/>
      <c r="RLR17" s="51"/>
      <c r="RLS17" s="51"/>
      <c r="RLT17" s="51"/>
      <c r="RLU17" s="51"/>
      <c r="RLV17" s="51"/>
      <c r="RLW17" s="51"/>
      <c r="RLX17" s="51"/>
      <c r="RLY17" s="51"/>
      <c r="RLZ17" s="51"/>
      <c r="RMA17" s="51"/>
      <c r="RMB17" s="51"/>
      <c r="RMC17" s="51"/>
      <c r="RMD17" s="51"/>
      <c r="RME17" s="51"/>
      <c r="RMF17" s="51"/>
      <c r="RMG17" s="51"/>
      <c r="RMH17" s="51"/>
      <c r="RMI17" s="51"/>
      <c r="RMJ17" s="51"/>
      <c r="RMK17" s="51"/>
      <c r="RML17" s="51"/>
      <c r="RMM17" s="51"/>
      <c r="RMN17" s="51"/>
      <c r="RMO17" s="51"/>
      <c r="RMP17" s="51"/>
      <c r="RMQ17" s="51"/>
      <c r="RMR17" s="51"/>
      <c r="RMS17" s="51"/>
      <c r="RMT17" s="51"/>
      <c r="RMU17" s="51"/>
      <c r="RMV17" s="51"/>
      <c r="RMW17" s="51"/>
      <c r="RMX17" s="51"/>
      <c r="RMY17" s="51"/>
      <c r="RMZ17" s="51"/>
      <c r="RNA17" s="51"/>
      <c r="RNB17" s="51"/>
      <c r="RNC17" s="51"/>
      <c r="RND17" s="51"/>
      <c r="RNE17" s="51"/>
      <c r="RNF17" s="51"/>
      <c r="RNG17" s="51"/>
      <c r="RNH17" s="51"/>
      <c r="RNI17" s="51"/>
      <c r="RNJ17" s="51"/>
      <c r="RNK17" s="51"/>
      <c r="RNL17" s="51"/>
      <c r="RNM17" s="51"/>
      <c r="RNN17" s="51"/>
      <c r="RNO17" s="51"/>
      <c r="RNP17" s="51"/>
      <c r="RNQ17" s="51"/>
      <c r="RNR17" s="51"/>
      <c r="RNS17" s="51"/>
      <c r="RNT17" s="51"/>
      <c r="RNU17" s="51"/>
      <c r="RNV17" s="51"/>
      <c r="RNW17" s="51"/>
      <c r="RNX17" s="51"/>
      <c r="RNY17" s="51"/>
      <c r="RNZ17" s="51"/>
      <c r="ROA17" s="51"/>
      <c r="ROB17" s="51"/>
      <c r="ROC17" s="51"/>
      <c r="ROD17" s="51"/>
      <c r="ROE17" s="51"/>
      <c r="ROF17" s="51"/>
      <c r="ROG17" s="51"/>
      <c r="ROH17" s="51"/>
      <c r="ROI17" s="51"/>
      <c r="ROJ17" s="51"/>
      <c r="ROK17" s="51"/>
      <c r="ROL17" s="51"/>
      <c r="ROM17" s="51"/>
      <c r="RON17" s="51"/>
      <c r="ROO17" s="51"/>
      <c r="ROP17" s="51"/>
      <c r="ROQ17" s="51"/>
      <c r="ROR17" s="51"/>
      <c r="ROS17" s="51"/>
      <c r="ROT17" s="51"/>
      <c r="ROU17" s="51"/>
      <c r="ROV17" s="51"/>
      <c r="ROW17" s="51"/>
      <c r="ROX17" s="51"/>
      <c r="ROY17" s="51"/>
      <c r="ROZ17" s="51"/>
      <c r="RPA17" s="51"/>
      <c r="RPB17" s="51"/>
      <c r="RPC17" s="51"/>
      <c r="RPD17" s="51"/>
      <c r="RPE17" s="51"/>
      <c r="RPF17" s="51"/>
      <c r="RPG17" s="51"/>
      <c r="RPH17" s="51"/>
      <c r="RPI17" s="51"/>
      <c r="RPJ17" s="51"/>
      <c r="RPK17" s="51"/>
      <c r="RPL17" s="51"/>
      <c r="RPM17" s="51"/>
      <c r="RPN17" s="51"/>
      <c r="RPO17" s="51"/>
      <c r="RPP17" s="51"/>
      <c r="RPQ17" s="51"/>
      <c r="RPR17" s="51"/>
      <c r="RPS17" s="51"/>
      <c r="RPT17" s="51"/>
      <c r="RPU17" s="51"/>
      <c r="RPV17" s="51"/>
      <c r="RPW17" s="51"/>
      <c r="RPX17" s="51"/>
      <c r="RPY17" s="51"/>
      <c r="RPZ17" s="51"/>
      <c r="RQA17" s="51"/>
      <c r="RQB17" s="51"/>
      <c r="RQC17" s="51"/>
      <c r="RQD17" s="51"/>
      <c r="RQE17" s="51"/>
      <c r="RQF17" s="51"/>
      <c r="RQG17" s="51"/>
      <c r="RQH17" s="51"/>
      <c r="RQI17" s="51"/>
      <c r="RQJ17" s="51"/>
      <c r="RQK17" s="51"/>
      <c r="RQL17" s="51"/>
      <c r="RQM17" s="51"/>
      <c r="RQN17" s="51"/>
      <c r="RQO17" s="51"/>
      <c r="RQP17" s="51"/>
      <c r="RQQ17" s="51"/>
      <c r="RQR17" s="51"/>
      <c r="RQS17" s="51"/>
      <c r="RQT17" s="51"/>
      <c r="RQU17" s="51"/>
      <c r="RQV17" s="51"/>
      <c r="RQW17" s="51"/>
      <c r="RQX17" s="51"/>
      <c r="RQY17" s="51"/>
      <c r="RQZ17" s="51"/>
      <c r="RRA17" s="51"/>
      <c r="RRB17" s="51"/>
      <c r="RRC17" s="51"/>
      <c r="RRD17" s="51"/>
      <c r="RRE17" s="51"/>
      <c r="RRF17" s="51"/>
      <c r="RRG17" s="51"/>
      <c r="RRH17" s="51"/>
      <c r="RRI17" s="51"/>
      <c r="RRJ17" s="51"/>
      <c r="RRK17" s="51"/>
      <c r="RRL17" s="51"/>
      <c r="RRM17" s="51"/>
      <c r="RRN17" s="51"/>
      <c r="RRO17" s="51"/>
      <c r="RRP17" s="51"/>
      <c r="RRQ17" s="51"/>
      <c r="RRR17" s="51"/>
      <c r="RRS17" s="51"/>
      <c r="RRT17" s="51"/>
      <c r="RRU17" s="51"/>
      <c r="RRV17" s="51"/>
      <c r="RRW17" s="51"/>
      <c r="RRX17" s="51"/>
      <c r="RRY17" s="51"/>
      <c r="RRZ17" s="51"/>
      <c r="RSA17" s="51"/>
      <c r="RSB17" s="51"/>
      <c r="RSC17" s="51"/>
      <c r="RSD17" s="51"/>
      <c r="RSE17" s="51"/>
      <c r="RSF17" s="51"/>
      <c r="RSG17" s="51"/>
      <c r="RSH17" s="51"/>
      <c r="RSI17" s="51"/>
      <c r="RSJ17" s="51"/>
      <c r="RSK17" s="51"/>
      <c r="RSL17" s="51"/>
      <c r="RSM17" s="51"/>
      <c r="RSN17" s="51"/>
      <c r="RSO17" s="51"/>
      <c r="RSP17" s="51"/>
      <c r="RSQ17" s="51"/>
      <c r="RSR17" s="51"/>
      <c r="RSS17" s="51"/>
      <c r="RST17" s="51"/>
      <c r="RSU17" s="51"/>
      <c r="RSV17" s="51"/>
      <c r="RSW17" s="51"/>
      <c r="RSX17" s="51"/>
      <c r="RSY17" s="51"/>
      <c r="RSZ17" s="51"/>
      <c r="RTA17" s="51"/>
      <c r="RTB17" s="51"/>
      <c r="RTC17" s="51"/>
      <c r="RTD17" s="51"/>
      <c r="RTE17" s="51"/>
      <c r="RTF17" s="51"/>
      <c r="RTG17" s="51"/>
      <c r="RTH17" s="51"/>
      <c r="RTI17" s="51"/>
      <c r="RTJ17" s="51"/>
      <c r="RTK17" s="51"/>
      <c r="RTL17" s="51"/>
      <c r="RTM17" s="51"/>
      <c r="RTN17" s="51"/>
      <c r="RTO17" s="51"/>
      <c r="RTP17" s="51"/>
      <c r="RTQ17" s="51"/>
      <c r="RTR17" s="51"/>
      <c r="RTS17" s="51"/>
      <c r="RTT17" s="51"/>
      <c r="RTU17" s="51"/>
      <c r="RTV17" s="51"/>
      <c r="RTW17" s="51"/>
      <c r="RTX17" s="51"/>
      <c r="RTY17" s="51"/>
      <c r="RTZ17" s="51"/>
      <c r="RUA17" s="51"/>
      <c r="RUB17" s="51"/>
      <c r="RUC17" s="51"/>
      <c r="RUD17" s="51"/>
      <c r="RUE17" s="51"/>
      <c r="RUF17" s="51"/>
      <c r="RUG17" s="51"/>
      <c r="RUH17" s="51"/>
      <c r="RUI17" s="51"/>
      <c r="RUJ17" s="51"/>
      <c r="RUK17" s="51"/>
      <c r="RUL17" s="51"/>
      <c r="RUM17" s="51"/>
      <c r="RUN17" s="51"/>
      <c r="RUO17" s="51"/>
      <c r="RUP17" s="51"/>
      <c r="RUQ17" s="51"/>
      <c r="RUR17" s="51"/>
      <c r="RUS17" s="51"/>
      <c r="RUT17" s="51"/>
      <c r="RUU17" s="51"/>
      <c r="RUV17" s="51"/>
      <c r="RUW17" s="51"/>
      <c r="RUX17" s="51"/>
      <c r="RUY17" s="51"/>
      <c r="RUZ17" s="51"/>
      <c r="RVA17" s="51"/>
      <c r="RVB17" s="51"/>
      <c r="RVC17" s="51"/>
      <c r="RVD17" s="51"/>
      <c r="RVE17" s="51"/>
      <c r="RVF17" s="51"/>
      <c r="RVG17" s="51"/>
      <c r="RVH17" s="51"/>
      <c r="RVI17" s="51"/>
      <c r="RVJ17" s="51"/>
      <c r="RVK17" s="51"/>
      <c r="RVL17" s="51"/>
      <c r="RVM17" s="51"/>
      <c r="RVN17" s="51"/>
      <c r="RVO17" s="51"/>
      <c r="RVP17" s="51"/>
      <c r="RVQ17" s="51"/>
      <c r="RVR17" s="51"/>
      <c r="RVS17" s="51"/>
      <c r="RVT17" s="51"/>
      <c r="RVU17" s="51"/>
      <c r="RVV17" s="51"/>
      <c r="RVW17" s="51"/>
      <c r="RVX17" s="51"/>
      <c r="RVY17" s="51"/>
      <c r="RVZ17" s="51"/>
      <c r="RWA17" s="51"/>
      <c r="RWB17" s="51"/>
      <c r="RWC17" s="51"/>
      <c r="RWD17" s="51"/>
      <c r="RWE17" s="51"/>
      <c r="RWF17" s="51"/>
      <c r="RWG17" s="51"/>
      <c r="RWH17" s="51"/>
      <c r="RWI17" s="51"/>
      <c r="RWJ17" s="51"/>
      <c r="RWK17" s="51"/>
      <c r="RWL17" s="51"/>
      <c r="RWM17" s="51"/>
      <c r="RWN17" s="51"/>
      <c r="RWO17" s="51"/>
      <c r="RWP17" s="51"/>
      <c r="RWQ17" s="51"/>
      <c r="RWR17" s="51"/>
      <c r="RWS17" s="51"/>
      <c r="RWT17" s="51"/>
      <c r="RWU17" s="51"/>
      <c r="RWV17" s="51"/>
      <c r="RWW17" s="51"/>
      <c r="RWX17" s="51"/>
      <c r="RWY17" s="51"/>
      <c r="RWZ17" s="51"/>
      <c r="RXA17" s="51"/>
      <c r="RXB17" s="51"/>
      <c r="RXC17" s="51"/>
      <c r="RXD17" s="51"/>
      <c r="RXE17" s="51"/>
      <c r="RXF17" s="51"/>
      <c r="RXG17" s="51"/>
      <c r="RXH17" s="51"/>
      <c r="RXI17" s="51"/>
      <c r="RXJ17" s="51"/>
      <c r="RXK17" s="51"/>
      <c r="RXL17" s="51"/>
      <c r="RXM17" s="51"/>
      <c r="RXN17" s="51"/>
      <c r="RXO17" s="51"/>
      <c r="RXP17" s="51"/>
      <c r="RXQ17" s="51"/>
      <c r="RXR17" s="51"/>
      <c r="RXS17" s="51"/>
      <c r="RXT17" s="51"/>
      <c r="RXU17" s="51"/>
      <c r="RXV17" s="51"/>
      <c r="RXW17" s="51"/>
      <c r="RXX17" s="51"/>
      <c r="RXY17" s="51"/>
      <c r="RXZ17" s="51"/>
      <c r="RYA17" s="51"/>
      <c r="RYB17" s="51"/>
      <c r="RYC17" s="51"/>
      <c r="RYD17" s="51"/>
      <c r="RYE17" s="51"/>
      <c r="RYF17" s="51"/>
      <c r="RYG17" s="51"/>
      <c r="RYH17" s="51"/>
      <c r="RYI17" s="51"/>
      <c r="RYJ17" s="51"/>
      <c r="RYK17" s="51"/>
      <c r="RYL17" s="51"/>
      <c r="RYM17" s="51"/>
      <c r="RYN17" s="51"/>
      <c r="RYO17" s="51"/>
      <c r="RYP17" s="51"/>
      <c r="RYQ17" s="51"/>
      <c r="RYR17" s="51"/>
      <c r="RYS17" s="51"/>
      <c r="RYT17" s="51"/>
      <c r="RYU17" s="51"/>
      <c r="RYV17" s="51"/>
      <c r="RYW17" s="51"/>
      <c r="RYX17" s="51"/>
      <c r="RYY17" s="51"/>
      <c r="RYZ17" s="51"/>
      <c r="RZA17" s="51"/>
      <c r="RZB17" s="51"/>
      <c r="RZC17" s="51"/>
      <c r="RZD17" s="51"/>
      <c r="RZE17" s="51"/>
      <c r="RZF17" s="51"/>
      <c r="RZG17" s="51"/>
      <c r="RZH17" s="51"/>
      <c r="RZI17" s="51"/>
      <c r="RZJ17" s="51"/>
      <c r="RZK17" s="51"/>
      <c r="RZL17" s="51"/>
      <c r="RZM17" s="51"/>
      <c r="RZN17" s="51"/>
      <c r="RZO17" s="51"/>
      <c r="RZP17" s="51"/>
      <c r="RZQ17" s="51"/>
      <c r="RZR17" s="51"/>
      <c r="RZS17" s="51"/>
      <c r="RZT17" s="51"/>
      <c r="RZU17" s="51"/>
      <c r="RZV17" s="51"/>
      <c r="RZW17" s="51"/>
      <c r="RZX17" s="51"/>
      <c r="RZY17" s="51"/>
      <c r="RZZ17" s="51"/>
      <c r="SAA17" s="51"/>
      <c r="SAB17" s="51"/>
      <c r="SAC17" s="51"/>
      <c r="SAD17" s="51"/>
      <c r="SAE17" s="51"/>
      <c r="SAF17" s="51"/>
      <c r="SAG17" s="51"/>
      <c r="SAH17" s="51"/>
      <c r="SAI17" s="51"/>
      <c r="SAJ17" s="51"/>
      <c r="SAK17" s="51"/>
      <c r="SAL17" s="51"/>
      <c r="SAM17" s="51"/>
      <c r="SAN17" s="51"/>
      <c r="SAO17" s="51"/>
      <c r="SAP17" s="51"/>
      <c r="SAQ17" s="51"/>
      <c r="SAR17" s="51"/>
      <c r="SAS17" s="51"/>
      <c r="SAT17" s="51"/>
      <c r="SAU17" s="51"/>
      <c r="SAV17" s="51"/>
      <c r="SAW17" s="51"/>
      <c r="SAX17" s="51"/>
      <c r="SAY17" s="51"/>
      <c r="SAZ17" s="51"/>
      <c r="SBA17" s="51"/>
      <c r="SBB17" s="51"/>
      <c r="SBC17" s="51"/>
      <c r="SBD17" s="51"/>
      <c r="SBE17" s="51"/>
      <c r="SBF17" s="51"/>
      <c r="SBG17" s="51"/>
      <c r="SBH17" s="51"/>
      <c r="SBI17" s="51"/>
      <c r="SBJ17" s="51"/>
      <c r="SBK17" s="51"/>
      <c r="SBL17" s="51"/>
      <c r="SBM17" s="51"/>
      <c r="SBN17" s="51"/>
      <c r="SBO17" s="51"/>
      <c r="SBP17" s="51"/>
      <c r="SBQ17" s="51"/>
      <c r="SBR17" s="51"/>
      <c r="SBS17" s="51"/>
      <c r="SBT17" s="51"/>
      <c r="SBU17" s="51"/>
      <c r="SBV17" s="51"/>
      <c r="SBW17" s="51"/>
      <c r="SBX17" s="51"/>
      <c r="SBY17" s="51"/>
      <c r="SBZ17" s="51"/>
      <c r="SCA17" s="51"/>
      <c r="SCB17" s="51"/>
      <c r="SCC17" s="51"/>
      <c r="SCD17" s="51"/>
      <c r="SCE17" s="51"/>
      <c r="SCF17" s="51"/>
      <c r="SCG17" s="51"/>
      <c r="SCH17" s="51"/>
      <c r="SCI17" s="51"/>
      <c r="SCJ17" s="51"/>
      <c r="SCK17" s="51"/>
      <c r="SCL17" s="51"/>
      <c r="SCM17" s="51"/>
      <c r="SCN17" s="51"/>
      <c r="SCO17" s="51"/>
      <c r="SCP17" s="51"/>
      <c r="SCQ17" s="51"/>
      <c r="SCR17" s="51"/>
      <c r="SCS17" s="51"/>
      <c r="SCT17" s="51"/>
      <c r="SCU17" s="51"/>
      <c r="SCV17" s="51"/>
      <c r="SCW17" s="51"/>
      <c r="SCX17" s="51"/>
      <c r="SCY17" s="51"/>
      <c r="SCZ17" s="51"/>
      <c r="SDA17" s="51"/>
      <c r="SDB17" s="51"/>
      <c r="SDC17" s="51"/>
      <c r="SDD17" s="51"/>
      <c r="SDE17" s="51"/>
      <c r="SDF17" s="51"/>
      <c r="SDG17" s="51"/>
      <c r="SDH17" s="51"/>
      <c r="SDI17" s="51"/>
      <c r="SDJ17" s="51"/>
      <c r="SDK17" s="51"/>
      <c r="SDL17" s="51"/>
      <c r="SDM17" s="51"/>
      <c r="SDN17" s="51"/>
      <c r="SDO17" s="51"/>
      <c r="SDP17" s="51"/>
      <c r="SDQ17" s="51"/>
      <c r="SDR17" s="51"/>
      <c r="SDS17" s="51"/>
      <c r="SDT17" s="51"/>
      <c r="SDU17" s="51"/>
      <c r="SDV17" s="51"/>
      <c r="SDW17" s="51"/>
      <c r="SDX17" s="51"/>
      <c r="SDY17" s="51"/>
      <c r="SDZ17" s="51"/>
      <c r="SEA17" s="51"/>
      <c r="SEB17" s="51"/>
      <c r="SEC17" s="51"/>
      <c r="SED17" s="51"/>
      <c r="SEE17" s="51"/>
      <c r="SEF17" s="51"/>
      <c r="SEG17" s="51"/>
      <c r="SEH17" s="51"/>
      <c r="SEI17" s="51"/>
      <c r="SEJ17" s="51"/>
      <c r="SEK17" s="51"/>
      <c r="SEL17" s="51"/>
      <c r="SEM17" s="51"/>
      <c r="SEN17" s="51"/>
      <c r="SEO17" s="51"/>
      <c r="SEP17" s="51"/>
      <c r="SEQ17" s="51"/>
      <c r="SER17" s="51"/>
      <c r="SES17" s="51"/>
      <c r="SET17" s="51"/>
      <c r="SEU17" s="51"/>
      <c r="SEV17" s="51"/>
      <c r="SEW17" s="51"/>
      <c r="SEX17" s="51"/>
      <c r="SEY17" s="51"/>
      <c r="SEZ17" s="51"/>
      <c r="SFA17" s="51"/>
      <c r="SFB17" s="51"/>
      <c r="SFC17" s="51"/>
      <c r="SFD17" s="51"/>
      <c r="SFE17" s="51"/>
      <c r="SFF17" s="51"/>
      <c r="SFG17" s="51"/>
      <c r="SFH17" s="51"/>
      <c r="SFI17" s="51"/>
      <c r="SFJ17" s="51"/>
      <c r="SFK17" s="51"/>
      <c r="SFL17" s="51"/>
      <c r="SFM17" s="51"/>
      <c r="SFN17" s="51"/>
      <c r="SFO17" s="51"/>
      <c r="SFP17" s="51"/>
      <c r="SFQ17" s="51"/>
      <c r="SFR17" s="51"/>
      <c r="SFS17" s="51"/>
      <c r="SFT17" s="51"/>
      <c r="SFU17" s="51"/>
      <c r="SFV17" s="51"/>
      <c r="SFW17" s="51"/>
      <c r="SFX17" s="51"/>
      <c r="SFY17" s="51"/>
      <c r="SFZ17" s="51"/>
      <c r="SGA17" s="51"/>
      <c r="SGB17" s="51"/>
      <c r="SGC17" s="51"/>
      <c r="SGD17" s="51"/>
      <c r="SGE17" s="51"/>
      <c r="SGF17" s="51"/>
      <c r="SGG17" s="51"/>
      <c r="SGH17" s="51"/>
      <c r="SGI17" s="51"/>
      <c r="SGJ17" s="51"/>
      <c r="SGK17" s="51"/>
      <c r="SGL17" s="51"/>
      <c r="SGM17" s="51"/>
      <c r="SGN17" s="51"/>
      <c r="SGO17" s="51"/>
      <c r="SGP17" s="51"/>
      <c r="SGQ17" s="51"/>
      <c r="SGR17" s="51"/>
      <c r="SGS17" s="51"/>
      <c r="SGT17" s="51"/>
      <c r="SGU17" s="51"/>
      <c r="SGV17" s="51"/>
      <c r="SGW17" s="51"/>
      <c r="SGX17" s="51"/>
      <c r="SGY17" s="51"/>
      <c r="SGZ17" s="51"/>
      <c r="SHA17" s="51"/>
      <c r="SHB17" s="51"/>
      <c r="SHC17" s="51"/>
      <c r="SHD17" s="51"/>
      <c r="SHE17" s="51"/>
      <c r="SHF17" s="51"/>
      <c r="SHG17" s="51"/>
      <c r="SHH17" s="51"/>
      <c r="SHI17" s="51"/>
      <c r="SHJ17" s="51"/>
      <c r="SHK17" s="51"/>
      <c r="SHL17" s="51"/>
      <c r="SHM17" s="51"/>
      <c r="SHN17" s="51"/>
      <c r="SHO17" s="51"/>
      <c r="SHP17" s="51"/>
      <c r="SHQ17" s="51"/>
      <c r="SHR17" s="51"/>
      <c r="SHS17" s="51"/>
      <c r="SHT17" s="51"/>
      <c r="SHU17" s="51"/>
      <c r="SHV17" s="51"/>
      <c r="SHW17" s="51"/>
      <c r="SHX17" s="51"/>
      <c r="SHY17" s="51"/>
      <c r="SHZ17" s="51"/>
      <c r="SIA17" s="51"/>
      <c r="SIB17" s="51"/>
      <c r="SIC17" s="51"/>
      <c r="SID17" s="51"/>
      <c r="SIE17" s="51"/>
      <c r="SIF17" s="51"/>
      <c r="SIG17" s="51"/>
      <c r="SIH17" s="51"/>
      <c r="SII17" s="51"/>
      <c r="SIJ17" s="51"/>
      <c r="SIK17" s="51"/>
      <c r="SIL17" s="51"/>
      <c r="SIM17" s="51"/>
      <c r="SIN17" s="51"/>
      <c r="SIO17" s="51"/>
      <c r="SIP17" s="51"/>
      <c r="SIQ17" s="51"/>
      <c r="SIR17" s="51"/>
      <c r="SIS17" s="51"/>
      <c r="SIT17" s="51"/>
      <c r="SIU17" s="51"/>
      <c r="SIV17" s="51"/>
      <c r="SIW17" s="51"/>
      <c r="SIX17" s="51"/>
      <c r="SIY17" s="51"/>
      <c r="SIZ17" s="51"/>
      <c r="SJA17" s="51"/>
      <c r="SJB17" s="51"/>
      <c r="SJC17" s="51"/>
      <c r="SJD17" s="51"/>
      <c r="SJE17" s="51"/>
      <c r="SJF17" s="51"/>
      <c r="SJG17" s="51"/>
      <c r="SJH17" s="51"/>
      <c r="SJI17" s="51"/>
      <c r="SJJ17" s="51"/>
      <c r="SJK17" s="51"/>
      <c r="SJL17" s="51"/>
      <c r="SJM17" s="51"/>
      <c r="SJN17" s="51"/>
      <c r="SJO17" s="51"/>
      <c r="SJP17" s="51"/>
      <c r="SJQ17" s="51"/>
      <c r="SJR17" s="51"/>
      <c r="SJS17" s="51"/>
      <c r="SJT17" s="51"/>
      <c r="SJU17" s="51"/>
      <c r="SJV17" s="51"/>
      <c r="SJW17" s="51"/>
      <c r="SJX17" s="51"/>
      <c r="SJY17" s="51"/>
      <c r="SJZ17" s="51"/>
      <c r="SKA17" s="51"/>
      <c r="SKB17" s="51"/>
      <c r="SKC17" s="51"/>
      <c r="SKD17" s="51"/>
      <c r="SKE17" s="51"/>
      <c r="SKF17" s="51"/>
      <c r="SKG17" s="51"/>
      <c r="SKH17" s="51"/>
      <c r="SKI17" s="51"/>
      <c r="SKJ17" s="51"/>
      <c r="SKK17" s="51"/>
      <c r="SKL17" s="51"/>
      <c r="SKM17" s="51"/>
      <c r="SKN17" s="51"/>
      <c r="SKO17" s="51"/>
      <c r="SKP17" s="51"/>
      <c r="SKQ17" s="51"/>
      <c r="SKR17" s="51"/>
      <c r="SKS17" s="51"/>
      <c r="SKT17" s="51"/>
      <c r="SKU17" s="51"/>
      <c r="SKV17" s="51"/>
      <c r="SKW17" s="51"/>
      <c r="SKX17" s="51"/>
      <c r="SKY17" s="51"/>
      <c r="SKZ17" s="51"/>
      <c r="SLA17" s="51"/>
      <c r="SLB17" s="51"/>
      <c r="SLC17" s="51"/>
      <c r="SLD17" s="51"/>
      <c r="SLE17" s="51"/>
      <c r="SLF17" s="51"/>
      <c r="SLG17" s="51"/>
      <c r="SLH17" s="51"/>
      <c r="SLI17" s="51"/>
      <c r="SLJ17" s="51"/>
      <c r="SLK17" s="51"/>
      <c r="SLL17" s="51"/>
      <c r="SLM17" s="51"/>
      <c r="SLN17" s="51"/>
      <c r="SLO17" s="51"/>
      <c r="SLP17" s="51"/>
      <c r="SLQ17" s="51"/>
      <c r="SLR17" s="51"/>
      <c r="SLS17" s="51"/>
      <c r="SLT17" s="51"/>
      <c r="SLU17" s="51"/>
      <c r="SLV17" s="51"/>
      <c r="SLW17" s="51"/>
      <c r="SLX17" s="51"/>
      <c r="SLY17" s="51"/>
      <c r="SLZ17" s="51"/>
      <c r="SMA17" s="51"/>
      <c r="SMB17" s="51"/>
      <c r="SMC17" s="51"/>
      <c r="SMD17" s="51"/>
      <c r="SME17" s="51"/>
      <c r="SMF17" s="51"/>
      <c r="SMG17" s="51"/>
      <c r="SMH17" s="51"/>
      <c r="SMI17" s="51"/>
      <c r="SMJ17" s="51"/>
      <c r="SMK17" s="51"/>
      <c r="SML17" s="51"/>
      <c r="SMM17" s="51"/>
      <c r="SMN17" s="51"/>
      <c r="SMO17" s="51"/>
      <c r="SMP17" s="51"/>
      <c r="SMQ17" s="51"/>
      <c r="SMR17" s="51"/>
      <c r="SMS17" s="51"/>
      <c r="SMT17" s="51"/>
      <c r="SMU17" s="51"/>
      <c r="SMV17" s="51"/>
      <c r="SMW17" s="51"/>
      <c r="SMX17" s="51"/>
      <c r="SMY17" s="51"/>
      <c r="SMZ17" s="51"/>
      <c r="SNA17" s="51"/>
      <c r="SNB17" s="51"/>
      <c r="SNC17" s="51"/>
      <c r="SND17" s="51"/>
      <c r="SNE17" s="51"/>
      <c r="SNF17" s="51"/>
      <c r="SNG17" s="51"/>
      <c r="SNH17" s="51"/>
      <c r="SNI17" s="51"/>
      <c r="SNJ17" s="51"/>
      <c r="SNK17" s="51"/>
      <c r="SNL17" s="51"/>
      <c r="SNM17" s="51"/>
      <c r="SNN17" s="51"/>
      <c r="SNO17" s="51"/>
      <c r="SNP17" s="51"/>
      <c r="SNQ17" s="51"/>
      <c r="SNR17" s="51"/>
      <c r="SNS17" s="51"/>
      <c r="SNT17" s="51"/>
      <c r="SNU17" s="51"/>
      <c r="SNV17" s="51"/>
      <c r="SNW17" s="51"/>
      <c r="SNX17" s="51"/>
      <c r="SNY17" s="51"/>
      <c r="SNZ17" s="51"/>
      <c r="SOA17" s="51"/>
      <c r="SOB17" s="51"/>
      <c r="SOC17" s="51"/>
      <c r="SOD17" s="51"/>
      <c r="SOE17" s="51"/>
      <c r="SOF17" s="51"/>
      <c r="SOG17" s="51"/>
      <c r="SOH17" s="51"/>
      <c r="SOI17" s="51"/>
      <c r="SOJ17" s="51"/>
      <c r="SOK17" s="51"/>
      <c r="SOL17" s="51"/>
      <c r="SOM17" s="51"/>
      <c r="SON17" s="51"/>
      <c r="SOO17" s="51"/>
      <c r="SOP17" s="51"/>
      <c r="SOQ17" s="51"/>
      <c r="SOR17" s="51"/>
      <c r="SOS17" s="51"/>
      <c r="SOT17" s="51"/>
      <c r="SOU17" s="51"/>
      <c r="SOV17" s="51"/>
      <c r="SOW17" s="51"/>
      <c r="SOX17" s="51"/>
      <c r="SOY17" s="51"/>
      <c r="SOZ17" s="51"/>
      <c r="SPA17" s="51"/>
      <c r="SPB17" s="51"/>
      <c r="SPC17" s="51"/>
      <c r="SPD17" s="51"/>
      <c r="SPE17" s="51"/>
      <c r="SPF17" s="51"/>
      <c r="SPG17" s="51"/>
      <c r="SPH17" s="51"/>
      <c r="SPI17" s="51"/>
      <c r="SPJ17" s="51"/>
      <c r="SPK17" s="51"/>
      <c r="SPL17" s="51"/>
      <c r="SPM17" s="51"/>
      <c r="SPN17" s="51"/>
      <c r="SPO17" s="51"/>
      <c r="SPP17" s="51"/>
      <c r="SPQ17" s="51"/>
      <c r="SPR17" s="51"/>
      <c r="SPS17" s="51"/>
      <c r="SPT17" s="51"/>
      <c r="SPU17" s="51"/>
      <c r="SPV17" s="51"/>
      <c r="SPW17" s="51"/>
      <c r="SPX17" s="51"/>
      <c r="SPY17" s="51"/>
      <c r="SPZ17" s="51"/>
      <c r="SQA17" s="51"/>
      <c r="SQB17" s="51"/>
      <c r="SQC17" s="51"/>
      <c r="SQD17" s="51"/>
      <c r="SQE17" s="51"/>
      <c r="SQF17" s="51"/>
      <c r="SQG17" s="51"/>
      <c r="SQH17" s="51"/>
      <c r="SQI17" s="51"/>
      <c r="SQJ17" s="51"/>
      <c r="SQK17" s="51"/>
      <c r="SQL17" s="51"/>
      <c r="SQM17" s="51"/>
      <c r="SQN17" s="51"/>
      <c r="SQO17" s="51"/>
      <c r="SQP17" s="51"/>
      <c r="SQQ17" s="51"/>
      <c r="SQR17" s="51"/>
      <c r="SQS17" s="51"/>
      <c r="SQT17" s="51"/>
      <c r="SQU17" s="51"/>
      <c r="SQV17" s="51"/>
      <c r="SQW17" s="51"/>
      <c r="SQX17" s="51"/>
      <c r="SQY17" s="51"/>
      <c r="SQZ17" s="51"/>
      <c r="SRA17" s="51"/>
      <c r="SRB17" s="51"/>
      <c r="SRC17" s="51"/>
      <c r="SRD17" s="51"/>
      <c r="SRE17" s="51"/>
      <c r="SRF17" s="51"/>
      <c r="SRG17" s="51"/>
      <c r="SRH17" s="51"/>
      <c r="SRI17" s="51"/>
      <c r="SRJ17" s="51"/>
      <c r="SRK17" s="51"/>
      <c r="SRL17" s="51"/>
      <c r="SRM17" s="51"/>
      <c r="SRN17" s="51"/>
      <c r="SRO17" s="51"/>
      <c r="SRP17" s="51"/>
      <c r="SRQ17" s="51"/>
      <c r="SRR17" s="51"/>
      <c r="SRS17" s="51"/>
      <c r="SRT17" s="51"/>
      <c r="SRU17" s="51"/>
      <c r="SRV17" s="51"/>
      <c r="SRW17" s="51"/>
      <c r="SRX17" s="51"/>
      <c r="SRY17" s="51"/>
      <c r="SRZ17" s="51"/>
      <c r="SSA17" s="51"/>
      <c r="SSB17" s="51"/>
      <c r="SSC17" s="51"/>
      <c r="SSD17" s="51"/>
      <c r="SSE17" s="51"/>
      <c r="SSF17" s="51"/>
      <c r="SSG17" s="51"/>
      <c r="SSH17" s="51"/>
      <c r="SSI17" s="51"/>
      <c r="SSJ17" s="51"/>
      <c r="SSK17" s="51"/>
      <c r="SSL17" s="51"/>
      <c r="SSM17" s="51"/>
      <c r="SSN17" s="51"/>
      <c r="SSO17" s="51"/>
      <c r="SSP17" s="51"/>
      <c r="SSQ17" s="51"/>
      <c r="SSR17" s="51"/>
      <c r="SSS17" s="51"/>
      <c r="SST17" s="51"/>
      <c r="SSU17" s="51"/>
      <c r="SSV17" s="51"/>
      <c r="SSW17" s="51"/>
      <c r="SSX17" s="51"/>
      <c r="SSY17" s="51"/>
      <c r="SSZ17" s="51"/>
      <c r="STA17" s="51"/>
      <c r="STB17" s="51"/>
      <c r="STC17" s="51"/>
      <c r="STD17" s="51"/>
      <c r="STE17" s="51"/>
      <c r="STF17" s="51"/>
      <c r="STG17" s="51"/>
      <c r="STH17" s="51"/>
      <c r="STI17" s="51"/>
      <c r="STJ17" s="51"/>
      <c r="STK17" s="51"/>
      <c r="STL17" s="51"/>
      <c r="STM17" s="51"/>
      <c r="STN17" s="51"/>
      <c r="STO17" s="51"/>
      <c r="STP17" s="51"/>
      <c r="STQ17" s="51"/>
      <c r="STR17" s="51"/>
      <c r="STS17" s="51"/>
      <c r="STT17" s="51"/>
      <c r="STU17" s="51"/>
      <c r="STV17" s="51"/>
      <c r="STW17" s="51"/>
      <c r="STX17" s="51"/>
      <c r="STY17" s="51"/>
      <c r="STZ17" s="51"/>
      <c r="SUA17" s="51"/>
      <c r="SUB17" s="51"/>
      <c r="SUC17" s="51"/>
      <c r="SUD17" s="51"/>
      <c r="SUE17" s="51"/>
      <c r="SUF17" s="51"/>
      <c r="SUG17" s="51"/>
      <c r="SUH17" s="51"/>
      <c r="SUI17" s="51"/>
      <c r="SUJ17" s="51"/>
      <c r="SUK17" s="51"/>
      <c r="SUL17" s="51"/>
      <c r="SUM17" s="51"/>
      <c r="SUN17" s="51"/>
      <c r="SUO17" s="51"/>
      <c r="SUP17" s="51"/>
      <c r="SUQ17" s="51"/>
      <c r="SUR17" s="51"/>
      <c r="SUS17" s="51"/>
      <c r="SUT17" s="51"/>
      <c r="SUU17" s="51"/>
      <c r="SUV17" s="51"/>
      <c r="SUW17" s="51"/>
      <c r="SUX17" s="51"/>
      <c r="SUY17" s="51"/>
      <c r="SUZ17" s="51"/>
      <c r="SVA17" s="51"/>
      <c r="SVB17" s="51"/>
      <c r="SVC17" s="51"/>
      <c r="SVD17" s="51"/>
      <c r="SVE17" s="51"/>
      <c r="SVF17" s="51"/>
      <c r="SVG17" s="51"/>
      <c r="SVH17" s="51"/>
      <c r="SVI17" s="51"/>
      <c r="SVJ17" s="51"/>
      <c r="SVK17" s="51"/>
      <c r="SVL17" s="51"/>
      <c r="SVM17" s="51"/>
      <c r="SVN17" s="51"/>
      <c r="SVO17" s="51"/>
      <c r="SVP17" s="51"/>
      <c r="SVQ17" s="51"/>
      <c r="SVR17" s="51"/>
      <c r="SVS17" s="51"/>
      <c r="SVT17" s="51"/>
      <c r="SVU17" s="51"/>
      <c r="SVV17" s="51"/>
      <c r="SVW17" s="51"/>
      <c r="SVX17" s="51"/>
      <c r="SVY17" s="51"/>
      <c r="SVZ17" s="51"/>
      <c r="SWA17" s="51"/>
      <c r="SWB17" s="51"/>
      <c r="SWC17" s="51"/>
      <c r="SWD17" s="51"/>
      <c r="SWE17" s="51"/>
      <c r="SWF17" s="51"/>
      <c r="SWG17" s="51"/>
      <c r="SWH17" s="51"/>
      <c r="SWI17" s="51"/>
      <c r="SWJ17" s="51"/>
      <c r="SWK17" s="51"/>
      <c r="SWL17" s="51"/>
      <c r="SWM17" s="51"/>
      <c r="SWN17" s="51"/>
      <c r="SWO17" s="51"/>
      <c r="SWP17" s="51"/>
      <c r="SWQ17" s="51"/>
      <c r="SWR17" s="51"/>
      <c r="SWS17" s="51"/>
      <c r="SWT17" s="51"/>
      <c r="SWU17" s="51"/>
      <c r="SWV17" s="51"/>
      <c r="SWW17" s="51"/>
      <c r="SWX17" s="51"/>
      <c r="SWY17" s="51"/>
      <c r="SWZ17" s="51"/>
      <c r="SXA17" s="51"/>
      <c r="SXB17" s="51"/>
      <c r="SXC17" s="51"/>
      <c r="SXD17" s="51"/>
      <c r="SXE17" s="51"/>
      <c r="SXF17" s="51"/>
      <c r="SXG17" s="51"/>
      <c r="SXH17" s="51"/>
      <c r="SXI17" s="51"/>
      <c r="SXJ17" s="51"/>
      <c r="SXK17" s="51"/>
      <c r="SXL17" s="51"/>
      <c r="SXM17" s="51"/>
      <c r="SXN17" s="51"/>
      <c r="SXO17" s="51"/>
      <c r="SXP17" s="51"/>
      <c r="SXQ17" s="51"/>
      <c r="SXR17" s="51"/>
      <c r="SXS17" s="51"/>
      <c r="SXT17" s="51"/>
      <c r="SXU17" s="51"/>
      <c r="SXV17" s="51"/>
      <c r="SXW17" s="51"/>
      <c r="SXX17" s="51"/>
      <c r="SXY17" s="51"/>
      <c r="SXZ17" s="51"/>
      <c r="SYA17" s="51"/>
      <c r="SYB17" s="51"/>
      <c r="SYC17" s="51"/>
      <c r="SYD17" s="51"/>
      <c r="SYE17" s="51"/>
      <c r="SYF17" s="51"/>
      <c r="SYG17" s="51"/>
      <c r="SYH17" s="51"/>
      <c r="SYI17" s="51"/>
      <c r="SYJ17" s="51"/>
      <c r="SYK17" s="51"/>
      <c r="SYL17" s="51"/>
      <c r="SYM17" s="51"/>
      <c r="SYN17" s="51"/>
      <c r="SYO17" s="51"/>
      <c r="SYP17" s="51"/>
      <c r="SYQ17" s="51"/>
      <c r="SYR17" s="51"/>
      <c r="SYS17" s="51"/>
      <c r="SYT17" s="51"/>
      <c r="SYU17" s="51"/>
      <c r="SYV17" s="51"/>
      <c r="SYW17" s="51"/>
      <c r="SYX17" s="51"/>
      <c r="SYY17" s="51"/>
      <c r="SYZ17" s="51"/>
      <c r="SZA17" s="51"/>
      <c r="SZB17" s="51"/>
      <c r="SZC17" s="51"/>
      <c r="SZD17" s="51"/>
      <c r="SZE17" s="51"/>
      <c r="SZF17" s="51"/>
      <c r="SZG17" s="51"/>
      <c r="SZH17" s="51"/>
      <c r="SZI17" s="51"/>
      <c r="SZJ17" s="51"/>
      <c r="SZK17" s="51"/>
      <c r="SZL17" s="51"/>
      <c r="SZM17" s="51"/>
      <c r="SZN17" s="51"/>
      <c r="SZO17" s="51"/>
      <c r="SZP17" s="51"/>
      <c r="SZQ17" s="51"/>
      <c r="SZR17" s="51"/>
      <c r="SZS17" s="51"/>
      <c r="SZT17" s="51"/>
      <c r="SZU17" s="51"/>
      <c r="SZV17" s="51"/>
      <c r="SZW17" s="51"/>
      <c r="SZX17" s="51"/>
      <c r="SZY17" s="51"/>
      <c r="SZZ17" s="51"/>
      <c r="TAA17" s="51"/>
      <c r="TAB17" s="51"/>
      <c r="TAC17" s="51"/>
      <c r="TAD17" s="51"/>
      <c r="TAE17" s="51"/>
      <c r="TAF17" s="51"/>
      <c r="TAG17" s="51"/>
      <c r="TAH17" s="51"/>
      <c r="TAI17" s="51"/>
      <c r="TAJ17" s="51"/>
      <c r="TAK17" s="51"/>
      <c r="TAL17" s="51"/>
      <c r="TAM17" s="51"/>
      <c r="TAN17" s="51"/>
      <c r="TAO17" s="51"/>
      <c r="TAP17" s="51"/>
      <c r="TAQ17" s="51"/>
      <c r="TAR17" s="51"/>
      <c r="TAS17" s="51"/>
      <c r="TAT17" s="51"/>
      <c r="TAU17" s="51"/>
      <c r="TAV17" s="51"/>
      <c r="TAW17" s="51"/>
      <c r="TAX17" s="51"/>
      <c r="TAY17" s="51"/>
      <c r="TAZ17" s="51"/>
      <c r="TBA17" s="51"/>
      <c r="TBB17" s="51"/>
      <c r="TBC17" s="51"/>
      <c r="TBD17" s="51"/>
      <c r="TBE17" s="51"/>
      <c r="TBF17" s="51"/>
      <c r="TBG17" s="51"/>
      <c r="TBH17" s="51"/>
      <c r="TBI17" s="51"/>
      <c r="TBJ17" s="51"/>
      <c r="TBK17" s="51"/>
      <c r="TBL17" s="51"/>
      <c r="TBM17" s="51"/>
      <c r="TBN17" s="51"/>
      <c r="TBO17" s="51"/>
      <c r="TBP17" s="51"/>
      <c r="TBQ17" s="51"/>
      <c r="TBR17" s="51"/>
      <c r="TBS17" s="51"/>
      <c r="TBT17" s="51"/>
      <c r="TBU17" s="51"/>
      <c r="TBV17" s="51"/>
      <c r="TBW17" s="51"/>
      <c r="TBX17" s="51"/>
      <c r="TBY17" s="51"/>
      <c r="TBZ17" s="51"/>
      <c r="TCA17" s="51"/>
      <c r="TCB17" s="51"/>
      <c r="TCC17" s="51"/>
      <c r="TCD17" s="51"/>
      <c r="TCE17" s="51"/>
      <c r="TCF17" s="51"/>
      <c r="TCG17" s="51"/>
      <c r="TCH17" s="51"/>
      <c r="TCI17" s="51"/>
      <c r="TCJ17" s="51"/>
      <c r="TCK17" s="51"/>
      <c r="TCL17" s="51"/>
      <c r="TCM17" s="51"/>
      <c r="TCN17" s="51"/>
      <c r="TCO17" s="51"/>
      <c r="TCP17" s="51"/>
      <c r="TCQ17" s="51"/>
      <c r="TCR17" s="51"/>
      <c r="TCS17" s="51"/>
      <c r="TCT17" s="51"/>
      <c r="TCU17" s="51"/>
      <c r="TCV17" s="51"/>
      <c r="TCW17" s="51"/>
      <c r="TCX17" s="51"/>
      <c r="TCY17" s="51"/>
      <c r="TCZ17" s="51"/>
      <c r="TDA17" s="51"/>
      <c r="TDB17" s="51"/>
      <c r="TDC17" s="51"/>
      <c r="TDD17" s="51"/>
      <c r="TDE17" s="51"/>
      <c r="TDF17" s="51"/>
      <c r="TDG17" s="51"/>
      <c r="TDH17" s="51"/>
      <c r="TDI17" s="51"/>
      <c r="TDJ17" s="51"/>
      <c r="TDK17" s="51"/>
      <c r="TDL17" s="51"/>
      <c r="TDM17" s="51"/>
      <c r="TDN17" s="51"/>
      <c r="TDO17" s="51"/>
      <c r="TDP17" s="51"/>
      <c r="TDQ17" s="51"/>
      <c r="TDR17" s="51"/>
      <c r="TDS17" s="51"/>
      <c r="TDT17" s="51"/>
      <c r="TDU17" s="51"/>
      <c r="TDV17" s="51"/>
      <c r="TDW17" s="51"/>
      <c r="TDX17" s="51"/>
      <c r="TDY17" s="51"/>
      <c r="TDZ17" s="51"/>
      <c r="TEA17" s="51"/>
      <c r="TEB17" s="51"/>
      <c r="TEC17" s="51"/>
      <c r="TED17" s="51"/>
      <c r="TEE17" s="51"/>
      <c r="TEF17" s="51"/>
      <c r="TEG17" s="51"/>
      <c r="TEH17" s="51"/>
      <c r="TEI17" s="51"/>
      <c r="TEJ17" s="51"/>
      <c r="TEK17" s="51"/>
      <c r="TEL17" s="51"/>
      <c r="TEM17" s="51"/>
      <c r="TEN17" s="51"/>
      <c r="TEO17" s="51"/>
      <c r="TEP17" s="51"/>
      <c r="TEQ17" s="51"/>
      <c r="TER17" s="51"/>
      <c r="TES17" s="51"/>
      <c r="TET17" s="51"/>
      <c r="TEU17" s="51"/>
      <c r="TEV17" s="51"/>
      <c r="TEW17" s="51"/>
      <c r="TEX17" s="51"/>
      <c r="TEY17" s="51"/>
      <c r="TEZ17" s="51"/>
      <c r="TFA17" s="51"/>
      <c r="TFB17" s="51"/>
      <c r="TFC17" s="51"/>
      <c r="TFD17" s="51"/>
      <c r="TFE17" s="51"/>
      <c r="TFF17" s="51"/>
      <c r="TFG17" s="51"/>
      <c r="TFH17" s="51"/>
      <c r="TFI17" s="51"/>
      <c r="TFJ17" s="51"/>
      <c r="TFK17" s="51"/>
      <c r="TFL17" s="51"/>
      <c r="TFM17" s="51"/>
      <c r="TFN17" s="51"/>
      <c r="TFO17" s="51"/>
      <c r="TFP17" s="51"/>
      <c r="TFQ17" s="51"/>
      <c r="TFR17" s="51"/>
      <c r="TFS17" s="51"/>
      <c r="TFT17" s="51"/>
      <c r="TFU17" s="51"/>
      <c r="TFV17" s="51"/>
      <c r="TFW17" s="51"/>
      <c r="TFX17" s="51"/>
      <c r="TFY17" s="51"/>
      <c r="TFZ17" s="51"/>
      <c r="TGA17" s="51"/>
      <c r="TGB17" s="51"/>
      <c r="TGC17" s="51"/>
      <c r="TGD17" s="51"/>
      <c r="TGE17" s="51"/>
      <c r="TGF17" s="51"/>
      <c r="TGG17" s="51"/>
      <c r="TGH17" s="51"/>
      <c r="TGI17" s="51"/>
      <c r="TGJ17" s="51"/>
      <c r="TGK17" s="51"/>
      <c r="TGL17" s="51"/>
      <c r="TGM17" s="51"/>
      <c r="TGN17" s="51"/>
      <c r="TGO17" s="51"/>
      <c r="TGP17" s="51"/>
      <c r="TGQ17" s="51"/>
      <c r="TGR17" s="51"/>
      <c r="TGS17" s="51"/>
      <c r="TGT17" s="51"/>
      <c r="TGU17" s="51"/>
      <c r="TGV17" s="51"/>
      <c r="TGW17" s="51"/>
      <c r="TGX17" s="51"/>
      <c r="TGY17" s="51"/>
      <c r="TGZ17" s="51"/>
      <c r="THA17" s="51"/>
      <c r="THB17" s="51"/>
      <c r="THC17" s="51"/>
      <c r="THD17" s="51"/>
      <c r="THE17" s="51"/>
      <c r="THF17" s="51"/>
      <c r="THG17" s="51"/>
      <c r="THH17" s="51"/>
      <c r="THI17" s="51"/>
      <c r="THJ17" s="51"/>
      <c r="THK17" s="51"/>
      <c r="THL17" s="51"/>
      <c r="THM17" s="51"/>
      <c r="THN17" s="51"/>
      <c r="THO17" s="51"/>
      <c r="THP17" s="51"/>
      <c r="THQ17" s="51"/>
      <c r="THR17" s="51"/>
      <c r="THS17" s="51"/>
      <c r="THT17" s="51"/>
      <c r="THU17" s="51"/>
      <c r="THV17" s="51"/>
      <c r="THW17" s="51"/>
      <c r="THX17" s="51"/>
      <c r="THY17" s="51"/>
      <c r="THZ17" s="51"/>
      <c r="TIA17" s="51"/>
      <c r="TIB17" s="51"/>
      <c r="TIC17" s="51"/>
      <c r="TID17" s="51"/>
      <c r="TIE17" s="51"/>
      <c r="TIF17" s="51"/>
      <c r="TIG17" s="51"/>
      <c r="TIH17" s="51"/>
      <c r="TII17" s="51"/>
      <c r="TIJ17" s="51"/>
      <c r="TIK17" s="51"/>
      <c r="TIL17" s="51"/>
      <c r="TIM17" s="51"/>
      <c r="TIN17" s="51"/>
      <c r="TIO17" s="51"/>
      <c r="TIP17" s="51"/>
      <c r="TIQ17" s="51"/>
      <c r="TIR17" s="51"/>
      <c r="TIS17" s="51"/>
      <c r="TIT17" s="51"/>
      <c r="TIU17" s="51"/>
      <c r="TIV17" s="51"/>
      <c r="TIW17" s="51"/>
      <c r="TIX17" s="51"/>
      <c r="TIY17" s="51"/>
      <c r="TIZ17" s="51"/>
      <c r="TJA17" s="51"/>
      <c r="TJB17" s="51"/>
      <c r="TJC17" s="51"/>
      <c r="TJD17" s="51"/>
      <c r="TJE17" s="51"/>
      <c r="TJF17" s="51"/>
      <c r="TJG17" s="51"/>
      <c r="TJH17" s="51"/>
      <c r="TJI17" s="51"/>
      <c r="TJJ17" s="51"/>
      <c r="TJK17" s="51"/>
      <c r="TJL17" s="51"/>
      <c r="TJM17" s="51"/>
      <c r="TJN17" s="51"/>
      <c r="TJO17" s="51"/>
      <c r="TJP17" s="51"/>
      <c r="TJQ17" s="51"/>
      <c r="TJR17" s="51"/>
      <c r="TJS17" s="51"/>
      <c r="TJT17" s="51"/>
      <c r="TJU17" s="51"/>
      <c r="TJV17" s="51"/>
      <c r="TJW17" s="51"/>
      <c r="TJX17" s="51"/>
      <c r="TJY17" s="51"/>
      <c r="TJZ17" s="51"/>
      <c r="TKA17" s="51"/>
      <c r="TKB17" s="51"/>
      <c r="TKC17" s="51"/>
      <c r="TKD17" s="51"/>
      <c r="TKE17" s="51"/>
      <c r="TKF17" s="51"/>
      <c r="TKG17" s="51"/>
      <c r="TKH17" s="51"/>
      <c r="TKI17" s="51"/>
      <c r="TKJ17" s="51"/>
      <c r="TKK17" s="51"/>
      <c r="TKL17" s="51"/>
      <c r="TKM17" s="51"/>
      <c r="TKN17" s="51"/>
      <c r="TKO17" s="51"/>
      <c r="TKP17" s="51"/>
      <c r="TKQ17" s="51"/>
      <c r="TKR17" s="51"/>
      <c r="TKS17" s="51"/>
      <c r="TKT17" s="51"/>
      <c r="TKU17" s="51"/>
      <c r="TKV17" s="51"/>
      <c r="TKW17" s="51"/>
      <c r="TKX17" s="51"/>
      <c r="TKY17" s="51"/>
      <c r="TKZ17" s="51"/>
      <c r="TLA17" s="51"/>
      <c r="TLB17" s="51"/>
      <c r="TLC17" s="51"/>
      <c r="TLD17" s="51"/>
      <c r="TLE17" s="51"/>
      <c r="TLF17" s="51"/>
      <c r="TLG17" s="51"/>
      <c r="TLH17" s="51"/>
      <c r="TLI17" s="51"/>
      <c r="TLJ17" s="51"/>
      <c r="TLK17" s="51"/>
      <c r="TLL17" s="51"/>
      <c r="TLM17" s="51"/>
      <c r="TLN17" s="51"/>
      <c r="TLO17" s="51"/>
      <c r="TLP17" s="51"/>
      <c r="TLQ17" s="51"/>
      <c r="TLR17" s="51"/>
      <c r="TLS17" s="51"/>
      <c r="TLT17" s="51"/>
      <c r="TLU17" s="51"/>
      <c r="TLV17" s="51"/>
      <c r="TLW17" s="51"/>
      <c r="TLX17" s="51"/>
      <c r="TLY17" s="51"/>
      <c r="TLZ17" s="51"/>
      <c r="TMA17" s="51"/>
      <c r="TMB17" s="51"/>
      <c r="TMC17" s="51"/>
      <c r="TMD17" s="51"/>
      <c r="TME17" s="51"/>
      <c r="TMF17" s="51"/>
      <c r="TMG17" s="51"/>
      <c r="TMH17" s="51"/>
      <c r="TMI17" s="51"/>
      <c r="TMJ17" s="51"/>
      <c r="TMK17" s="51"/>
      <c r="TML17" s="51"/>
      <c r="TMM17" s="51"/>
      <c r="TMN17" s="51"/>
      <c r="TMO17" s="51"/>
      <c r="TMP17" s="51"/>
      <c r="TMQ17" s="51"/>
      <c r="TMR17" s="51"/>
      <c r="TMS17" s="51"/>
      <c r="TMT17" s="51"/>
      <c r="TMU17" s="51"/>
      <c r="TMV17" s="51"/>
      <c r="TMW17" s="51"/>
      <c r="TMX17" s="51"/>
      <c r="TMY17" s="51"/>
      <c r="TMZ17" s="51"/>
      <c r="TNA17" s="51"/>
      <c r="TNB17" s="51"/>
      <c r="TNC17" s="51"/>
      <c r="TND17" s="51"/>
      <c r="TNE17" s="51"/>
      <c r="TNF17" s="51"/>
      <c r="TNG17" s="51"/>
      <c r="TNH17" s="51"/>
      <c r="TNI17" s="51"/>
      <c r="TNJ17" s="51"/>
      <c r="TNK17" s="51"/>
      <c r="TNL17" s="51"/>
      <c r="TNM17" s="51"/>
      <c r="TNN17" s="51"/>
      <c r="TNO17" s="51"/>
      <c r="TNP17" s="51"/>
      <c r="TNQ17" s="51"/>
      <c r="TNR17" s="51"/>
      <c r="TNS17" s="51"/>
      <c r="TNT17" s="51"/>
      <c r="TNU17" s="51"/>
      <c r="TNV17" s="51"/>
      <c r="TNW17" s="51"/>
      <c r="TNX17" s="51"/>
      <c r="TNY17" s="51"/>
      <c r="TNZ17" s="51"/>
      <c r="TOA17" s="51"/>
      <c r="TOB17" s="51"/>
      <c r="TOC17" s="51"/>
      <c r="TOD17" s="51"/>
      <c r="TOE17" s="51"/>
      <c r="TOF17" s="51"/>
      <c r="TOG17" s="51"/>
      <c r="TOH17" s="51"/>
      <c r="TOI17" s="51"/>
      <c r="TOJ17" s="51"/>
      <c r="TOK17" s="51"/>
      <c r="TOL17" s="51"/>
      <c r="TOM17" s="51"/>
      <c r="TON17" s="51"/>
      <c r="TOO17" s="51"/>
      <c r="TOP17" s="51"/>
      <c r="TOQ17" s="51"/>
      <c r="TOR17" s="51"/>
      <c r="TOS17" s="51"/>
      <c r="TOT17" s="51"/>
      <c r="TOU17" s="51"/>
      <c r="TOV17" s="51"/>
      <c r="TOW17" s="51"/>
      <c r="TOX17" s="51"/>
      <c r="TOY17" s="51"/>
      <c r="TOZ17" s="51"/>
      <c r="TPA17" s="51"/>
      <c r="TPB17" s="51"/>
      <c r="TPC17" s="51"/>
      <c r="TPD17" s="51"/>
      <c r="TPE17" s="51"/>
      <c r="TPF17" s="51"/>
      <c r="TPG17" s="51"/>
      <c r="TPH17" s="51"/>
      <c r="TPI17" s="51"/>
      <c r="TPJ17" s="51"/>
      <c r="TPK17" s="51"/>
      <c r="TPL17" s="51"/>
      <c r="TPM17" s="51"/>
      <c r="TPN17" s="51"/>
      <c r="TPO17" s="51"/>
      <c r="TPP17" s="51"/>
      <c r="TPQ17" s="51"/>
      <c r="TPR17" s="51"/>
      <c r="TPS17" s="51"/>
      <c r="TPT17" s="51"/>
      <c r="TPU17" s="51"/>
      <c r="TPV17" s="51"/>
      <c r="TPW17" s="51"/>
      <c r="TPX17" s="51"/>
      <c r="TPY17" s="51"/>
      <c r="TPZ17" s="51"/>
      <c r="TQA17" s="51"/>
      <c r="TQB17" s="51"/>
      <c r="TQC17" s="51"/>
      <c r="TQD17" s="51"/>
      <c r="TQE17" s="51"/>
      <c r="TQF17" s="51"/>
      <c r="TQG17" s="51"/>
      <c r="TQH17" s="51"/>
      <c r="TQI17" s="51"/>
      <c r="TQJ17" s="51"/>
      <c r="TQK17" s="51"/>
      <c r="TQL17" s="51"/>
      <c r="TQM17" s="51"/>
      <c r="TQN17" s="51"/>
      <c r="TQO17" s="51"/>
      <c r="TQP17" s="51"/>
      <c r="TQQ17" s="51"/>
      <c r="TQR17" s="51"/>
      <c r="TQS17" s="51"/>
      <c r="TQT17" s="51"/>
      <c r="TQU17" s="51"/>
      <c r="TQV17" s="51"/>
      <c r="TQW17" s="51"/>
      <c r="TQX17" s="51"/>
      <c r="TQY17" s="51"/>
      <c r="TQZ17" s="51"/>
      <c r="TRA17" s="51"/>
      <c r="TRB17" s="51"/>
      <c r="TRC17" s="51"/>
      <c r="TRD17" s="51"/>
      <c r="TRE17" s="51"/>
      <c r="TRF17" s="51"/>
      <c r="TRG17" s="51"/>
      <c r="TRH17" s="51"/>
      <c r="TRI17" s="51"/>
      <c r="TRJ17" s="51"/>
      <c r="TRK17" s="51"/>
      <c r="TRL17" s="51"/>
      <c r="TRM17" s="51"/>
      <c r="TRN17" s="51"/>
      <c r="TRO17" s="51"/>
      <c r="TRP17" s="51"/>
      <c r="TRQ17" s="51"/>
      <c r="TRR17" s="51"/>
      <c r="TRS17" s="51"/>
      <c r="TRT17" s="51"/>
      <c r="TRU17" s="51"/>
      <c r="TRV17" s="51"/>
      <c r="TRW17" s="51"/>
      <c r="TRX17" s="51"/>
      <c r="TRY17" s="51"/>
      <c r="TRZ17" s="51"/>
      <c r="TSA17" s="51"/>
      <c r="TSB17" s="51"/>
      <c r="TSC17" s="51"/>
      <c r="TSD17" s="51"/>
      <c r="TSE17" s="51"/>
      <c r="TSF17" s="51"/>
      <c r="TSG17" s="51"/>
      <c r="TSH17" s="51"/>
      <c r="TSI17" s="51"/>
      <c r="TSJ17" s="51"/>
      <c r="TSK17" s="51"/>
      <c r="TSL17" s="51"/>
      <c r="TSM17" s="51"/>
      <c r="TSN17" s="51"/>
      <c r="TSO17" s="51"/>
      <c r="TSP17" s="51"/>
      <c r="TSQ17" s="51"/>
      <c r="TSR17" s="51"/>
      <c r="TSS17" s="51"/>
      <c r="TST17" s="51"/>
      <c r="TSU17" s="51"/>
      <c r="TSV17" s="51"/>
      <c r="TSW17" s="51"/>
      <c r="TSX17" s="51"/>
      <c r="TSY17" s="51"/>
      <c r="TSZ17" s="51"/>
      <c r="TTA17" s="51"/>
      <c r="TTB17" s="51"/>
      <c r="TTC17" s="51"/>
      <c r="TTD17" s="51"/>
      <c r="TTE17" s="51"/>
      <c r="TTF17" s="51"/>
      <c r="TTG17" s="51"/>
      <c r="TTH17" s="51"/>
      <c r="TTI17" s="51"/>
      <c r="TTJ17" s="51"/>
      <c r="TTK17" s="51"/>
      <c r="TTL17" s="51"/>
      <c r="TTM17" s="51"/>
      <c r="TTN17" s="51"/>
      <c r="TTO17" s="51"/>
      <c r="TTP17" s="51"/>
      <c r="TTQ17" s="51"/>
      <c r="TTR17" s="51"/>
      <c r="TTS17" s="51"/>
      <c r="TTT17" s="51"/>
      <c r="TTU17" s="51"/>
      <c r="TTV17" s="51"/>
      <c r="TTW17" s="51"/>
      <c r="TTX17" s="51"/>
      <c r="TTY17" s="51"/>
      <c r="TTZ17" s="51"/>
      <c r="TUA17" s="51"/>
      <c r="TUB17" s="51"/>
      <c r="TUC17" s="51"/>
      <c r="TUD17" s="51"/>
      <c r="TUE17" s="51"/>
      <c r="TUF17" s="51"/>
      <c r="TUG17" s="51"/>
      <c r="TUH17" s="51"/>
      <c r="TUI17" s="51"/>
      <c r="TUJ17" s="51"/>
      <c r="TUK17" s="51"/>
      <c r="TUL17" s="51"/>
      <c r="TUM17" s="51"/>
      <c r="TUN17" s="51"/>
      <c r="TUO17" s="51"/>
      <c r="TUP17" s="51"/>
      <c r="TUQ17" s="51"/>
      <c r="TUR17" s="51"/>
      <c r="TUS17" s="51"/>
      <c r="TUT17" s="51"/>
      <c r="TUU17" s="51"/>
      <c r="TUV17" s="51"/>
      <c r="TUW17" s="51"/>
      <c r="TUX17" s="51"/>
      <c r="TUY17" s="51"/>
      <c r="TUZ17" s="51"/>
      <c r="TVA17" s="51"/>
      <c r="TVB17" s="51"/>
      <c r="TVC17" s="51"/>
      <c r="TVD17" s="51"/>
      <c r="TVE17" s="51"/>
      <c r="TVF17" s="51"/>
      <c r="TVG17" s="51"/>
      <c r="TVH17" s="51"/>
      <c r="TVI17" s="51"/>
      <c r="TVJ17" s="51"/>
      <c r="TVK17" s="51"/>
      <c r="TVL17" s="51"/>
      <c r="TVM17" s="51"/>
      <c r="TVN17" s="51"/>
      <c r="TVO17" s="51"/>
      <c r="TVP17" s="51"/>
      <c r="TVQ17" s="51"/>
      <c r="TVR17" s="51"/>
      <c r="TVS17" s="51"/>
      <c r="TVT17" s="51"/>
      <c r="TVU17" s="51"/>
      <c r="TVV17" s="51"/>
      <c r="TVW17" s="51"/>
      <c r="TVX17" s="51"/>
      <c r="TVY17" s="51"/>
      <c r="TVZ17" s="51"/>
      <c r="TWA17" s="51"/>
      <c r="TWB17" s="51"/>
      <c r="TWC17" s="51"/>
      <c r="TWD17" s="51"/>
      <c r="TWE17" s="51"/>
      <c r="TWF17" s="51"/>
      <c r="TWG17" s="51"/>
      <c r="TWH17" s="51"/>
      <c r="TWI17" s="51"/>
      <c r="TWJ17" s="51"/>
      <c r="TWK17" s="51"/>
      <c r="TWL17" s="51"/>
      <c r="TWM17" s="51"/>
      <c r="TWN17" s="51"/>
      <c r="TWO17" s="51"/>
      <c r="TWP17" s="51"/>
      <c r="TWQ17" s="51"/>
      <c r="TWR17" s="51"/>
      <c r="TWS17" s="51"/>
      <c r="TWT17" s="51"/>
      <c r="TWU17" s="51"/>
      <c r="TWV17" s="51"/>
      <c r="TWW17" s="51"/>
      <c r="TWX17" s="51"/>
      <c r="TWY17" s="51"/>
      <c r="TWZ17" s="51"/>
      <c r="TXA17" s="51"/>
      <c r="TXB17" s="51"/>
      <c r="TXC17" s="51"/>
      <c r="TXD17" s="51"/>
      <c r="TXE17" s="51"/>
      <c r="TXF17" s="51"/>
      <c r="TXG17" s="51"/>
      <c r="TXH17" s="51"/>
      <c r="TXI17" s="51"/>
      <c r="TXJ17" s="51"/>
      <c r="TXK17" s="51"/>
      <c r="TXL17" s="51"/>
      <c r="TXM17" s="51"/>
      <c r="TXN17" s="51"/>
      <c r="TXO17" s="51"/>
      <c r="TXP17" s="51"/>
      <c r="TXQ17" s="51"/>
      <c r="TXR17" s="51"/>
      <c r="TXS17" s="51"/>
      <c r="TXT17" s="51"/>
      <c r="TXU17" s="51"/>
      <c r="TXV17" s="51"/>
      <c r="TXW17" s="51"/>
      <c r="TXX17" s="51"/>
      <c r="TXY17" s="51"/>
      <c r="TXZ17" s="51"/>
      <c r="TYA17" s="51"/>
      <c r="TYB17" s="51"/>
      <c r="TYC17" s="51"/>
      <c r="TYD17" s="51"/>
      <c r="TYE17" s="51"/>
      <c r="TYF17" s="51"/>
      <c r="TYG17" s="51"/>
      <c r="TYH17" s="51"/>
      <c r="TYI17" s="51"/>
      <c r="TYJ17" s="51"/>
      <c r="TYK17" s="51"/>
      <c r="TYL17" s="51"/>
      <c r="TYM17" s="51"/>
      <c r="TYN17" s="51"/>
      <c r="TYO17" s="51"/>
      <c r="TYP17" s="51"/>
      <c r="TYQ17" s="51"/>
      <c r="TYR17" s="51"/>
      <c r="TYS17" s="51"/>
      <c r="TYT17" s="51"/>
      <c r="TYU17" s="51"/>
      <c r="TYV17" s="51"/>
      <c r="TYW17" s="51"/>
      <c r="TYX17" s="51"/>
      <c r="TYY17" s="51"/>
      <c r="TYZ17" s="51"/>
      <c r="TZA17" s="51"/>
      <c r="TZB17" s="51"/>
      <c r="TZC17" s="51"/>
      <c r="TZD17" s="51"/>
      <c r="TZE17" s="51"/>
      <c r="TZF17" s="51"/>
      <c r="TZG17" s="51"/>
      <c r="TZH17" s="51"/>
      <c r="TZI17" s="51"/>
      <c r="TZJ17" s="51"/>
      <c r="TZK17" s="51"/>
      <c r="TZL17" s="51"/>
      <c r="TZM17" s="51"/>
      <c r="TZN17" s="51"/>
      <c r="TZO17" s="51"/>
      <c r="TZP17" s="51"/>
      <c r="TZQ17" s="51"/>
      <c r="TZR17" s="51"/>
      <c r="TZS17" s="51"/>
      <c r="TZT17" s="51"/>
      <c r="TZU17" s="51"/>
      <c r="TZV17" s="51"/>
      <c r="TZW17" s="51"/>
      <c r="TZX17" s="51"/>
      <c r="TZY17" s="51"/>
      <c r="TZZ17" s="51"/>
      <c r="UAA17" s="51"/>
      <c r="UAB17" s="51"/>
      <c r="UAC17" s="51"/>
      <c r="UAD17" s="51"/>
      <c r="UAE17" s="51"/>
      <c r="UAF17" s="51"/>
      <c r="UAG17" s="51"/>
      <c r="UAH17" s="51"/>
      <c r="UAI17" s="51"/>
      <c r="UAJ17" s="51"/>
      <c r="UAK17" s="51"/>
      <c r="UAL17" s="51"/>
      <c r="UAM17" s="51"/>
      <c r="UAN17" s="51"/>
      <c r="UAO17" s="51"/>
      <c r="UAP17" s="51"/>
      <c r="UAQ17" s="51"/>
      <c r="UAR17" s="51"/>
      <c r="UAS17" s="51"/>
      <c r="UAT17" s="51"/>
      <c r="UAU17" s="51"/>
      <c r="UAV17" s="51"/>
      <c r="UAW17" s="51"/>
      <c r="UAX17" s="51"/>
      <c r="UAY17" s="51"/>
      <c r="UAZ17" s="51"/>
      <c r="UBA17" s="51"/>
      <c r="UBB17" s="51"/>
      <c r="UBC17" s="51"/>
      <c r="UBD17" s="51"/>
      <c r="UBE17" s="51"/>
      <c r="UBF17" s="51"/>
      <c r="UBG17" s="51"/>
      <c r="UBH17" s="51"/>
      <c r="UBI17" s="51"/>
      <c r="UBJ17" s="51"/>
      <c r="UBK17" s="51"/>
      <c r="UBL17" s="51"/>
      <c r="UBM17" s="51"/>
      <c r="UBN17" s="51"/>
      <c r="UBO17" s="51"/>
      <c r="UBP17" s="51"/>
      <c r="UBQ17" s="51"/>
      <c r="UBR17" s="51"/>
      <c r="UBS17" s="51"/>
      <c r="UBT17" s="51"/>
      <c r="UBU17" s="51"/>
      <c r="UBV17" s="51"/>
      <c r="UBW17" s="51"/>
      <c r="UBX17" s="51"/>
      <c r="UBY17" s="51"/>
      <c r="UBZ17" s="51"/>
      <c r="UCA17" s="51"/>
      <c r="UCB17" s="51"/>
      <c r="UCC17" s="51"/>
      <c r="UCD17" s="51"/>
      <c r="UCE17" s="51"/>
      <c r="UCF17" s="51"/>
      <c r="UCG17" s="51"/>
      <c r="UCH17" s="51"/>
      <c r="UCI17" s="51"/>
      <c r="UCJ17" s="51"/>
      <c r="UCK17" s="51"/>
      <c r="UCL17" s="51"/>
      <c r="UCM17" s="51"/>
      <c r="UCN17" s="51"/>
      <c r="UCO17" s="51"/>
      <c r="UCP17" s="51"/>
      <c r="UCQ17" s="51"/>
      <c r="UCR17" s="51"/>
      <c r="UCS17" s="51"/>
      <c r="UCT17" s="51"/>
      <c r="UCU17" s="51"/>
      <c r="UCV17" s="51"/>
      <c r="UCW17" s="51"/>
      <c r="UCX17" s="51"/>
      <c r="UCY17" s="51"/>
      <c r="UCZ17" s="51"/>
      <c r="UDA17" s="51"/>
      <c r="UDB17" s="51"/>
      <c r="UDC17" s="51"/>
      <c r="UDD17" s="51"/>
      <c r="UDE17" s="51"/>
      <c r="UDF17" s="51"/>
      <c r="UDG17" s="51"/>
      <c r="UDH17" s="51"/>
      <c r="UDI17" s="51"/>
      <c r="UDJ17" s="51"/>
      <c r="UDK17" s="51"/>
      <c r="UDL17" s="51"/>
      <c r="UDM17" s="51"/>
      <c r="UDN17" s="51"/>
      <c r="UDO17" s="51"/>
      <c r="UDP17" s="51"/>
      <c r="UDQ17" s="51"/>
      <c r="UDR17" s="51"/>
      <c r="UDS17" s="51"/>
      <c r="UDT17" s="51"/>
      <c r="UDU17" s="51"/>
      <c r="UDV17" s="51"/>
      <c r="UDW17" s="51"/>
      <c r="UDX17" s="51"/>
      <c r="UDY17" s="51"/>
      <c r="UDZ17" s="51"/>
      <c r="UEA17" s="51"/>
      <c r="UEB17" s="51"/>
      <c r="UEC17" s="51"/>
      <c r="UED17" s="51"/>
      <c r="UEE17" s="51"/>
      <c r="UEF17" s="51"/>
      <c r="UEG17" s="51"/>
      <c r="UEH17" s="51"/>
      <c r="UEI17" s="51"/>
      <c r="UEJ17" s="51"/>
      <c r="UEK17" s="51"/>
      <c r="UEL17" s="51"/>
      <c r="UEM17" s="51"/>
      <c r="UEN17" s="51"/>
      <c r="UEO17" s="51"/>
      <c r="UEP17" s="51"/>
      <c r="UEQ17" s="51"/>
      <c r="UER17" s="51"/>
      <c r="UES17" s="51"/>
      <c r="UET17" s="51"/>
      <c r="UEU17" s="51"/>
      <c r="UEV17" s="51"/>
      <c r="UEW17" s="51"/>
      <c r="UEX17" s="51"/>
      <c r="UEY17" s="51"/>
      <c r="UEZ17" s="51"/>
      <c r="UFA17" s="51"/>
      <c r="UFB17" s="51"/>
      <c r="UFC17" s="51"/>
      <c r="UFD17" s="51"/>
      <c r="UFE17" s="51"/>
      <c r="UFF17" s="51"/>
      <c r="UFG17" s="51"/>
      <c r="UFH17" s="51"/>
      <c r="UFI17" s="51"/>
      <c r="UFJ17" s="51"/>
      <c r="UFK17" s="51"/>
      <c r="UFL17" s="51"/>
      <c r="UFM17" s="51"/>
      <c r="UFN17" s="51"/>
      <c r="UFO17" s="51"/>
      <c r="UFP17" s="51"/>
      <c r="UFQ17" s="51"/>
      <c r="UFR17" s="51"/>
      <c r="UFS17" s="51"/>
      <c r="UFT17" s="51"/>
      <c r="UFU17" s="51"/>
      <c r="UFV17" s="51"/>
      <c r="UFW17" s="51"/>
      <c r="UFX17" s="51"/>
      <c r="UFY17" s="51"/>
      <c r="UFZ17" s="51"/>
      <c r="UGA17" s="51"/>
      <c r="UGB17" s="51"/>
      <c r="UGC17" s="51"/>
      <c r="UGD17" s="51"/>
      <c r="UGE17" s="51"/>
      <c r="UGF17" s="51"/>
      <c r="UGG17" s="51"/>
      <c r="UGH17" s="51"/>
      <c r="UGI17" s="51"/>
      <c r="UGJ17" s="51"/>
      <c r="UGK17" s="51"/>
      <c r="UGL17" s="51"/>
      <c r="UGM17" s="51"/>
      <c r="UGN17" s="51"/>
      <c r="UGO17" s="51"/>
      <c r="UGP17" s="51"/>
      <c r="UGQ17" s="51"/>
      <c r="UGR17" s="51"/>
      <c r="UGS17" s="51"/>
      <c r="UGT17" s="51"/>
      <c r="UGU17" s="51"/>
      <c r="UGV17" s="51"/>
      <c r="UGW17" s="51"/>
      <c r="UGX17" s="51"/>
      <c r="UGY17" s="51"/>
      <c r="UGZ17" s="51"/>
      <c r="UHA17" s="51"/>
      <c r="UHB17" s="51"/>
      <c r="UHC17" s="51"/>
      <c r="UHD17" s="51"/>
      <c r="UHE17" s="51"/>
      <c r="UHF17" s="51"/>
      <c r="UHG17" s="51"/>
      <c r="UHH17" s="51"/>
      <c r="UHI17" s="51"/>
      <c r="UHJ17" s="51"/>
      <c r="UHK17" s="51"/>
      <c r="UHL17" s="51"/>
      <c r="UHM17" s="51"/>
      <c r="UHN17" s="51"/>
      <c r="UHO17" s="51"/>
      <c r="UHP17" s="51"/>
      <c r="UHQ17" s="51"/>
      <c r="UHR17" s="51"/>
      <c r="UHS17" s="51"/>
      <c r="UHT17" s="51"/>
      <c r="UHU17" s="51"/>
      <c r="UHV17" s="51"/>
      <c r="UHW17" s="51"/>
      <c r="UHX17" s="51"/>
      <c r="UHY17" s="51"/>
      <c r="UHZ17" s="51"/>
      <c r="UIA17" s="51"/>
      <c r="UIB17" s="51"/>
      <c r="UIC17" s="51"/>
      <c r="UID17" s="51"/>
      <c r="UIE17" s="51"/>
      <c r="UIF17" s="51"/>
      <c r="UIG17" s="51"/>
      <c r="UIH17" s="51"/>
      <c r="UII17" s="51"/>
      <c r="UIJ17" s="51"/>
      <c r="UIK17" s="51"/>
      <c r="UIL17" s="51"/>
      <c r="UIM17" s="51"/>
      <c r="UIN17" s="51"/>
      <c r="UIO17" s="51"/>
      <c r="UIP17" s="51"/>
      <c r="UIQ17" s="51"/>
      <c r="UIR17" s="51"/>
      <c r="UIS17" s="51"/>
      <c r="UIT17" s="51"/>
      <c r="UIU17" s="51"/>
      <c r="UIV17" s="51"/>
      <c r="UIW17" s="51"/>
      <c r="UIX17" s="51"/>
      <c r="UIY17" s="51"/>
      <c r="UIZ17" s="51"/>
      <c r="UJA17" s="51"/>
      <c r="UJB17" s="51"/>
      <c r="UJC17" s="51"/>
      <c r="UJD17" s="51"/>
      <c r="UJE17" s="51"/>
      <c r="UJF17" s="51"/>
      <c r="UJG17" s="51"/>
      <c r="UJH17" s="51"/>
      <c r="UJI17" s="51"/>
      <c r="UJJ17" s="51"/>
      <c r="UJK17" s="51"/>
      <c r="UJL17" s="51"/>
      <c r="UJM17" s="51"/>
      <c r="UJN17" s="51"/>
      <c r="UJO17" s="51"/>
      <c r="UJP17" s="51"/>
      <c r="UJQ17" s="51"/>
      <c r="UJR17" s="51"/>
      <c r="UJS17" s="51"/>
      <c r="UJT17" s="51"/>
      <c r="UJU17" s="51"/>
      <c r="UJV17" s="51"/>
      <c r="UJW17" s="51"/>
      <c r="UJX17" s="51"/>
      <c r="UJY17" s="51"/>
      <c r="UJZ17" s="51"/>
      <c r="UKA17" s="51"/>
      <c r="UKB17" s="51"/>
      <c r="UKC17" s="51"/>
      <c r="UKD17" s="51"/>
      <c r="UKE17" s="51"/>
      <c r="UKF17" s="51"/>
      <c r="UKG17" s="51"/>
      <c r="UKH17" s="51"/>
      <c r="UKI17" s="51"/>
      <c r="UKJ17" s="51"/>
      <c r="UKK17" s="51"/>
      <c r="UKL17" s="51"/>
      <c r="UKM17" s="51"/>
      <c r="UKN17" s="51"/>
      <c r="UKO17" s="51"/>
      <c r="UKP17" s="51"/>
      <c r="UKQ17" s="51"/>
      <c r="UKR17" s="51"/>
      <c r="UKS17" s="51"/>
      <c r="UKT17" s="51"/>
      <c r="UKU17" s="51"/>
      <c r="UKV17" s="51"/>
      <c r="UKW17" s="51"/>
      <c r="UKX17" s="51"/>
      <c r="UKY17" s="51"/>
      <c r="UKZ17" s="51"/>
      <c r="ULA17" s="51"/>
      <c r="ULB17" s="51"/>
      <c r="ULC17" s="51"/>
      <c r="ULD17" s="51"/>
      <c r="ULE17" s="51"/>
      <c r="ULF17" s="51"/>
      <c r="ULG17" s="51"/>
      <c r="ULH17" s="51"/>
      <c r="ULI17" s="51"/>
      <c r="ULJ17" s="51"/>
      <c r="ULK17" s="51"/>
      <c r="ULL17" s="51"/>
      <c r="ULM17" s="51"/>
      <c r="ULN17" s="51"/>
      <c r="ULO17" s="51"/>
      <c r="ULP17" s="51"/>
      <c r="ULQ17" s="51"/>
      <c r="ULR17" s="51"/>
      <c r="ULS17" s="51"/>
      <c r="ULT17" s="51"/>
      <c r="ULU17" s="51"/>
      <c r="ULV17" s="51"/>
      <c r="ULW17" s="51"/>
      <c r="ULX17" s="51"/>
      <c r="ULY17" s="51"/>
      <c r="ULZ17" s="51"/>
      <c r="UMA17" s="51"/>
      <c r="UMB17" s="51"/>
      <c r="UMC17" s="51"/>
      <c r="UMD17" s="51"/>
      <c r="UME17" s="51"/>
      <c r="UMF17" s="51"/>
      <c r="UMG17" s="51"/>
      <c r="UMH17" s="51"/>
      <c r="UMI17" s="51"/>
      <c r="UMJ17" s="51"/>
      <c r="UMK17" s="51"/>
      <c r="UML17" s="51"/>
      <c r="UMM17" s="51"/>
      <c r="UMN17" s="51"/>
      <c r="UMO17" s="51"/>
      <c r="UMP17" s="51"/>
      <c r="UMQ17" s="51"/>
      <c r="UMR17" s="51"/>
      <c r="UMS17" s="51"/>
      <c r="UMT17" s="51"/>
      <c r="UMU17" s="51"/>
      <c r="UMV17" s="51"/>
      <c r="UMW17" s="51"/>
      <c r="UMX17" s="51"/>
      <c r="UMY17" s="51"/>
      <c r="UMZ17" s="51"/>
      <c r="UNA17" s="51"/>
      <c r="UNB17" s="51"/>
      <c r="UNC17" s="51"/>
      <c r="UND17" s="51"/>
      <c r="UNE17" s="51"/>
      <c r="UNF17" s="51"/>
      <c r="UNG17" s="51"/>
      <c r="UNH17" s="51"/>
      <c r="UNI17" s="51"/>
      <c r="UNJ17" s="51"/>
      <c r="UNK17" s="51"/>
      <c r="UNL17" s="51"/>
      <c r="UNM17" s="51"/>
      <c r="UNN17" s="51"/>
      <c r="UNO17" s="51"/>
      <c r="UNP17" s="51"/>
      <c r="UNQ17" s="51"/>
      <c r="UNR17" s="51"/>
      <c r="UNS17" s="51"/>
      <c r="UNT17" s="51"/>
      <c r="UNU17" s="51"/>
      <c r="UNV17" s="51"/>
      <c r="UNW17" s="51"/>
      <c r="UNX17" s="51"/>
      <c r="UNY17" s="51"/>
      <c r="UNZ17" s="51"/>
      <c r="UOA17" s="51"/>
      <c r="UOB17" s="51"/>
      <c r="UOC17" s="51"/>
      <c r="UOD17" s="51"/>
      <c r="UOE17" s="51"/>
      <c r="UOF17" s="51"/>
      <c r="UOG17" s="51"/>
      <c r="UOH17" s="51"/>
      <c r="UOI17" s="51"/>
      <c r="UOJ17" s="51"/>
      <c r="UOK17" s="51"/>
      <c r="UOL17" s="51"/>
      <c r="UOM17" s="51"/>
      <c r="UON17" s="51"/>
      <c r="UOO17" s="51"/>
      <c r="UOP17" s="51"/>
      <c r="UOQ17" s="51"/>
      <c r="UOR17" s="51"/>
      <c r="UOS17" s="51"/>
      <c r="UOT17" s="51"/>
      <c r="UOU17" s="51"/>
      <c r="UOV17" s="51"/>
      <c r="UOW17" s="51"/>
      <c r="UOX17" s="51"/>
      <c r="UOY17" s="51"/>
      <c r="UOZ17" s="51"/>
      <c r="UPA17" s="51"/>
      <c r="UPB17" s="51"/>
      <c r="UPC17" s="51"/>
      <c r="UPD17" s="51"/>
      <c r="UPE17" s="51"/>
      <c r="UPF17" s="51"/>
      <c r="UPG17" s="51"/>
      <c r="UPH17" s="51"/>
      <c r="UPI17" s="51"/>
      <c r="UPJ17" s="51"/>
      <c r="UPK17" s="51"/>
      <c r="UPL17" s="51"/>
      <c r="UPM17" s="51"/>
      <c r="UPN17" s="51"/>
      <c r="UPO17" s="51"/>
      <c r="UPP17" s="51"/>
      <c r="UPQ17" s="51"/>
      <c r="UPR17" s="51"/>
      <c r="UPS17" s="51"/>
      <c r="UPT17" s="51"/>
      <c r="UPU17" s="51"/>
      <c r="UPV17" s="51"/>
      <c r="UPW17" s="51"/>
      <c r="UPX17" s="51"/>
      <c r="UPY17" s="51"/>
      <c r="UPZ17" s="51"/>
      <c r="UQA17" s="51"/>
      <c r="UQB17" s="51"/>
      <c r="UQC17" s="51"/>
      <c r="UQD17" s="51"/>
      <c r="UQE17" s="51"/>
      <c r="UQF17" s="51"/>
      <c r="UQG17" s="51"/>
      <c r="UQH17" s="51"/>
      <c r="UQI17" s="51"/>
      <c r="UQJ17" s="51"/>
      <c r="UQK17" s="51"/>
      <c r="UQL17" s="51"/>
      <c r="UQM17" s="51"/>
      <c r="UQN17" s="51"/>
      <c r="UQO17" s="51"/>
      <c r="UQP17" s="51"/>
      <c r="UQQ17" s="51"/>
      <c r="UQR17" s="51"/>
      <c r="UQS17" s="51"/>
      <c r="UQT17" s="51"/>
      <c r="UQU17" s="51"/>
      <c r="UQV17" s="51"/>
      <c r="UQW17" s="51"/>
      <c r="UQX17" s="51"/>
      <c r="UQY17" s="51"/>
      <c r="UQZ17" s="51"/>
      <c r="URA17" s="51"/>
      <c r="URB17" s="51"/>
      <c r="URC17" s="51"/>
      <c r="URD17" s="51"/>
      <c r="URE17" s="51"/>
      <c r="URF17" s="51"/>
      <c r="URG17" s="51"/>
      <c r="URH17" s="51"/>
      <c r="URI17" s="51"/>
      <c r="URJ17" s="51"/>
      <c r="URK17" s="51"/>
      <c r="URL17" s="51"/>
      <c r="URM17" s="51"/>
      <c r="URN17" s="51"/>
      <c r="URO17" s="51"/>
      <c r="URP17" s="51"/>
      <c r="URQ17" s="51"/>
      <c r="URR17" s="51"/>
      <c r="URS17" s="51"/>
      <c r="URT17" s="51"/>
      <c r="URU17" s="51"/>
      <c r="URV17" s="51"/>
      <c r="URW17" s="51"/>
      <c r="URX17" s="51"/>
      <c r="URY17" s="51"/>
      <c r="URZ17" s="51"/>
      <c r="USA17" s="51"/>
      <c r="USB17" s="51"/>
      <c r="USC17" s="51"/>
      <c r="USD17" s="51"/>
      <c r="USE17" s="51"/>
      <c r="USF17" s="51"/>
      <c r="USG17" s="51"/>
      <c r="USH17" s="51"/>
      <c r="USI17" s="51"/>
      <c r="USJ17" s="51"/>
      <c r="USK17" s="51"/>
      <c r="USL17" s="51"/>
      <c r="USM17" s="51"/>
      <c r="USN17" s="51"/>
      <c r="USO17" s="51"/>
      <c r="USP17" s="51"/>
      <c r="USQ17" s="51"/>
      <c r="USR17" s="51"/>
      <c r="USS17" s="51"/>
      <c r="UST17" s="51"/>
      <c r="USU17" s="51"/>
      <c r="USV17" s="51"/>
      <c r="USW17" s="51"/>
      <c r="USX17" s="51"/>
      <c r="USY17" s="51"/>
      <c r="USZ17" s="51"/>
      <c r="UTA17" s="51"/>
      <c r="UTB17" s="51"/>
      <c r="UTC17" s="51"/>
      <c r="UTD17" s="51"/>
      <c r="UTE17" s="51"/>
      <c r="UTF17" s="51"/>
      <c r="UTG17" s="51"/>
      <c r="UTH17" s="51"/>
      <c r="UTI17" s="51"/>
      <c r="UTJ17" s="51"/>
      <c r="UTK17" s="51"/>
      <c r="UTL17" s="51"/>
      <c r="UTM17" s="51"/>
      <c r="UTN17" s="51"/>
      <c r="UTO17" s="51"/>
      <c r="UTP17" s="51"/>
      <c r="UTQ17" s="51"/>
      <c r="UTR17" s="51"/>
      <c r="UTS17" s="51"/>
      <c r="UTT17" s="51"/>
      <c r="UTU17" s="51"/>
      <c r="UTV17" s="51"/>
      <c r="UTW17" s="51"/>
      <c r="UTX17" s="51"/>
      <c r="UTY17" s="51"/>
      <c r="UTZ17" s="51"/>
      <c r="UUA17" s="51"/>
      <c r="UUB17" s="51"/>
      <c r="UUC17" s="51"/>
      <c r="UUD17" s="51"/>
      <c r="UUE17" s="51"/>
      <c r="UUF17" s="51"/>
      <c r="UUG17" s="51"/>
      <c r="UUH17" s="51"/>
      <c r="UUI17" s="51"/>
      <c r="UUJ17" s="51"/>
      <c r="UUK17" s="51"/>
      <c r="UUL17" s="51"/>
      <c r="UUM17" s="51"/>
      <c r="UUN17" s="51"/>
      <c r="UUO17" s="51"/>
      <c r="UUP17" s="51"/>
      <c r="UUQ17" s="51"/>
      <c r="UUR17" s="51"/>
      <c r="UUS17" s="51"/>
      <c r="UUT17" s="51"/>
      <c r="UUU17" s="51"/>
      <c r="UUV17" s="51"/>
      <c r="UUW17" s="51"/>
      <c r="UUX17" s="51"/>
      <c r="UUY17" s="51"/>
      <c r="UUZ17" s="51"/>
      <c r="UVA17" s="51"/>
      <c r="UVB17" s="51"/>
      <c r="UVC17" s="51"/>
      <c r="UVD17" s="51"/>
      <c r="UVE17" s="51"/>
      <c r="UVF17" s="51"/>
      <c r="UVG17" s="51"/>
      <c r="UVH17" s="51"/>
      <c r="UVI17" s="51"/>
      <c r="UVJ17" s="51"/>
      <c r="UVK17" s="51"/>
      <c r="UVL17" s="51"/>
      <c r="UVM17" s="51"/>
      <c r="UVN17" s="51"/>
      <c r="UVO17" s="51"/>
      <c r="UVP17" s="51"/>
      <c r="UVQ17" s="51"/>
      <c r="UVR17" s="51"/>
      <c r="UVS17" s="51"/>
      <c r="UVT17" s="51"/>
      <c r="UVU17" s="51"/>
      <c r="UVV17" s="51"/>
      <c r="UVW17" s="51"/>
      <c r="UVX17" s="51"/>
      <c r="UVY17" s="51"/>
      <c r="UVZ17" s="51"/>
      <c r="UWA17" s="51"/>
      <c r="UWB17" s="51"/>
      <c r="UWC17" s="51"/>
      <c r="UWD17" s="51"/>
      <c r="UWE17" s="51"/>
      <c r="UWF17" s="51"/>
      <c r="UWG17" s="51"/>
      <c r="UWH17" s="51"/>
      <c r="UWI17" s="51"/>
      <c r="UWJ17" s="51"/>
      <c r="UWK17" s="51"/>
      <c r="UWL17" s="51"/>
      <c r="UWM17" s="51"/>
      <c r="UWN17" s="51"/>
      <c r="UWO17" s="51"/>
      <c r="UWP17" s="51"/>
      <c r="UWQ17" s="51"/>
      <c r="UWR17" s="51"/>
      <c r="UWS17" s="51"/>
      <c r="UWT17" s="51"/>
      <c r="UWU17" s="51"/>
      <c r="UWV17" s="51"/>
      <c r="UWW17" s="51"/>
      <c r="UWX17" s="51"/>
      <c r="UWY17" s="51"/>
      <c r="UWZ17" s="51"/>
      <c r="UXA17" s="51"/>
      <c r="UXB17" s="51"/>
      <c r="UXC17" s="51"/>
      <c r="UXD17" s="51"/>
      <c r="UXE17" s="51"/>
      <c r="UXF17" s="51"/>
      <c r="UXG17" s="51"/>
      <c r="UXH17" s="51"/>
      <c r="UXI17" s="51"/>
      <c r="UXJ17" s="51"/>
      <c r="UXK17" s="51"/>
      <c r="UXL17" s="51"/>
      <c r="UXM17" s="51"/>
      <c r="UXN17" s="51"/>
      <c r="UXO17" s="51"/>
      <c r="UXP17" s="51"/>
      <c r="UXQ17" s="51"/>
      <c r="UXR17" s="51"/>
      <c r="UXS17" s="51"/>
      <c r="UXT17" s="51"/>
      <c r="UXU17" s="51"/>
      <c r="UXV17" s="51"/>
      <c r="UXW17" s="51"/>
      <c r="UXX17" s="51"/>
      <c r="UXY17" s="51"/>
      <c r="UXZ17" s="51"/>
      <c r="UYA17" s="51"/>
      <c r="UYB17" s="51"/>
      <c r="UYC17" s="51"/>
      <c r="UYD17" s="51"/>
      <c r="UYE17" s="51"/>
      <c r="UYF17" s="51"/>
      <c r="UYG17" s="51"/>
      <c r="UYH17" s="51"/>
      <c r="UYI17" s="51"/>
      <c r="UYJ17" s="51"/>
      <c r="UYK17" s="51"/>
      <c r="UYL17" s="51"/>
      <c r="UYM17" s="51"/>
      <c r="UYN17" s="51"/>
      <c r="UYO17" s="51"/>
      <c r="UYP17" s="51"/>
      <c r="UYQ17" s="51"/>
      <c r="UYR17" s="51"/>
      <c r="UYS17" s="51"/>
      <c r="UYT17" s="51"/>
      <c r="UYU17" s="51"/>
      <c r="UYV17" s="51"/>
      <c r="UYW17" s="51"/>
      <c r="UYX17" s="51"/>
      <c r="UYY17" s="51"/>
      <c r="UYZ17" s="51"/>
      <c r="UZA17" s="51"/>
      <c r="UZB17" s="51"/>
      <c r="UZC17" s="51"/>
      <c r="UZD17" s="51"/>
      <c r="UZE17" s="51"/>
      <c r="UZF17" s="51"/>
      <c r="UZG17" s="51"/>
      <c r="UZH17" s="51"/>
      <c r="UZI17" s="51"/>
      <c r="UZJ17" s="51"/>
      <c r="UZK17" s="51"/>
      <c r="UZL17" s="51"/>
      <c r="UZM17" s="51"/>
      <c r="UZN17" s="51"/>
      <c r="UZO17" s="51"/>
      <c r="UZP17" s="51"/>
      <c r="UZQ17" s="51"/>
      <c r="UZR17" s="51"/>
      <c r="UZS17" s="51"/>
      <c r="UZT17" s="51"/>
      <c r="UZU17" s="51"/>
      <c r="UZV17" s="51"/>
      <c r="UZW17" s="51"/>
      <c r="UZX17" s="51"/>
      <c r="UZY17" s="51"/>
      <c r="UZZ17" s="51"/>
      <c r="VAA17" s="51"/>
      <c r="VAB17" s="51"/>
      <c r="VAC17" s="51"/>
      <c r="VAD17" s="51"/>
      <c r="VAE17" s="51"/>
      <c r="VAF17" s="51"/>
      <c r="VAG17" s="51"/>
      <c r="VAH17" s="51"/>
      <c r="VAI17" s="51"/>
      <c r="VAJ17" s="51"/>
      <c r="VAK17" s="51"/>
      <c r="VAL17" s="51"/>
      <c r="VAM17" s="51"/>
      <c r="VAN17" s="51"/>
      <c r="VAO17" s="51"/>
      <c r="VAP17" s="51"/>
      <c r="VAQ17" s="51"/>
      <c r="VAR17" s="51"/>
      <c r="VAS17" s="51"/>
      <c r="VAT17" s="51"/>
      <c r="VAU17" s="51"/>
      <c r="VAV17" s="51"/>
      <c r="VAW17" s="51"/>
      <c r="VAX17" s="51"/>
      <c r="VAY17" s="51"/>
      <c r="VAZ17" s="51"/>
      <c r="VBA17" s="51"/>
      <c r="VBB17" s="51"/>
      <c r="VBC17" s="51"/>
      <c r="VBD17" s="51"/>
      <c r="VBE17" s="51"/>
      <c r="VBF17" s="51"/>
      <c r="VBG17" s="51"/>
      <c r="VBH17" s="51"/>
      <c r="VBI17" s="51"/>
      <c r="VBJ17" s="51"/>
      <c r="VBK17" s="51"/>
      <c r="VBL17" s="51"/>
      <c r="VBM17" s="51"/>
      <c r="VBN17" s="51"/>
      <c r="VBO17" s="51"/>
      <c r="VBP17" s="51"/>
      <c r="VBQ17" s="51"/>
      <c r="VBR17" s="51"/>
      <c r="VBS17" s="51"/>
      <c r="VBT17" s="51"/>
      <c r="VBU17" s="51"/>
      <c r="VBV17" s="51"/>
      <c r="VBW17" s="51"/>
      <c r="VBX17" s="51"/>
      <c r="VBY17" s="51"/>
      <c r="VBZ17" s="51"/>
      <c r="VCA17" s="51"/>
      <c r="VCB17" s="51"/>
      <c r="VCC17" s="51"/>
      <c r="VCD17" s="51"/>
      <c r="VCE17" s="51"/>
      <c r="VCF17" s="51"/>
      <c r="VCG17" s="51"/>
      <c r="VCH17" s="51"/>
      <c r="VCI17" s="51"/>
      <c r="VCJ17" s="51"/>
      <c r="VCK17" s="51"/>
      <c r="VCL17" s="51"/>
      <c r="VCM17" s="51"/>
      <c r="VCN17" s="51"/>
      <c r="VCO17" s="51"/>
      <c r="VCP17" s="51"/>
      <c r="VCQ17" s="51"/>
      <c r="VCR17" s="51"/>
      <c r="VCS17" s="51"/>
      <c r="VCT17" s="51"/>
      <c r="VCU17" s="51"/>
      <c r="VCV17" s="51"/>
      <c r="VCW17" s="51"/>
      <c r="VCX17" s="51"/>
      <c r="VCY17" s="51"/>
      <c r="VCZ17" s="51"/>
      <c r="VDA17" s="51"/>
      <c r="VDB17" s="51"/>
      <c r="VDC17" s="51"/>
      <c r="VDD17" s="51"/>
      <c r="VDE17" s="51"/>
      <c r="VDF17" s="51"/>
      <c r="VDG17" s="51"/>
      <c r="VDH17" s="51"/>
      <c r="VDI17" s="51"/>
      <c r="VDJ17" s="51"/>
      <c r="VDK17" s="51"/>
      <c r="VDL17" s="51"/>
      <c r="VDM17" s="51"/>
      <c r="VDN17" s="51"/>
      <c r="VDO17" s="51"/>
      <c r="VDP17" s="51"/>
      <c r="VDQ17" s="51"/>
      <c r="VDR17" s="51"/>
      <c r="VDS17" s="51"/>
      <c r="VDT17" s="51"/>
      <c r="VDU17" s="51"/>
      <c r="VDV17" s="51"/>
      <c r="VDW17" s="51"/>
      <c r="VDX17" s="51"/>
      <c r="VDY17" s="51"/>
      <c r="VDZ17" s="51"/>
      <c r="VEA17" s="51"/>
      <c r="VEB17" s="51"/>
      <c r="VEC17" s="51"/>
      <c r="VED17" s="51"/>
      <c r="VEE17" s="51"/>
      <c r="VEF17" s="51"/>
      <c r="VEG17" s="51"/>
      <c r="VEH17" s="51"/>
      <c r="VEI17" s="51"/>
      <c r="VEJ17" s="51"/>
      <c r="VEK17" s="51"/>
      <c r="VEL17" s="51"/>
      <c r="VEM17" s="51"/>
      <c r="VEN17" s="51"/>
      <c r="VEO17" s="51"/>
      <c r="VEP17" s="51"/>
      <c r="VEQ17" s="51"/>
      <c r="VER17" s="51"/>
      <c r="VES17" s="51"/>
      <c r="VET17" s="51"/>
      <c r="VEU17" s="51"/>
      <c r="VEV17" s="51"/>
      <c r="VEW17" s="51"/>
      <c r="VEX17" s="51"/>
      <c r="VEY17" s="51"/>
      <c r="VEZ17" s="51"/>
      <c r="VFA17" s="51"/>
      <c r="VFB17" s="51"/>
      <c r="VFC17" s="51"/>
      <c r="VFD17" s="51"/>
      <c r="VFE17" s="51"/>
      <c r="VFF17" s="51"/>
      <c r="VFG17" s="51"/>
      <c r="VFH17" s="51"/>
      <c r="VFI17" s="51"/>
      <c r="VFJ17" s="51"/>
      <c r="VFK17" s="51"/>
      <c r="VFL17" s="51"/>
      <c r="VFM17" s="51"/>
      <c r="VFN17" s="51"/>
      <c r="VFO17" s="51"/>
      <c r="VFP17" s="51"/>
      <c r="VFQ17" s="51"/>
      <c r="VFR17" s="51"/>
      <c r="VFS17" s="51"/>
      <c r="VFT17" s="51"/>
      <c r="VFU17" s="51"/>
      <c r="VFV17" s="51"/>
      <c r="VFW17" s="51"/>
      <c r="VFX17" s="51"/>
      <c r="VFY17" s="51"/>
      <c r="VFZ17" s="51"/>
      <c r="VGA17" s="51"/>
      <c r="VGB17" s="51"/>
      <c r="VGC17" s="51"/>
      <c r="VGD17" s="51"/>
      <c r="VGE17" s="51"/>
      <c r="VGF17" s="51"/>
      <c r="VGG17" s="51"/>
      <c r="VGH17" s="51"/>
      <c r="VGI17" s="51"/>
      <c r="VGJ17" s="51"/>
      <c r="VGK17" s="51"/>
      <c r="VGL17" s="51"/>
      <c r="VGM17" s="51"/>
      <c r="VGN17" s="51"/>
      <c r="VGO17" s="51"/>
      <c r="VGP17" s="51"/>
      <c r="VGQ17" s="51"/>
      <c r="VGR17" s="51"/>
      <c r="VGS17" s="51"/>
      <c r="VGT17" s="51"/>
      <c r="VGU17" s="51"/>
      <c r="VGV17" s="51"/>
      <c r="VGW17" s="51"/>
      <c r="VGX17" s="51"/>
      <c r="VGY17" s="51"/>
      <c r="VGZ17" s="51"/>
      <c r="VHA17" s="51"/>
      <c r="VHB17" s="51"/>
      <c r="VHC17" s="51"/>
      <c r="VHD17" s="51"/>
      <c r="VHE17" s="51"/>
      <c r="VHF17" s="51"/>
      <c r="VHG17" s="51"/>
      <c r="VHH17" s="51"/>
      <c r="VHI17" s="51"/>
      <c r="VHJ17" s="51"/>
      <c r="VHK17" s="51"/>
      <c r="VHL17" s="51"/>
      <c r="VHM17" s="51"/>
      <c r="VHN17" s="51"/>
      <c r="VHO17" s="51"/>
      <c r="VHP17" s="51"/>
      <c r="VHQ17" s="51"/>
      <c r="VHR17" s="51"/>
      <c r="VHS17" s="51"/>
      <c r="VHT17" s="51"/>
      <c r="VHU17" s="51"/>
      <c r="VHV17" s="51"/>
      <c r="VHW17" s="51"/>
      <c r="VHX17" s="51"/>
      <c r="VHY17" s="51"/>
      <c r="VHZ17" s="51"/>
      <c r="VIA17" s="51"/>
      <c r="VIB17" s="51"/>
      <c r="VIC17" s="51"/>
      <c r="VID17" s="51"/>
      <c r="VIE17" s="51"/>
      <c r="VIF17" s="51"/>
      <c r="VIG17" s="51"/>
      <c r="VIH17" s="51"/>
      <c r="VII17" s="51"/>
      <c r="VIJ17" s="51"/>
      <c r="VIK17" s="51"/>
      <c r="VIL17" s="51"/>
      <c r="VIM17" s="51"/>
      <c r="VIN17" s="51"/>
      <c r="VIO17" s="51"/>
      <c r="VIP17" s="51"/>
      <c r="VIQ17" s="51"/>
      <c r="VIR17" s="51"/>
      <c r="VIS17" s="51"/>
      <c r="VIT17" s="51"/>
      <c r="VIU17" s="51"/>
      <c r="VIV17" s="51"/>
      <c r="VIW17" s="51"/>
      <c r="VIX17" s="51"/>
      <c r="VIY17" s="51"/>
      <c r="VIZ17" s="51"/>
      <c r="VJA17" s="51"/>
      <c r="VJB17" s="51"/>
      <c r="VJC17" s="51"/>
      <c r="VJD17" s="51"/>
      <c r="VJE17" s="51"/>
      <c r="VJF17" s="51"/>
      <c r="VJG17" s="51"/>
      <c r="VJH17" s="51"/>
      <c r="VJI17" s="51"/>
      <c r="VJJ17" s="51"/>
      <c r="VJK17" s="51"/>
      <c r="VJL17" s="51"/>
      <c r="VJM17" s="51"/>
      <c r="VJN17" s="51"/>
      <c r="VJO17" s="51"/>
      <c r="VJP17" s="51"/>
      <c r="VJQ17" s="51"/>
      <c r="VJR17" s="51"/>
      <c r="VJS17" s="51"/>
      <c r="VJT17" s="51"/>
      <c r="VJU17" s="51"/>
      <c r="VJV17" s="51"/>
      <c r="VJW17" s="51"/>
      <c r="VJX17" s="51"/>
      <c r="VJY17" s="51"/>
      <c r="VJZ17" s="51"/>
      <c r="VKA17" s="51"/>
      <c r="VKB17" s="51"/>
      <c r="VKC17" s="51"/>
      <c r="VKD17" s="51"/>
      <c r="VKE17" s="51"/>
      <c r="VKF17" s="51"/>
      <c r="VKG17" s="51"/>
      <c r="VKH17" s="51"/>
      <c r="VKI17" s="51"/>
      <c r="VKJ17" s="51"/>
      <c r="VKK17" s="51"/>
      <c r="VKL17" s="51"/>
      <c r="VKM17" s="51"/>
      <c r="VKN17" s="51"/>
      <c r="VKO17" s="51"/>
      <c r="VKP17" s="51"/>
      <c r="VKQ17" s="51"/>
      <c r="VKR17" s="51"/>
      <c r="VKS17" s="51"/>
      <c r="VKT17" s="51"/>
      <c r="VKU17" s="51"/>
      <c r="VKV17" s="51"/>
      <c r="VKW17" s="51"/>
      <c r="VKX17" s="51"/>
      <c r="VKY17" s="51"/>
      <c r="VKZ17" s="51"/>
      <c r="VLA17" s="51"/>
      <c r="VLB17" s="51"/>
      <c r="VLC17" s="51"/>
      <c r="VLD17" s="51"/>
      <c r="VLE17" s="51"/>
      <c r="VLF17" s="51"/>
      <c r="VLG17" s="51"/>
      <c r="VLH17" s="51"/>
      <c r="VLI17" s="51"/>
      <c r="VLJ17" s="51"/>
      <c r="VLK17" s="51"/>
      <c r="VLL17" s="51"/>
      <c r="VLM17" s="51"/>
      <c r="VLN17" s="51"/>
      <c r="VLO17" s="51"/>
      <c r="VLP17" s="51"/>
      <c r="VLQ17" s="51"/>
      <c r="VLR17" s="51"/>
      <c r="VLS17" s="51"/>
      <c r="VLT17" s="51"/>
      <c r="VLU17" s="51"/>
      <c r="VLV17" s="51"/>
      <c r="VLW17" s="51"/>
      <c r="VLX17" s="51"/>
      <c r="VLY17" s="51"/>
      <c r="VLZ17" s="51"/>
      <c r="VMA17" s="51"/>
      <c r="VMB17" s="51"/>
      <c r="VMC17" s="51"/>
      <c r="VMD17" s="51"/>
      <c r="VME17" s="51"/>
      <c r="VMF17" s="51"/>
      <c r="VMG17" s="51"/>
      <c r="VMH17" s="51"/>
      <c r="VMI17" s="51"/>
      <c r="VMJ17" s="51"/>
      <c r="VMK17" s="51"/>
      <c r="VML17" s="51"/>
      <c r="VMM17" s="51"/>
      <c r="VMN17" s="51"/>
      <c r="VMO17" s="51"/>
      <c r="VMP17" s="51"/>
      <c r="VMQ17" s="51"/>
      <c r="VMR17" s="51"/>
      <c r="VMS17" s="51"/>
      <c r="VMT17" s="51"/>
      <c r="VMU17" s="51"/>
      <c r="VMV17" s="51"/>
      <c r="VMW17" s="51"/>
      <c r="VMX17" s="51"/>
      <c r="VMY17" s="51"/>
      <c r="VMZ17" s="51"/>
      <c r="VNA17" s="51"/>
      <c r="VNB17" s="51"/>
      <c r="VNC17" s="51"/>
      <c r="VND17" s="51"/>
      <c r="VNE17" s="51"/>
      <c r="VNF17" s="51"/>
      <c r="VNG17" s="51"/>
      <c r="VNH17" s="51"/>
      <c r="VNI17" s="51"/>
      <c r="VNJ17" s="51"/>
      <c r="VNK17" s="51"/>
      <c r="VNL17" s="51"/>
      <c r="VNM17" s="51"/>
      <c r="VNN17" s="51"/>
      <c r="VNO17" s="51"/>
      <c r="VNP17" s="51"/>
      <c r="VNQ17" s="51"/>
      <c r="VNR17" s="51"/>
      <c r="VNS17" s="51"/>
      <c r="VNT17" s="51"/>
      <c r="VNU17" s="51"/>
      <c r="VNV17" s="51"/>
      <c r="VNW17" s="51"/>
      <c r="VNX17" s="51"/>
      <c r="VNY17" s="51"/>
      <c r="VNZ17" s="51"/>
      <c r="VOA17" s="51"/>
      <c r="VOB17" s="51"/>
      <c r="VOC17" s="51"/>
      <c r="VOD17" s="51"/>
      <c r="VOE17" s="51"/>
      <c r="VOF17" s="51"/>
      <c r="VOG17" s="51"/>
      <c r="VOH17" s="51"/>
      <c r="VOI17" s="51"/>
      <c r="VOJ17" s="51"/>
      <c r="VOK17" s="51"/>
      <c r="VOL17" s="51"/>
      <c r="VOM17" s="51"/>
      <c r="VON17" s="51"/>
      <c r="VOO17" s="51"/>
      <c r="VOP17" s="51"/>
      <c r="VOQ17" s="51"/>
      <c r="VOR17" s="51"/>
      <c r="VOS17" s="51"/>
      <c r="VOT17" s="51"/>
      <c r="VOU17" s="51"/>
      <c r="VOV17" s="51"/>
      <c r="VOW17" s="51"/>
      <c r="VOX17" s="51"/>
      <c r="VOY17" s="51"/>
      <c r="VOZ17" s="51"/>
      <c r="VPA17" s="51"/>
      <c r="VPB17" s="51"/>
      <c r="VPC17" s="51"/>
      <c r="VPD17" s="51"/>
      <c r="VPE17" s="51"/>
      <c r="VPF17" s="51"/>
      <c r="VPG17" s="51"/>
      <c r="VPH17" s="51"/>
      <c r="VPI17" s="51"/>
      <c r="VPJ17" s="51"/>
      <c r="VPK17" s="51"/>
      <c r="VPL17" s="51"/>
      <c r="VPM17" s="51"/>
      <c r="VPN17" s="51"/>
      <c r="VPO17" s="51"/>
      <c r="VPP17" s="51"/>
      <c r="VPQ17" s="51"/>
      <c r="VPR17" s="51"/>
      <c r="VPS17" s="51"/>
      <c r="VPT17" s="51"/>
      <c r="VPU17" s="51"/>
      <c r="VPV17" s="51"/>
      <c r="VPW17" s="51"/>
      <c r="VPX17" s="51"/>
      <c r="VPY17" s="51"/>
      <c r="VPZ17" s="51"/>
      <c r="VQA17" s="51"/>
      <c r="VQB17" s="51"/>
      <c r="VQC17" s="51"/>
      <c r="VQD17" s="51"/>
      <c r="VQE17" s="51"/>
      <c r="VQF17" s="51"/>
      <c r="VQG17" s="51"/>
      <c r="VQH17" s="51"/>
      <c r="VQI17" s="51"/>
      <c r="VQJ17" s="51"/>
      <c r="VQK17" s="51"/>
      <c r="VQL17" s="51"/>
      <c r="VQM17" s="51"/>
      <c r="VQN17" s="51"/>
      <c r="VQO17" s="51"/>
      <c r="VQP17" s="51"/>
      <c r="VQQ17" s="51"/>
      <c r="VQR17" s="51"/>
      <c r="VQS17" s="51"/>
      <c r="VQT17" s="51"/>
      <c r="VQU17" s="51"/>
      <c r="VQV17" s="51"/>
      <c r="VQW17" s="51"/>
      <c r="VQX17" s="51"/>
      <c r="VQY17" s="51"/>
      <c r="VQZ17" s="51"/>
      <c r="VRA17" s="51"/>
      <c r="VRB17" s="51"/>
      <c r="VRC17" s="51"/>
      <c r="VRD17" s="51"/>
      <c r="VRE17" s="51"/>
      <c r="VRF17" s="51"/>
      <c r="VRG17" s="51"/>
      <c r="VRH17" s="51"/>
      <c r="VRI17" s="51"/>
      <c r="VRJ17" s="51"/>
      <c r="VRK17" s="51"/>
      <c r="VRL17" s="51"/>
      <c r="VRM17" s="51"/>
      <c r="VRN17" s="51"/>
      <c r="VRO17" s="51"/>
      <c r="VRP17" s="51"/>
      <c r="VRQ17" s="51"/>
      <c r="VRR17" s="51"/>
      <c r="VRS17" s="51"/>
      <c r="VRT17" s="51"/>
      <c r="VRU17" s="51"/>
      <c r="VRV17" s="51"/>
      <c r="VRW17" s="51"/>
      <c r="VRX17" s="51"/>
      <c r="VRY17" s="51"/>
      <c r="VRZ17" s="51"/>
      <c r="VSA17" s="51"/>
      <c r="VSB17" s="51"/>
      <c r="VSC17" s="51"/>
      <c r="VSD17" s="51"/>
      <c r="VSE17" s="51"/>
      <c r="VSF17" s="51"/>
      <c r="VSG17" s="51"/>
      <c r="VSH17" s="51"/>
      <c r="VSI17" s="51"/>
      <c r="VSJ17" s="51"/>
      <c r="VSK17" s="51"/>
      <c r="VSL17" s="51"/>
      <c r="VSM17" s="51"/>
      <c r="VSN17" s="51"/>
      <c r="VSO17" s="51"/>
      <c r="VSP17" s="51"/>
      <c r="VSQ17" s="51"/>
      <c r="VSR17" s="51"/>
      <c r="VSS17" s="51"/>
      <c r="VST17" s="51"/>
      <c r="VSU17" s="51"/>
      <c r="VSV17" s="51"/>
      <c r="VSW17" s="51"/>
      <c r="VSX17" s="51"/>
      <c r="VSY17" s="51"/>
      <c r="VSZ17" s="51"/>
      <c r="VTA17" s="51"/>
      <c r="VTB17" s="51"/>
      <c r="VTC17" s="51"/>
      <c r="VTD17" s="51"/>
      <c r="VTE17" s="51"/>
      <c r="VTF17" s="51"/>
      <c r="VTG17" s="51"/>
      <c r="VTH17" s="51"/>
      <c r="VTI17" s="51"/>
      <c r="VTJ17" s="51"/>
      <c r="VTK17" s="51"/>
      <c r="VTL17" s="51"/>
      <c r="VTM17" s="51"/>
      <c r="VTN17" s="51"/>
      <c r="VTO17" s="51"/>
      <c r="VTP17" s="51"/>
      <c r="VTQ17" s="51"/>
      <c r="VTR17" s="51"/>
      <c r="VTS17" s="51"/>
      <c r="VTT17" s="51"/>
      <c r="VTU17" s="51"/>
      <c r="VTV17" s="51"/>
      <c r="VTW17" s="51"/>
      <c r="VTX17" s="51"/>
      <c r="VTY17" s="51"/>
      <c r="VTZ17" s="51"/>
      <c r="VUA17" s="51"/>
      <c r="VUB17" s="51"/>
      <c r="VUC17" s="51"/>
      <c r="VUD17" s="51"/>
      <c r="VUE17" s="51"/>
      <c r="VUF17" s="51"/>
      <c r="VUG17" s="51"/>
      <c r="VUH17" s="51"/>
      <c r="VUI17" s="51"/>
      <c r="VUJ17" s="51"/>
      <c r="VUK17" s="51"/>
      <c r="VUL17" s="51"/>
      <c r="VUM17" s="51"/>
      <c r="VUN17" s="51"/>
      <c r="VUO17" s="51"/>
      <c r="VUP17" s="51"/>
      <c r="VUQ17" s="51"/>
      <c r="VUR17" s="51"/>
      <c r="VUS17" s="51"/>
      <c r="VUT17" s="51"/>
      <c r="VUU17" s="51"/>
      <c r="VUV17" s="51"/>
      <c r="VUW17" s="51"/>
      <c r="VUX17" s="51"/>
      <c r="VUY17" s="51"/>
      <c r="VUZ17" s="51"/>
      <c r="VVA17" s="51"/>
      <c r="VVB17" s="51"/>
      <c r="VVC17" s="51"/>
      <c r="VVD17" s="51"/>
      <c r="VVE17" s="51"/>
      <c r="VVF17" s="51"/>
      <c r="VVG17" s="51"/>
      <c r="VVH17" s="51"/>
      <c r="VVI17" s="51"/>
      <c r="VVJ17" s="51"/>
      <c r="VVK17" s="51"/>
      <c r="VVL17" s="51"/>
      <c r="VVM17" s="51"/>
      <c r="VVN17" s="51"/>
      <c r="VVO17" s="51"/>
      <c r="VVP17" s="51"/>
      <c r="VVQ17" s="51"/>
      <c r="VVR17" s="51"/>
      <c r="VVS17" s="51"/>
      <c r="VVT17" s="51"/>
      <c r="VVU17" s="51"/>
      <c r="VVV17" s="51"/>
      <c r="VVW17" s="51"/>
      <c r="VVX17" s="51"/>
      <c r="VVY17" s="51"/>
      <c r="VVZ17" s="51"/>
      <c r="VWA17" s="51"/>
      <c r="VWB17" s="51"/>
      <c r="VWC17" s="51"/>
      <c r="VWD17" s="51"/>
      <c r="VWE17" s="51"/>
      <c r="VWF17" s="51"/>
      <c r="VWG17" s="51"/>
      <c r="VWH17" s="51"/>
      <c r="VWI17" s="51"/>
      <c r="VWJ17" s="51"/>
      <c r="VWK17" s="51"/>
      <c r="VWL17" s="51"/>
      <c r="VWM17" s="51"/>
      <c r="VWN17" s="51"/>
      <c r="VWO17" s="51"/>
      <c r="VWP17" s="51"/>
      <c r="VWQ17" s="51"/>
      <c r="VWR17" s="51"/>
      <c r="VWS17" s="51"/>
      <c r="VWT17" s="51"/>
      <c r="VWU17" s="51"/>
      <c r="VWV17" s="51"/>
      <c r="VWW17" s="51"/>
      <c r="VWX17" s="51"/>
      <c r="VWY17" s="51"/>
      <c r="VWZ17" s="51"/>
      <c r="VXA17" s="51"/>
      <c r="VXB17" s="51"/>
      <c r="VXC17" s="51"/>
      <c r="VXD17" s="51"/>
      <c r="VXE17" s="51"/>
      <c r="VXF17" s="51"/>
      <c r="VXG17" s="51"/>
      <c r="VXH17" s="51"/>
      <c r="VXI17" s="51"/>
      <c r="VXJ17" s="51"/>
      <c r="VXK17" s="51"/>
      <c r="VXL17" s="51"/>
      <c r="VXM17" s="51"/>
      <c r="VXN17" s="51"/>
      <c r="VXO17" s="51"/>
      <c r="VXP17" s="51"/>
      <c r="VXQ17" s="51"/>
      <c r="VXR17" s="51"/>
      <c r="VXS17" s="51"/>
      <c r="VXT17" s="51"/>
      <c r="VXU17" s="51"/>
      <c r="VXV17" s="51"/>
      <c r="VXW17" s="51"/>
      <c r="VXX17" s="51"/>
      <c r="VXY17" s="51"/>
      <c r="VXZ17" s="51"/>
      <c r="VYA17" s="51"/>
      <c r="VYB17" s="51"/>
      <c r="VYC17" s="51"/>
      <c r="VYD17" s="51"/>
      <c r="VYE17" s="51"/>
      <c r="VYF17" s="51"/>
      <c r="VYG17" s="51"/>
      <c r="VYH17" s="51"/>
      <c r="VYI17" s="51"/>
      <c r="VYJ17" s="51"/>
      <c r="VYK17" s="51"/>
      <c r="VYL17" s="51"/>
      <c r="VYM17" s="51"/>
      <c r="VYN17" s="51"/>
      <c r="VYO17" s="51"/>
      <c r="VYP17" s="51"/>
      <c r="VYQ17" s="51"/>
      <c r="VYR17" s="51"/>
      <c r="VYS17" s="51"/>
      <c r="VYT17" s="51"/>
      <c r="VYU17" s="51"/>
      <c r="VYV17" s="51"/>
      <c r="VYW17" s="51"/>
      <c r="VYX17" s="51"/>
      <c r="VYY17" s="51"/>
      <c r="VYZ17" s="51"/>
      <c r="VZA17" s="51"/>
      <c r="VZB17" s="51"/>
      <c r="VZC17" s="51"/>
      <c r="VZD17" s="51"/>
      <c r="VZE17" s="51"/>
      <c r="VZF17" s="51"/>
      <c r="VZG17" s="51"/>
      <c r="VZH17" s="51"/>
      <c r="VZI17" s="51"/>
      <c r="VZJ17" s="51"/>
      <c r="VZK17" s="51"/>
      <c r="VZL17" s="51"/>
      <c r="VZM17" s="51"/>
      <c r="VZN17" s="51"/>
      <c r="VZO17" s="51"/>
      <c r="VZP17" s="51"/>
      <c r="VZQ17" s="51"/>
      <c r="VZR17" s="51"/>
      <c r="VZS17" s="51"/>
      <c r="VZT17" s="51"/>
      <c r="VZU17" s="51"/>
      <c r="VZV17" s="51"/>
      <c r="VZW17" s="51"/>
      <c r="VZX17" s="51"/>
      <c r="VZY17" s="51"/>
      <c r="VZZ17" s="51"/>
      <c r="WAA17" s="51"/>
      <c r="WAB17" s="51"/>
      <c r="WAC17" s="51"/>
      <c r="WAD17" s="51"/>
      <c r="WAE17" s="51"/>
      <c r="WAF17" s="51"/>
      <c r="WAG17" s="51"/>
      <c r="WAH17" s="51"/>
      <c r="WAI17" s="51"/>
      <c r="WAJ17" s="51"/>
      <c r="WAK17" s="51"/>
      <c r="WAL17" s="51"/>
      <c r="WAM17" s="51"/>
      <c r="WAN17" s="51"/>
      <c r="WAO17" s="51"/>
      <c r="WAP17" s="51"/>
      <c r="WAQ17" s="51"/>
      <c r="WAR17" s="51"/>
      <c r="WAS17" s="51"/>
      <c r="WAT17" s="51"/>
      <c r="WAU17" s="51"/>
      <c r="WAV17" s="51"/>
      <c r="WAW17" s="51"/>
      <c r="WAX17" s="51"/>
      <c r="WAY17" s="51"/>
      <c r="WAZ17" s="51"/>
      <c r="WBA17" s="51"/>
      <c r="WBB17" s="51"/>
      <c r="WBC17" s="51"/>
      <c r="WBD17" s="51"/>
      <c r="WBE17" s="51"/>
      <c r="WBF17" s="51"/>
      <c r="WBG17" s="51"/>
      <c r="WBH17" s="51"/>
      <c r="WBI17" s="51"/>
      <c r="WBJ17" s="51"/>
      <c r="WBK17" s="51"/>
      <c r="WBL17" s="51"/>
      <c r="WBM17" s="51"/>
      <c r="WBN17" s="51"/>
      <c r="WBO17" s="51"/>
      <c r="WBP17" s="51"/>
      <c r="WBQ17" s="51"/>
      <c r="WBR17" s="51"/>
      <c r="WBS17" s="51"/>
      <c r="WBT17" s="51"/>
      <c r="WBU17" s="51"/>
      <c r="WBV17" s="51"/>
      <c r="WBW17" s="51"/>
      <c r="WBX17" s="51"/>
      <c r="WBY17" s="51"/>
      <c r="WBZ17" s="51"/>
      <c r="WCA17" s="51"/>
      <c r="WCB17" s="51"/>
      <c r="WCC17" s="51"/>
      <c r="WCD17" s="51"/>
      <c r="WCE17" s="51"/>
      <c r="WCF17" s="51"/>
      <c r="WCG17" s="51"/>
      <c r="WCH17" s="51"/>
      <c r="WCI17" s="51"/>
      <c r="WCJ17" s="51"/>
      <c r="WCK17" s="51"/>
      <c r="WCL17" s="51"/>
      <c r="WCM17" s="51"/>
      <c r="WCN17" s="51"/>
      <c r="WCO17" s="51"/>
      <c r="WCP17" s="51"/>
      <c r="WCQ17" s="51"/>
      <c r="WCR17" s="51"/>
      <c r="WCS17" s="51"/>
      <c r="WCT17" s="51"/>
      <c r="WCU17" s="51"/>
      <c r="WCV17" s="51"/>
      <c r="WCW17" s="51"/>
      <c r="WCX17" s="51"/>
      <c r="WCY17" s="51"/>
      <c r="WCZ17" s="51"/>
      <c r="WDA17" s="51"/>
      <c r="WDB17" s="51"/>
      <c r="WDC17" s="51"/>
      <c r="WDD17" s="51"/>
      <c r="WDE17" s="51"/>
      <c r="WDF17" s="51"/>
      <c r="WDG17" s="51"/>
      <c r="WDH17" s="51"/>
      <c r="WDI17" s="51"/>
      <c r="WDJ17" s="51"/>
      <c r="WDK17" s="51"/>
      <c r="WDL17" s="51"/>
      <c r="WDM17" s="51"/>
      <c r="WDN17" s="51"/>
      <c r="WDO17" s="51"/>
      <c r="WDP17" s="51"/>
      <c r="WDQ17" s="51"/>
      <c r="WDR17" s="51"/>
      <c r="WDS17" s="51"/>
      <c r="WDT17" s="51"/>
      <c r="WDU17" s="51"/>
      <c r="WDV17" s="51"/>
      <c r="WDW17" s="51"/>
      <c r="WDX17" s="51"/>
      <c r="WDY17" s="51"/>
      <c r="WDZ17" s="51"/>
      <c r="WEA17" s="51"/>
      <c r="WEB17" s="51"/>
      <c r="WEC17" s="51"/>
      <c r="WED17" s="51"/>
      <c r="WEE17" s="51"/>
      <c r="WEF17" s="51"/>
      <c r="WEG17" s="51"/>
      <c r="WEH17" s="51"/>
      <c r="WEI17" s="51"/>
      <c r="WEJ17" s="51"/>
      <c r="WEK17" s="51"/>
      <c r="WEL17" s="51"/>
      <c r="WEM17" s="51"/>
      <c r="WEN17" s="51"/>
      <c r="WEO17" s="51"/>
      <c r="WEP17" s="51"/>
      <c r="WEQ17" s="51"/>
      <c r="WER17" s="51"/>
      <c r="WES17" s="51"/>
      <c r="WET17" s="51"/>
      <c r="WEU17" s="51"/>
      <c r="WEV17" s="51"/>
      <c r="WEW17" s="51"/>
      <c r="WEX17" s="51"/>
      <c r="WEY17" s="51"/>
      <c r="WEZ17" s="51"/>
      <c r="WFA17" s="51"/>
      <c r="WFB17" s="51"/>
      <c r="WFC17" s="51"/>
      <c r="WFD17" s="51"/>
      <c r="WFE17" s="51"/>
      <c r="WFF17" s="51"/>
      <c r="WFG17" s="51"/>
      <c r="WFH17" s="51"/>
      <c r="WFI17" s="51"/>
      <c r="WFJ17" s="51"/>
      <c r="WFK17" s="51"/>
      <c r="WFL17" s="51"/>
      <c r="WFM17" s="51"/>
      <c r="WFN17" s="51"/>
      <c r="WFO17" s="51"/>
      <c r="WFP17" s="51"/>
      <c r="WFQ17" s="51"/>
      <c r="WFR17" s="51"/>
      <c r="WFS17" s="51"/>
      <c r="WFT17" s="51"/>
      <c r="WFU17" s="51"/>
      <c r="WFV17" s="51"/>
      <c r="WFW17" s="51"/>
      <c r="WFX17" s="51"/>
      <c r="WFY17" s="51"/>
      <c r="WFZ17" s="51"/>
      <c r="WGA17" s="51"/>
      <c r="WGB17" s="51"/>
      <c r="WGC17" s="51"/>
      <c r="WGD17" s="51"/>
      <c r="WGE17" s="51"/>
      <c r="WGF17" s="51"/>
      <c r="WGG17" s="51"/>
      <c r="WGH17" s="51"/>
      <c r="WGI17" s="51"/>
      <c r="WGJ17" s="51"/>
      <c r="WGK17" s="51"/>
      <c r="WGL17" s="51"/>
      <c r="WGM17" s="51"/>
      <c r="WGN17" s="51"/>
      <c r="WGO17" s="51"/>
      <c r="WGP17" s="51"/>
      <c r="WGQ17" s="51"/>
      <c r="WGR17" s="51"/>
      <c r="WGS17" s="51"/>
      <c r="WGT17" s="51"/>
      <c r="WGU17" s="51"/>
      <c r="WGV17" s="51"/>
      <c r="WGW17" s="51"/>
      <c r="WGX17" s="51"/>
      <c r="WGY17" s="51"/>
      <c r="WGZ17" s="51"/>
      <c r="WHA17" s="51"/>
      <c r="WHB17" s="51"/>
      <c r="WHC17" s="51"/>
      <c r="WHD17" s="51"/>
      <c r="WHE17" s="51"/>
      <c r="WHF17" s="51"/>
      <c r="WHG17" s="51"/>
      <c r="WHH17" s="51"/>
      <c r="WHI17" s="51"/>
      <c r="WHJ17" s="51"/>
      <c r="WHK17" s="51"/>
      <c r="WHL17" s="51"/>
      <c r="WHM17" s="51"/>
      <c r="WHN17" s="51"/>
      <c r="WHO17" s="51"/>
      <c r="WHP17" s="51"/>
      <c r="WHQ17" s="51"/>
      <c r="WHR17" s="51"/>
      <c r="WHS17" s="51"/>
      <c r="WHT17" s="51"/>
      <c r="WHU17" s="51"/>
      <c r="WHV17" s="51"/>
      <c r="WHW17" s="51"/>
      <c r="WHX17" s="51"/>
      <c r="WHY17" s="51"/>
      <c r="WHZ17" s="51"/>
      <c r="WIA17" s="51"/>
      <c r="WIB17" s="51"/>
      <c r="WIC17" s="51"/>
      <c r="WID17" s="51"/>
      <c r="WIE17" s="51"/>
      <c r="WIF17" s="51"/>
      <c r="WIG17" s="51"/>
      <c r="WIH17" s="51"/>
      <c r="WII17" s="51"/>
      <c r="WIJ17" s="51"/>
      <c r="WIK17" s="51"/>
      <c r="WIL17" s="51"/>
      <c r="WIM17" s="51"/>
      <c r="WIN17" s="51"/>
      <c r="WIO17" s="51"/>
      <c r="WIP17" s="51"/>
      <c r="WIQ17" s="51"/>
      <c r="WIR17" s="51"/>
      <c r="WIS17" s="51"/>
      <c r="WIT17" s="51"/>
      <c r="WIU17" s="51"/>
      <c r="WIV17" s="51"/>
      <c r="WIW17" s="51"/>
      <c r="WIX17" s="51"/>
      <c r="WIY17" s="51"/>
      <c r="WIZ17" s="51"/>
      <c r="WJA17" s="51"/>
      <c r="WJB17" s="51"/>
      <c r="WJC17" s="51"/>
      <c r="WJD17" s="51"/>
      <c r="WJE17" s="51"/>
      <c r="WJF17" s="51"/>
      <c r="WJG17" s="51"/>
      <c r="WJH17" s="51"/>
      <c r="WJI17" s="51"/>
      <c r="WJJ17" s="51"/>
      <c r="WJK17" s="51"/>
      <c r="WJL17" s="51"/>
      <c r="WJM17" s="51"/>
      <c r="WJN17" s="51"/>
      <c r="WJO17" s="51"/>
      <c r="WJP17" s="51"/>
      <c r="WJQ17" s="51"/>
      <c r="WJR17" s="51"/>
      <c r="WJS17" s="51"/>
      <c r="WJT17" s="51"/>
      <c r="WJU17" s="51"/>
      <c r="WJV17" s="51"/>
      <c r="WJW17" s="51"/>
      <c r="WJX17" s="51"/>
      <c r="WJY17" s="51"/>
      <c r="WJZ17" s="51"/>
      <c r="WKA17" s="51"/>
      <c r="WKB17" s="51"/>
      <c r="WKC17" s="51"/>
      <c r="WKD17" s="51"/>
      <c r="WKE17" s="51"/>
      <c r="WKF17" s="51"/>
      <c r="WKG17" s="51"/>
      <c r="WKH17" s="51"/>
      <c r="WKI17" s="51"/>
      <c r="WKJ17" s="51"/>
      <c r="WKK17" s="51"/>
      <c r="WKL17" s="51"/>
      <c r="WKM17" s="51"/>
      <c r="WKN17" s="51"/>
      <c r="WKO17" s="51"/>
      <c r="WKP17" s="51"/>
      <c r="WKQ17" s="51"/>
      <c r="WKR17" s="51"/>
      <c r="WKS17" s="51"/>
      <c r="WKT17" s="51"/>
      <c r="WKU17" s="51"/>
      <c r="WKV17" s="51"/>
      <c r="WKW17" s="51"/>
      <c r="WKX17" s="51"/>
      <c r="WKY17" s="51"/>
      <c r="WKZ17" s="51"/>
      <c r="WLA17" s="51"/>
      <c r="WLB17" s="51"/>
      <c r="WLC17" s="51"/>
      <c r="WLD17" s="51"/>
      <c r="WLE17" s="51"/>
      <c r="WLF17" s="51"/>
      <c r="WLG17" s="51"/>
      <c r="WLH17" s="51"/>
      <c r="WLI17" s="51"/>
      <c r="WLJ17" s="51"/>
      <c r="WLK17" s="51"/>
      <c r="WLL17" s="51"/>
      <c r="WLM17" s="51"/>
      <c r="WLN17" s="51"/>
      <c r="WLO17" s="51"/>
      <c r="WLP17" s="51"/>
      <c r="WLQ17" s="51"/>
      <c r="WLR17" s="51"/>
      <c r="WLS17" s="51"/>
      <c r="WLT17" s="51"/>
      <c r="WLU17" s="51"/>
      <c r="WLV17" s="51"/>
      <c r="WLW17" s="51"/>
      <c r="WLX17" s="51"/>
      <c r="WLY17" s="51"/>
      <c r="WLZ17" s="51"/>
      <c r="WMA17" s="51"/>
      <c r="WMB17" s="51"/>
      <c r="WMC17" s="51"/>
      <c r="WMD17" s="51"/>
      <c r="WME17" s="51"/>
      <c r="WMF17" s="51"/>
      <c r="WMG17" s="51"/>
      <c r="WMH17" s="51"/>
      <c r="WMI17" s="51"/>
      <c r="WMJ17" s="51"/>
      <c r="WMK17" s="51"/>
      <c r="WML17" s="51"/>
      <c r="WMM17" s="51"/>
      <c r="WMN17" s="51"/>
      <c r="WMO17" s="51"/>
      <c r="WMP17" s="51"/>
      <c r="WMQ17" s="51"/>
      <c r="WMR17" s="51"/>
      <c r="WMS17" s="51"/>
      <c r="WMT17" s="51"/>
      <c r="WMU17" s="51"/>
      <c r="WMV17" s="51"/>
      <c r="WMW17" s="51"/>
      <c r="WMX17" s="51"/>
      <c r="WMY17" s="51"/>
      <c r="WMZ17" s="51"/>
      <c r="WNA17" s="51"/>
      <c r="WNB17" s="51"/>
      <c r="WNC17" s="51"/>
      <c r="WND17" s="51"/>
      <c r="WNE17" s="51"/>
      <c r="WNF17" s="51"/>
      <c r="WNG17" s="51"/>
      <c r="WNH17" s="51"/>
      <c r="WNI17" s="51"/>
      <c r="WNJ17" s="51"/>
      <c r="WNK17" s="51"/>
      <c r="WNL17" s="51"/>
      <c r="WNM17" s="51"/>
      <c r="WNN17" s="51"/>
      <c r="WNO17" s="51"/>
      <c r="WNP17" s="51"/>
      <c r="WNQ17" s="51"/>
      <c r="WNR17" s="51"/>
      <c r="WNS17" s="51"/>
      <c r="WNT17" s="51"/>
      <c r="WNU17" s="51"/>
      <c r="WNV17" s="51"/>
      <c r="WNW17" s="51"/>
      <c r="WNX17" s="51"/>
      <c r="WNY17" s="51"/>
      <c r="WNZ17" s="51"/>
      <c r="WOA17" s="51"/>
      <c r="WOB17" s="51"/>
      <c r="WOC17" s="51"/>
      <c r="WOD17" s="51"/>
      <c r="WOE17" s="51"/>
      <c r="WOF17" s="51"/>
      <c r="WOG17" s="51"/>
      <c r="WOH17" s="51"/>
      <c r="WOI17" s="51"/>
      <c r="WOJ17" s="51"/>
      <c r="WOK17" s="51"/>
      <c r="WOL17" s="51"/>
      <c r="WOM17" s="51"/>
      <c r="WON17" s="51"/>
      <c r="WOO17" s="51"/>
      <c r="WOP17" s="51"/>
      <c r="WOQ17" s="51"/>
      <c r="WOR17" s="51"/>
      <c r="WOS17" s="51"/>
      <c r="WOT17" s="51"/>
      <c r="WOU17" s="51"/>
      <c r="WOV17" s="51"/>
      <c r="WOW17" s="51"/>
      <c r="WOX17" s="51"/>
      <c r="WOY17" s="51"/>
      <c r="WOZ17" s="51"/>
      <c r="WPA17" s="51"/>
      <c r="WPB17" s="51"/>
      <c r="WPC17" s="51"/>
      <c r="WPD17" s="51"/>
      <c r="WPE17" s="51"/>
      <c r="WPF17" s="51"/>
      <c r="WPG17" s="51"/>
      <c r="WPH17" s="51"/>
      <c r="WPI17" s="51"/>
      <c r="WPJ17" s="51"/>
      <c r="WPK17" s="51"/>
      <c r="WPL17" s="51"/>
      <c r="WPM17" s="51"/>
      <c r="WPN17" s="51"/>
      <c r="WPO17" s="51"/>
      <c r="WPP17" s="51"/>
      <c r="WPQ17" s="51"/>
      <c r="WPR17" s="51"/>
      <c r="WPS17" s="51"/>
      <c r="WPT17" s="51"/>
      <c r="WPU17" s="51"/>
      <c r="WPV17" s="51"/>
      <c r="WPW17" s="51"/>
      <c r="WPX17" s="51"/>
      <c r="WPY17" s="51"/>
      <c r="WPZ17" s="51"/>
      <c r="WQA17" s="51"/>
      <c r="WQB17" s="51"/>
      <c r="WQC17" s="51"/>
      <c r="WQD17" s="51"/>
      <c r="WQE17" s="51"/>
      <c r="WQF17" s="51"/>
      <c r="WQG17" s="51"/>
      <c r="WQH17" s="51"/>
      <c r="WQI17" s="51"/>
      <c r="WQJ17" s="51"/>
      <c r="WQK17" s="51"/>
      <c r="WQL17" s="51"/>
      <c r="WQM17" s="51"/>
      <c r="WQN17" s="51"/>
      <c r="WQO17" s="51"/>
      <c r="WQP17" s="51"/>
      <c r="WQQ17" s="51"/>
      <c r="WQR17" s="51"/>
      <c r="WQS17" s="51"/>
      <c r="WQT17" s="51"/>
      <c r="WQU17" s="51"/>
      <c r="WQV17" s="51"/>
      <c r="WQW17" s="51"/>
      <c r="WQX17" s="51"/>
      <c r="WQY17" s="51"/>
      <c r="WQZ17" s="51"/>
      <c r="WRA17" s="51"/>
      <c r="WRB17" s="51"/>
      <c r="WRC17" s="51"/>
      <c r="WRD17" s="51"/>
      <c r="WRE17" s="51"/>
      <c r="WRF17" s="51"/>
      <c r="WRG17" s="51"/>
      <c r="WRH17" s="51"/>
      <c r="WRI17" s="51"/>
      <c r="WRJ17" s="51"/>
      <c r="WRK17" s="51"/>
      <c r="WRL17" s="51"/>
      <c r="WRM17" s="51"/>
      <c r="WRN17" s="51"/>
      <c r="WRO17" s="51"/>
      <c r="WRP17" s="51"/>
      <c r="WRQ17" s="51"/>
      <c r="WRR17" s="51"/>
      <c r="WRS17" s="51"/>
      <c r="WRT17" s="51"/>
      <c r="WRU17" s="51"/>
      <c r="WRV17" s="51"/>
      <c r="WRW17" s="51"/>
      <c r="WRX17" s="51"/>
      <c r="WRY17" s="51"/>
      <c r="WRZ17" s="51"/>
      <c r="WSA17" s="51"/>
      <c r="WSB17" s="51"/>
      <c r="WSC17" s="51"/>
      <c r="WSD17" s="51"/>
      <c r="WSE17" s="51"/>
      <c r="WSF17" s="51"/>
      <c r="WSG17" s="51"/>
      <c r="WSH17" s="51"/>
      <c r="WSI17" s="51"/>
      <c r="WSJ17" s="51"/>
      <c r="WSK17" s="51"/>
      <c r="WSL17" s="51"/>
      <c r="WSM17" s="51"/>
      <c r="WSN17" s="51"/>
      <c r="WSO17" s="51"/>
      <c r="WSP17" s="51"/>
      <c r="WSQ17" s="51"/>
      <c r="WSR17" s="51"/>
      <c r="WSS17" s="51"/>
      <c r="WST17" s="51"/>
      <c r="WSU17" s="51"/>
      <c r="WSV17" s="51"/>
      <c r="WSW17" s="51"/>
      <c r="WSX17" s="51"/>
      <c r="WSY17" s="51"/>
      <c r="WSZ17" s="51"/>
      <c r="WTA17" s="51"/>
      <c r="WTB17" s="51"/>
      <c r="WTC17" s="51"/>
      <c r="WTD17" s="51"/>
      <c r="WTE17" s="51"/>
      <c r="WTF17" s="51"/>
      <c r="WTG17" s="51"/>
      <c r="WTH17" s="51"/>
      <c r="WTI17" s="51"/>
      <c r="WTJ17" s="51"/>
      <c r="WTK17" s="51"/>
      <c r="WTL17" s="51"/>
      <c r="WTM17" s="51"/>
      <c r="WTN17" s="51"/>
      <c r="WTO17" s="51"/>
      <c r="WTP17" s="51"/>
      <c r="WTQ17" s="51"/>
      <c r="WTR17" s="51"/>
      <c r="WTS17" s="51"/>
      <c r="WTT17" s="51"/>
      <c r="WTU17" s="51"/>
      <c r="WTV17" s="51"/>
      <c r="WTW17" s="51"/>
      <c r="WTX17" s="51"/>
      <c r="WTY17" s="51"/>
      <c r="WTZ17" s="51"/>
      <c r="WUA17" s="51"/>
      <c r="WUB17" s="51"/>
      <c r="WUC17" s="51"/>
      <c r="WUD17" s="51"/>
      <c r="WUE17" s="51"/>
      <c r="WUF17" s="51"/>
      <c r="WUG17" s="51"/>
      <c r="WUH17" s="51"/>
      <c r="WUI17" s="51"/>
      <c r="WUJ17" s="51"/>
      <c r="WUK17" s="51"/>
      <c r="WUL17" s="51"/>
      <c r="WUM17" s="51"/>
      <c r="WUN17" s="51"/>
      <c r="WUO17" s="51"/>
      <c r="WUP17" s="51"/>
      <c r="WUQ17" s="51"/>
      <c r="WUR17" s="51"/>
      <c r="WUS17" s="51"/>
      <c r="WUT17" s="51"/>
      <c r="WUU17" s="51"/>
      <c r="WUV17" s="51"/>
      <c r="WUW17" s="51"/>
      <c r="WUX17" s="51"/>
      <c r="WUY17" s="51"/>
      <c r="WUZ17" s="51"/>
      <c r="WVA17" s="51"/>
      <c r="WVB17" s="51"/>
      <c r="WVC17" s="51"/>
      <c r="WVD17" s="51"/>
      <c r="WVE17" s="51"/>
      <c r="WVF17" s="51"/>
      <c r="WVG17" s="51"/>
      <c r="WVH17" s="51"/>
      <c r="WVI17" s="51"/>
      <c r="WVJ17" s="51"/>
      <c r="WVK17" s="51"/>
      <c r="WVL17" s="51"/>
      <c r="WVM17" s="51"/>
      <c r="WVN17" s="51"/>
      <c r="WVO17" s="51"/>
      <c r="WVP17" s="51"/>
      <c r="WVQ17" s="51"/>
      <c r="WVR17" s="51"/>
      <c r="WVS17" s="51"/>
      <c r="WVT17" s="51"/>
      <c r="WVU17" s="51"/>
      <c r="WVV17" s="51"/>
      <c r="WVW17" s="51"/>
      <c r="WVX17" s="51"/>
      <c r="WVY17" s="51"/>
      <c r="WVZ17" s="51"/>
      <c r="WWA17" s="51"/>
      <c r="WWB17" s="51"/>
      <c r="WWC17" s="51"/>
      <c r="WWD17" s="51"/>
      <c r="WWE17" s="51"/>
      <c r="WWF17" s="51"/>
      <c r="WWG17" s="51"/>
      <c r="WWH17" s="51"/>
      <c r="WWI17" s="51"/>
      <c r="WWJ17" s="51"/>
      <c r="WWK17" s="51"/>
      <c r="WWL17" s="51"/>
      <c r="WWM17" s="51"/>
      <c r="WWN17" s="51"/>
      <c r="WWO17" s="51"/>
      <c r="WWP17" s="51"/>
      <c r="WWQ17" s="51"/>
      <c r="WWR17" s="51"/>
      <c r="WWS17" s="51"/>
      <c r="WWT17" s="51"/>
      <c r="WWU17" s="51"/>
      <c r="WWV17" s="51"/>
      <c r="WWW17" s="51"/>
      <c r="WWX17" s="51"/>
      <c r="WWY17" s="51"/>
      <c r="WWZ17" s="51"/>
      <c r="WXA17" s="51"/>
      <c r="WXB17" s="51"/>
      <c r="WXC17" s="51"/>
      <c r="WXD17" s="51"/>
      <c r="WXE17" s="51"/>
      <c r="WXF17" s="51"/>
      <c r="WXG17" s="51"/>
      <c r="WXH17" s="51"/>
      <c r="WXI17" s="51"/>
      <c r="WXJ17" s="51"/>
      <c r="WXK17" s="51"/>
      <c r="WXL17" s="51"/>
      <c r="WXM17" s="51"/>
      <c r="WXN17" s="51"/>
      <c r="WXO17" s="51"/>
      <c r="WXP17" s="51"/>
      <c r="WXQ17" s="51"/>
      <c r="WXR17" s="51"/>
      <c r="WXS17" s="51"/>
      <c r="WXT17" s="51"/>
      <c r="WXU17" s="51"/>
      <c r="WXV17" s="51"/>
      <c r="WXW17" s="51"/>
      <c r="WXX17" s="51"/>
      <c r="WXY17" s="51"/>
      <c r="WXZ17" s="51"/>
      <c r="WYA17" s="51"/>
      <c r="WYB17" s="51"/>
      <c r="WYC17" s="51"/>
      <c r="WYD17" s="51"/>
      <c r="WYE17" s="51"/>
      <c r="WYF17" s="51"/>
      <c r="WYG17" s="51"/>
      <c r="WYH17" s="51"/>
      <c r="WYI17" s="51"/>
      <c r="WYJ17" s="51"/>
      <c r="WYK17" s="51"/>
      <c r="WYL17" s="51"/>
      <c r="WYM17" s="51"/>
      <c r="WYN17" s="51"/>
      <c r="WYO17" s="51"/>
      <c r="WYP17" s="51"/>
      <c r="WYQ17" s="51"/>
      <c r="WYR17" s="51"/>
      <c r="WYS17" s="51"/>
      <c r="WYT17" s="51"/>
      <c r="WYU17" s="51"/>
      <c r="WYV17" s="51"/>
      <c r="WYW17" s="51"/>
      <c r="WYX17" s="51"/>
      <c r="WYY17" s="51"/>
      <c r="WYZ17" s="51"/>
      <c r="WZA17" s="51"/>
      <c r="WZB17" s="51"/>
      <c r="WZC17" s="51"/>
      <c r="WZD17" s="51"/>
      <c r="WZE17" s="51"/>
      <c r="WZF17" s="51"/>
      <c r="WZG17" s="51"/>
      <c r="WZH17" s="51"/>
      <c r="WZI17" s="51"/>
      <c r="WZJ17" s="51"/>
      <c r="WZK17" s="51"/>
      <c r="WZL17" s="51"/>
      <c r="WZM17" s="51"/>
      <c r="WZN17" s="51"/>
      <c r="WZO17" s="51"/>
      <c r="WZP17" s="51"/>
      <c r="WZQ17" s="51"/>
      <c r="WZR17" s="51"/>
      <c r="WZS17" s="51"/>
      <c r="WZT17" s="51"/>
      <c r="WZU17" s="51"/>
      <c r="WZV17" s="51"/>
      <c r="WZW17" s="51"/>
      <c r="WZX17" s="51"/>
      <c r="WZY17" s="51"/>
      <c r="WZZ17" s="51"/>
      <c r="XAA17" s="51"/>
      <c r="XAB17" s="51"/>
      <c r="XAC17" s="51"/>
      <c r="XAD17" s="51"/>
      <c r="XAE17" s="51"/>
      <c r="XAF17" s="51"/>
      <c r="XAG17" s="51"/>
      <c r="XAH17" s="51"/>
      <c r="XAI17" s="51"/>
      <c r="XAJ17" s="51"/>
      <c r="XAK17" s="51"/>
      <c r="XAL17" s="51"/>
      <c r="XAM17" s="51"/>
      <c r="XAN17" s="51"/>
      <c r="XAO17" s="51"/>
      <c r="XAP17" s="51"/>
      <c r="XAQ17" s="51"/>
      <c r="XAR17" s="51"/>
      <c r="XAS17" s="51"/>
      <c r="XAT17" s="51"/>
      <c r="XAU17" s="51"/>
      <c r="XAV17" s="51"/>
      <c r="XAW17" s="51"/>
      <c r="XAX17" s="51"/>
      <c r="XAY17" s="51"/>
      <c r="XAZ17" s="51"/>
      <c r="XBA17" s="51"/>
      <c r="XBB17" s="51"/>
      <c r="XBC17" s="51"/>
      <c r="XBD17" s="51"/>
      <c r="XBE17" s="51"/>
      <c r="XBF17" s="51"/>
      <c r="XBG17" s="51"/>
      <c r="XBH17" s="51"/>
      <c r="XBI17" s="51"/>
      <c r="XBJ17" s="51"/>
      <c r="XBK17" s="51"/>
      <c r="XBL17" s="51"/>
      <c r="XBM17" s="51"/>
      <c r="XBN17" s="51"/>
      <c r="XBO17" s="51"/>
      <c r="XBP17" s="51"/>
      <c r="XBQ17" s="51"/>
      <c r="XBR17" s="51"/>
      <c r="XBS17" s="51"/>
      <c r="XBT17" s="51"/>
      <c r="XBU17" s="51"/>
      <c r="XBV17" s="51"/>
      <c r="XBW17" s="51"/>
      <c r="XBX17" s="51"/>
      <c r="XBY17" s="51"/>
      <c r="XBZ17" s="51"/>
      <c r="XCA17" s="51"/>
      <c r="XCB17" s="51"/>
      <c r="XCC17" s="51"/>
      <c r="XCD17" s="51"/>
      <c r="XCE17" s="51"/>
      <c r="XCF17" s="51"/>
      <c r="XCG17" s="51"/>
      <c r="XCH17" s="51"/>
      <c r="XCI17" s="51"/>
      <c r="XCJ17" s="51"/>
      <c r="XCK17" s="51"/>
      <c r="XCL17" s="51"/>
      <c r="XCM17" s="51"/>
      <c r="XCN17" s="51"/>
      <c r="XCO17" s="51"/>
      <c r="XCP17" s="51"/>
      <c r="XCQ17" s="51"/>
      <c r="XCR17" s="51"/>
      <c r="XCS17" s="51"/>
      <c r="XCT17" s="51"/>
      <c r="XCU17" s="51"/>
      <c r="XCV17" s="51"/>
      <c r="XCW17" s="51"/>
      <c r="XCX17" s="51"/>
      <c r="XCY17" s="51"/>
      <c r="XCZ17" s="51"/>
      <c r="XDA17" s="51"/>
      <c r="XDB17" s="51"/>
      <c r="XDC17" s="51"/>
      <c r="XDD17" s="51"/>
      <c r="XDE17" s="51"/>
      <c r="XDF17" s="51"/>
      <c r="XDG17" s="51"/>
      <c r="XDH17" s="51"/>
      <c r="XDI17" s="51"/>
      <c r="XDJ17" s="51"/>
      <c r="XDK17" s="51"/>
      <c r="XDL17" s="51"/>
      <c r="XDM17" s="51"/>
      <c r="XDN17" s="51"/>
      <c r="XDO17" s="51"/>
      <c r="XDP17" s="51"/>
      <c r="XDQ17" s="51"/>
      <c r="XDR17" s="51"/>
      <c r="XDS17" s="51"/>
      <c r="XDT17" s="51"/>
      <c r="XDU17" s="51"/>
      <c r="XDV17" s="51"/>
      <c r="XDW17" s="51"/>
      <c r="XDX17" s="51"/>
      <c r="XDY17" s="51"/>
      <c r="XDZ17" s="51"/>
      <c r="XEA17" s="51"/>
      <c r="XEB17" s="51"/>
      <c r="XEC17" s="51"/>
      <c r="XED17" s="51"/>
      <c r="XEE17" s="51"/>
      <c r="XEF17" s="51"/>
      <c r="XEG17" s="51"/>
      <c r="XEH17" s="51"/>
      <c r="XEI17" s="51"/>
      <c r="XEJ17" s="51"/>
      <c r="XEK17" s="51"/>
      <c r="XEL17" s="51"/>
      <c r="XEM17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DF53-5BA1-4A7F-878B-9EDFB18DA811}">
  <dimension ref="A1:BD198"/>
  <sheetViews>
    <sheetView workbookViewId="0">
      <selection activeCell="N11" sqref="N11"/>
    </sheetView>
  </sheetViews>
  <sheetFormatPr defaultRowHeight="22.5" outlineLevelCol="1" x14ac:dyDescent="0.3"/>
  <cols>
    <col min="1" max="1" width="7.7109375" style="14" customWidth="1"/>
    <col min="2" max="3" width="12.140625" style="106" hidden="1" customWidth="1"/>
    <col min="4" max="4" width="12.140625" style="139" hidden="1" customWidth="1"/>
    <col min="5" max="5" width="24" style="14" customWidth="1"/>
    <col min="6" max="6" width="22.7109375" style="106" customWidth="1"/>
    <col min="7" max="7" width="16.42578125" style="76" customWidth="1"/>
    <col min="8" max="8" width="12.140625" style="14" customWidth="1"/>
    <col min="9" max="9" width="16" style="14" customWidth="1"/>
    <col min="10" max="10" width="7.42578125" style="14" customWidth="1"/>
    <col min="11" max="11" width="30.28515625" style="90" customWidth="1"/>
    <col min="12" max="12" width="34" style="14" customWidth="1"/>
    <col min="13" max="13" width="17.7109375" style="76" customWidth="1"/>
    <col min="14" max="14" width="12.7109375" style="76" customWidth="1"/>
    <col min="15" max="17" width="12" style="76" customWidth="1"/>
    <col min="18" max="20" width="12" style="14" customWidth="1"/>
    <col min="21" max="23" width="8.85546875" style="14" customWidth="1"/>
    <col min="24" max="24" width="8.5703125" style="14" customWidth="1"/>
    <col min="25" max="25" width="14.140625" style="14" customWidth="1"/>
    <col min="26" max="26" width="8.5703125" style="14" customWidth="1"/>
    <col min="27" max="27" width="11.85546875" style="14" customWidth="1"/>
    <col min="28" max="28" width="11.42578125" style="14" customWidth="1"/>
    <col min="29" max="29" width="10.140625" style="14" customWidth="1"/>
    <col min="30" max="32" width="8.5703125" style="14" customWidth="1"/>
    <col min="33" max="33" width="10.7109375" style="14" customWidth="1"/>
    <col min="34" max="34" width="7.5703125" style="14" customWidth="1"/>
    <col min="35" max="39" width="12" style="14" customWidth="1"/>
    <col min="40" max="40" width="11.42578125" style="14" customWidth="1"/>
    <col min="41" max="41" width="15" style="14" hidden="1" customWidth="1"/>
    <col min="42" max="42" width="19.85546875" style="14" hidden="1" customWidth="1"/>
    <col min="43" max="43" width="19.85546875" style="50" hidden="1" customWidth="1"/>
    <col min="44" max="44" width="19" style="14" hidden="1" customWidth="1"/>
    <col min="45" max="45" width="12.42578125" style="14" hidden="1" customWidth="1"/>
    <col min="46" max="46" width="14.140625" style="14" hidden="1" customWidth="1"/>
    <col min="47" max="47" width="28.140625" style="14" hidden="1" customWidth="1" outlineLevel="1"/>
    <col min="48" max="48" width="6.5703125" style="76" hidden="1" customWidth="1" outlineLevel="1"/>
    <col min="49" max="49" width="5.28515625" style="14" hidden="1" customWidth="1" outlineLevel="1"/>
    <col min="50" max="50" width="10.28515625" style="14" hidden="1" customWidth="1" outlineLevel="1"/>
    <col min="51" max="51" width="11.7109375" style="14" hidden="1" customWidth="1" outlineLevel="1"/>
    <col min="52" max="52" width="11.42578125" style="14" hidden="1" customWidth="1" outlineLevel="1"/>
    <col min="53" max="53" width="11.28515625" style="14" hidden="1" customWidth="1" outlineLevel="1"/>
    <col min="54" max="54" width="0.140625" style="14" customWidth="1" collapsed="1"/>
    <col min="55" max="55" width="12.28515625" style="149" customWidth="1"/>
    <col min="56" max="56" width="12" style="14" customWidth="1"/>
    <col min="57" max="231" width="9.140625" style="14"/>
    <col min="232" max="232" width="8.5703125" style="14" customWidth="1"/>
    <col min="233" max="233" width="11.7109375" style="14" customWidth="1"/>
    <col min="234" max="234" width="19.28515625" style="14" customWidth="1"/>
    <col min="235" max="235" width="13.140625" style="14" customWidth="1"/>
    <col min="236" max="237" width="11.5703125" style="14" customWidth="1"/>
    <col min="238" max="238" width="5.7109375" style="14" customWidth="1"/>
    <col min="239" max="239" width="28.7109375" style="14" customWidth="1"/>
    <col min="240" max="240" width="40.5703125" style="14" customWidth="1"/>
    <col min="241" max="241" width="13.28515625" style="14" customWidth="1"/>
    <col min="242" max="242" width="14" style="14" customWidth="1"/>
    <col min="243" max="245" width="13.140625" style="14" customWidth="1"/>
    <col min="246" max="246" width="10.28515625" style="14" customWidth="1"/>
    <col min="247" max="248" width="13.5703125" style="14" customWidth="1"/>
    <col min="249" max="249" width="7.140625" style="14" customWidth="1"/>
    <col min="250" max="250" width="5.7109375" style="14" customWidth="1"/>
    <col min="251" max="251" width="6.42578125" style="14" customWidth="1"/>
    <col min="252" max="252" width="6.5703125" style="14" customWidth="1"/>
    <col min="253" max="256" width="9.140625" style="14"/>
    <col min="257" max="257" width="7.7109375" style="14" customWidth="1"/>
    <col min="258" max="258" width="9.140625" style="14"/>
    <col min="259" max="259" width="7.85546875" style="14" customWidth="1"/>
    <col min="260" max="260" width="9.140625" style="14"/>
    <col min="261" max="261" width="8.7109375" style="14" customWidth="1"/>
    <col min="262" max="267" width="9.140625" style="14"/>
    <col min="268" max="268" width="11.42578125" style="14" customWidth="1"/>
    <col min="269" max="281" width="9.140625" style="14"/>
    <col min="282" max="282" width="11.140625" style="14" customWidth="1"/>
    <col min="283" max="487" width="9.140625" style="14"/>
    <col min="488" max="488" width="8.5703125" style="14" customWidth="1"/>
    <col min="489" max="489" width="11.7109375" style="14" customWidth="1"/>
    <col min="490" max="490" width="19.28515625" style="14" customWidth="1"/>
    <col min="491" max="491" width="13.140625" style="14" customWidth="1"/>
    <col min="492" max="493" width="11.5703125" style="14" customWidth="1"/>
    <col min="494" max="494" width="5.7109375" style="14" customWidth="1"/>
    <col min="495" max="495" width="28.7109375" style="14" customWidth="1"/>
    <col min="496" max="496" width="40.5703125" style="14" customWidth="1"/>
    <col min="497" max="497" width="13.28515625" style="14" customWidth="1"/>
    <col min="498" max="498" width="14" style="14" customWidth="1"/>
    <col min="499" max="501" width="13.140625" style="14" customWidth="1"/>
    <col min="502" max="502" width="10.28515625" style="14" customWidth="1"/>
    <col min="503" max="504" width="13.5703125" style="14" customWidth="1"/>
    <col min="505" max="505" width="7.140625" style="14" customWidth="1"/>
    <col min="506" max="506" width="5.7109375" style="14" customWidth="1"/>
    <col min="507" max="507" width="6.42578125" style="14" customWidth="1"/>
    <col min="508" max="508" width="6.5703125" style="14" customWidth="1"/>
    <col min="509" max="512" width="9.140625" style="14"/>
    <col min="513" max="513" width="7.7109375" style="14" customWidth="1"/>
    <col min="514" max="514" width="9.140625" style="14"/>
    <col min="515" max="515" width="7.85546875" style="14" customWidth="1"/>
    <col min="516" max="516" width="9.140625" style="14"/>
    <col min="517" max="517" width="8.7109375" style="14" customWidth="1"/>
    <col min="518" max="523" width="9.140625" style="14"/>
    <col min="524" max="524" width="11.42578125" style="14" customWidth="1"/>
    <col min="525" max="537" width="9.140625" style="14"/>
    <col min="538" max="538" width="11.140625" style="14" customWidth="1"/>
    <col min="539" max="743" width="9.140625" style="14"/>
    <col min="744" max="744" width="8.5703125" style="14" customWidth="1"/>
    <col min="745" max="745" width="11.7109375" style="14" customWidth="1"/>
    <col min="746" max="746" width="19.28515625" style="14" customWidth="1"/>
    <col min="747" max="747" width="13.140625" style="14" customWidth="1"/>
    <col min="748" max="749" width="11.5703125" style="14" customWidth="1"/>
    <col min="750" max="750" width="5.7109375" style="14" customWidth="1"/>
    <col min="751" max="751" width="28.7109375" style="14" customWidth="1"/>
    <col min="752" max="752" width="40.5703125" style="14" customWidth="1"/>
    <col min="753" max="753" width="13.28515625" style="14" customWidth="1"/>
    <col min="754" max="754" width="14" style="14" customWidth="1"/>
    <col min="755" max="757" width="13.140625" style="14" customWidth="1"/>
    <col min="758" max="758" width="10.28515625" style="14" customWidth="1"/>
    <col min="759" max="760" width="13.5703125" style="14" customWidth="1"/>
    <col min="761" max="761" width="7.140625" style="14" customWidth="1"/>
    <col min="762" max="762" width="5.7109375" style="14" customWidth="1"/>
    <col min="763" max="763" width="6.42578125" style="14" customWidth="1"/>
    <col min="764" max="764" width="6.5703125" style="14" customWidth="1"/>
    <col min="765" max="768" width="9.140625" style="14"/>
    <col min="769" max="769" width="7.7109375" style="14" customWidth="1"/>
    <col min="770" max="770" width="9.140625" style="14"/>
    <col min="771" max="771" width="7.85546875" style="14" customWidth="1"/>
    <col min="772" max="772" width="9.140625" style="14"/>
    <col min="773" max="773" width="8.7109375" style="14" customWidth="1"/>
    <col min="774" max="779" width="9.140625" style="14"/>
    <col min="780" max="780" width="11.42578125" style="14" customWidth="1"/>
    <col min="781" max="793" width="9.140625" style="14"/>
    <col min="794" max="794" width="11.140625" style="14" customWidth="1"/>
    <col min="795" max="999" width="9.140625" style="14"/>
    <col min="1000" max="1000" width="8.5703125" style="14" customWidth="1"/>
    <col min="1001" max="1001" width="11.7109375" style="14" customWidth="1"/>
    <col min="1002" max="1002" width="19.28515625" style="14" customWidth="1"/>
    <col min="1003" max="1003" width="13.140625" style="14" customWidth="1"/>
    <col min="1004" max="1005" width="11.5703125" style="14" customWidth="1"/>
    <col min="1006" max="1006" width="5.7109375" style="14" customWidth="1"/>
    <col min="1007" max="1007" width="28.7109375" style="14" customWidth="1"/>
    <col min="1008" max="1008" width="40.5703125" style="14" customWidth="1"/>
    <col min="1009" max="1009" width="13.28515625" style="14" customWidth="1"/>
    <col min="1010" max="1010" width="14" style="14" customWidth="1"/>
    <col min="1011" max="1013" width="13.140625" style="14" customWidth="1"/>
    <col min="1014" max="1014" width="10.28515625" style="14" customWidth="1"/>
    <col min="1015" max="1016" width="13.5703125" style="14" customWidth="1"/>
    <col min="1017" max="1017" width="7.140625" style="14" customWidth="1"/>
    <col min="1018" max="1018" width="5.7109375" style="14" customWidth="1"/>
    <col min="1019" max="1019" width="6.42578125" style="14" customWidth="1"/>
    <col min="1020" max="1020" width="6.5703125" style="14" customWidth="1"/>
    <col min="1021" max="1024" width="9.140625" style="14"/>
    <col min="1025" max="1025" width="7.7109375" style="14" customWidth="1"/>
    <col min="1026" max="1026" width="9.140625" style="14"/>
    <col min="1027" max="1027" width="7.85546875" style="14" customWidth="1"/>
    <col min="1028" max="1028" width="9.140625" style="14"/>
    <col min="1029" max="1029" width="8.7109375" style="14" customWidth="1"/>
    <col min="1030" max="1035" width="9.140625" style="14"/>
    <col min="1036" max="1036" width="11.42578125" style="14" customWidth="1"/>
    <col min="1037" max="1049" width="9.140625" style="14"/>
    <col min="1050" max="1050" width="11.140625" style="14" customWidth="1"/>
    <col min="1051" max="1255" width="9.140625" style="14"/>
    <col min="1256" max="1256" width="8.5703125" style="14" customWidth="1"/>
    <col min="1257" max="1257" width="11.7109375" style="14" customWidth="1"/>
    <col min="1258" max="1258" width="19.28515625" style="14" customWidth="1"/>
    <col min="1259" max="1259" width="13.140625" style="14" customWidth="1"/>
    <col min="1260" max="1261" width="11.5703125" style="14" customWidth="1"/>
    <col min="1262" max="1262" width="5.7109375" style="14" customWidth="1"/>
    <col min="1263" max="1263" width="28.7109375" style="14" customWidth="1"/>
    <col min="1264" max="1264" width="40.5703125" style="14" customWidth="1"/>
    <col min="1265" max="1265" width="13.28515625" style="14" customWidth="1"/>
    <col min="1266" max="1266" width="14" style="14" customWidth="1"/>
    <col min="1267" max="1269" width="13.140625" style="14" customWidth="1"/>
    <col min="1270" max="1270" width="10.28515625" style="14" customWidth="1"/>
    <col min="1271" max="1272" width="13.5703125" style="14" customWidth="1"/>
    <col min="1273" max="1273" width="7.140625" style="14" customWidth="1"/>
    <col min="1274" max="1274" width="5.7109375" style="14" customWidth="1"/>
    <col min="1275" max="1275" width="6.42578125" style="14" customWidth="1"/>
    <col min="1276" max="1276" width="6.5703125" style="14" customWidth="1"/>
    <col min="1277" max="1280" width="9.140625" style="14"/>
    <col min="1281" max="1281" width="7.7109375" style="14" customWidth="1"/>
    <col min="1282" max="1282" width="9.140625" style="14"/>
    <col min="1283" max="1283" width="7.85546875" style="14" customWidth="1"/>
    <col min="1284" max="1284" width="9.140625" style="14"/>
    <col min="1285" max="1285" width="8.7109375" style="14" customWidth="1"/>
    <col min="1286" max="1291" width="9.140625" style="14"/>
    <col min="1292" max="1292" width="11.42578125" style="14" customWidth="1"/>
    <col min="1293" max="1305" width="9.140625" style="14"/>
    <col min="1306" max="1306" width="11.140625" style="14" customWidth="1"/>
    <col min="1307" max="1511" width="9.140625" style="14"/>
    <col min="1512" max="1512" width="8.5703125" style="14" customWidth="1"/>
    <col min="1513" max="1513" width="11.7109375" style="14" customWidth="1"/>
    <col min="1514" max="1514" width="19.28515625" style="14" customWidth="1"/>
    <col min="1515" max="1515" width="13.140625" style="14" customWidth="1"/>
    <col min="1516" max="1517" width="11.5703125" style="14" customWidth="1"/>
    <col min="1518" max="1518" width="5.7109375" style="14" customWidth="1"/>
    <col min="1519" max="1519" width="28.7109375" style="14" customWidth="1"/>
    <col min="1520" max="1520" width="40.5703125" style="14" customWidth="1"/>
    <col min="1521" max="1521" width="13.28515625" style="14" customWidth="1"/>
    <col min="1522" max="1522" width="14" style="14" customWidth="1"/>
    <col min="1523" max="1525" width="13.140625" style="14" customWidth="1"/>
    <col min="1526" max="1526" width="10.28515625" style="14" customWidth="1"/>
    <col min="1527" max="1528" width="13.5703125" style="14" customWidth="1"/>
    <col min="1529" max="1529" width="7.140625" style="14" customWidth="1"/>
    <col min="1530" max="1530" width="5.7109375" style="14" customWidth="1"/>
    <col min="1531" max="1531" width="6.42578125" style="14" customWidth="1"/>
    <col min="1532" max="1532" width="6.5703125" style="14" customWidth="1"/>
    <col min="1533" max="1536" width="9.140625" style="14"/>
    <col min="1537" max="1537" width="7.7109375" style="14" customWidth="1"/>
    <col min="1538" max="1538" width="9.140625" style="14"/>
    <col min="1539" max="1539" width="7.85546875" style="14" customWidth="1"/>
    <col min="1540" max="1540" width="9.140625" style="14"/>
    <col min="1541" max="1541" width="8.7109375" style="14" customWidth="1"/>
    <col min="1542" max="1547" width="9.140625" style="14"/>
    <col min="1548" max="1548" width="11.42578125" style="14" customWidth="1"/>
    <col min="1549" max="1561" width="9.140625" style="14"/>
    <col min="1562" max="1562" width="11.140625" style="14" customWidth="1"/>
    <col min="1563" max="1767" width="9.140625" style="14"/>
    <col min="1768" max="1768" width="8.5703125" style="14" customWidth="1"/>
    <col min="1769" max="1769" width="11.7109375" style="14" customWidth="1"/>
    <col min="1770" max="1770" width="19.28515625" style="14" customWidth="1"/>
    <col min="1771" max="1771" width="13.140625" style="14" customWidth="1"/>
    <col min="1772" max="1773" width="11.5703125" style="14" customWidth="1"/>
    <col min="1774" max="1774" width="5.7109375" style="14" customWidth="1"/>
    <col min="1775" max="1775" width="28.7109375" style="14" customWidth="1"/>
    <col min="1776" max="1776" width="40.5703125" style="14" customWidth="1"/>
    <col min="1777" max="1777" width="13.28515625" style="14" customWidth="1"/>
    <col min="1778" max="1778" width="14" style="14" customWidth="1"/>
    <col min="1779" max="1781" width="13.140625" style="14" customWidth="1"/>
    <col min="1782" max="1782" width="10.28515625" style="14" customWidth="1"/>
    <col min="1783" max="1784" width="13.5703125" style="14" customWidth="1"/>
    <col min="1785" max="1785" width="7.140625" style="14" customWidth="1"/>
    <col min="1786" max="1786" width="5.7109375" style="14" customWidth="1"/>
    <col min="1787" max="1787" width="6.42578125" style="14" customWidth="1"/>
    <col min="1788" max="1788" width="6.5703125" style="14" customWidth="1"/>
    <col min="1789" max="1792" width="9.140625" style="14"/>
    <col min="1793" max="1793" width="7.7109375" style="14" customWidth="1"/>
    <col min="1794" max="1794" width="9.140625" style="14"/>
    <col min="1795" max="1795" width="7.85546875" style="14" customWidth="1"/>
    <col min="1796" max="1796" width="9.140625" style="14"/>
    <col min="1797" max="1797" width="8.7109375" style="14" customWidth="1"/>
    <col min="1798" max="1803" width="9.140625" style="14"/>
    <col min="1804" max="1804" width="11.42578125" style="14" customWidth="1"/>
    <col min="1805" max="1817" width="9.140625" style="14"/>
    <col min="1818" max="1818" width="11.140625" style="14" customWidth="1"/>
    <col min="1819" max="2023" width="9.140625" style="14"/>
    <col min="2024" max="2024" width="8.5703125" style="14" customWidth="1"/>
    <col min="2025" max="2025" width="11.7109375" style="14" customWidth="1"/>
    <col min="2026" max="2026" width="19.28515625" style="14" customWidth="1"/>
    <col min="2027" max="2027" width="13.140625" style="14" customWidth="1"/>
    <col min="2028" max="2029" width="11.5703125" style="14" customWidth="1"/>
    <col min="2030" max="2030" width="5.7109375" style="14" customWidth="1"/>
    <col min="2031" max="2031" width="28.7109375" style="14" customWidth="1"/>
    <col min="2032" max="2032" width="40.5703125" style="14" customWidth="1"/>
    <col min="2033" max="2033" width="13.28515625" style="14" customWidth="1"/>
    <col min="2034" max="2034" width="14" style="14" customWidth="1"/>
    <col min="2035" max="2037" width="13.140625" style="14" customWidth="1"/>
    <col min="2038" max="2038" width="10.28515625" style="14" customWidth="1"/>
    <col min="2039" max="2040" width="13.5703125" style="14" customWidth="1"/>
    <col min="2041" max="2041" width="7.140625" style="14" customWidth="1"/>
    <col min="2042" max="2042" width="5.7109375" style="14" customWidth="1"/>
    <col min="2043" max="2043" width="6.42578125" style="14" customWidth="1"/>
    <col min="2044" max="2044" width="6.5703125" style="14" customWidth="1"/>
    <col min="2045" max="2048" width="9.140625" style="14"/>
    <col min="2049" max="2049" width="7.7109375" style="14" customWidth="1"/>
    <col min="2050" max="2050" width="9.140625" style="14"/>
    <col min="2051" max="2051" width="7.85546875" style="14" customWidth="1"/>
    <col min="2052" max="2052" width="9.140625" style="14"/>
    <col min="2053" max="2053" width="8.7109375" style="14" customWidth="1"/>
    <col min="2054" max="2059" width="9.140625" style="14"/>
    <col min="2060" max="2060" width="11.42578125" style="14" customWidth="1"/>
    <col min="2061" max="2073" width="9.140625" style="14"/>
    <col min="2074" max="2074" width="11.140625" style="14" customWidth="1"/>
    <col min="2075" max="2279" width="9.140625" style="14"/>
    <col min="2280" max="2280" width="8.5703125" style="14" customWidth="1"/>
    <col min="2281" max="2281" width="11.7109375" style="14" customWidth="1"/>
    <col min="2282" max="2282" width="19.28515625" style="14" customWidth="1"/>
    <col min="2283" max="2283" width="13.140625" style="14" customWidth="1"/>
    <col min="2284" max="2285" width="11.5703125" style="14" customWidth="1"/>
    <col min="2286" max="2286" width="5.7109375" style="14" customWidth="1"/>
    <col min="2287" max="2287" width="28.7109375" style="14" customWidth="1"/>
    <col min="2288" max="2288" width="40.5703125" style="14" customWidth="1"/>
    <col min="2289" max="2289" width="13.28515625" style="14" customWidth="1"/>
    <col min="2290" max="2290" width="14" style="14" customWidth="1"/>
    <col min="2291" max="2293" width="13.140625" style="14" customWidth="1"/>
    <col min="2294" max="2294" width="10.28515625" style="14" customWidth="1"/>
    <col min="2295" max="2296" width="13.5703125" style="14" customWidth="1"/>
    <col min="2297" max="2297" width="7.140625" style="14" customWidth="1"/>
    <col min="2298" max="2298" width="5.7109375" style="14" customWidth="1"/>
    <col min="2299" max="2299" width="6.42578125" style="14" customWidth="1"/>
    <col min="2300" max="2300" width="6.5703125" style="14" customWidth="1"/>
    <col min="2301" max="2304" width="9.140625" style="14"/>
    <col min="2305" max="2305" width="7.7109375" style="14" customWidth="1"/>
    <col min="2306" max="2306" width="9.140625" style="14"/>
    <col min="2307" max="2307" width="7.85546875" style="14" customWidth="1"/>
    <col min="2308" max="2308" width="9.140625" style="14"/>
    <col min="2309" max="2309" width="8.7109375" style="14" customWidth="1"/>
    <col min="2310" max="2315" width="9.140625" style="14"/>
    <col min="2316" max="2316" width="11.42578125" style="14" customWidth="1"/>
    <col min="2317" max="2329" width="9.140625" style="14"/>
    <col min="2330" max="2330" width="11.140625" style="14" customWidth="1"/>
    <col min="2331" max="2535" width="9.140625" style="14"/>
    <col min="2536" max="2536" width="8.5703125" style="14" customWidth="1"/>
    <col min="2537" max="2537" width="11.7109375" style="14" customWidth="1"/>
    <col min="2538" max="2538" width="19.28515625" style="14" customWidth="1"/>
    <col min="2539" max="2539" width="13.140625" style="14" customWidth="1"/>
    <col min="2540" max="2541" width="11.5703125" style="14" customWidth="1"/>
    <col min="2542" max="2542" width="5.7109375" style="14" customWidth="1"/>
    <col min="2543" max="2543" width="28.7109375" style="14" customWidth="1"/>
    <col min="2544" max="2544" width="40.5703125" style="14" customWidth="1"/>
    <col min="2545" max="2545" width="13.28515625" style="14" customWidth="1"/>
    <col min="2546" max="2546" width="14" style="14" customWidth="1"/>
    <col min="2547" max="2549" width="13.140625" style="14" customWidth="1"/>
    <col min="2550" max="2550" width="10.28515625" style="14" customWidth="1"/>
    <col min="2551" max="2552" width="13.5703125" style="14" customWidth="1"/>
    <col min="2553" max="2553" width="7.140625" style="14" customWidth="1"/>
    <col min="2554" max="2554" width="5.7109375" style="14" customWidth="1"/>
    <col min="2555" max="2555" width="6.42578125" style="14" customWidth="1"/>
    <col min="2556" max="2556" width="6.5703125" style="14" customWidth="1"/>
    <col min="2557" max="2560" width="9.140625" style="14"/>
    <col min="2561" max="2561" width="7.7109375" style="14" customWidth="1"/>
    <col min="2562" max="2562" width="9.140625" style="14"/>
    <col min="2563" max="2563" width="7.85546875" style="14" customWidth="1"/>
    <col min="2564" max="2564" width="9.140625" style="14"/>
    <col min="2565" max="2565" width="8.7109375" style="14" customWidth="1"/>
    <col min="2566" max="2571" width="9.140625" style="14"/>
    <col min="2572" max="2572" width="11.42578125" style="14" customWidth="1"/>
    <col min="2573" max="2585" width="9.140625" style="14"/>
    <col min="2586" max="2586" width="11.140625" style="14" customWidth="1"/>
    <col min="2587" max="2791" width="9.140625" style="14"/>
    <col min="2792" max="2792" width="8.5703125" style="14" customWidth="1"/>
    <col min="2793" max="2793" width="11.7109375" style="14" customWidth="1"/>
    <col min="2794" max="2794" width="19.28515625" style="14" customWidth="1"/>
    <col min="2795" max="2795" width="13.140625" style="14" customWidth="1"/>
    <col min="2796" max="2797" width="11.5703125" style="14" customWidth="1"/>
    <col min="2798" max="2798" width="5.7109375" style="14" customWidth="1"/>
    <col min="2799" max="2799" width="28.7109375" style="14" customWidth="1"/>
    <col min="2800" max="2800" width="40.5703125" style="14" customWidth="1"/>
    <col min="2801" max="2801" width="13.28515625" style="14" customWidth="1"/>
    <col min="2802" max="2802" width="14" style="14" customWidth="1"/>
    <col min="2803" max="2805" width="13.140625" style="14" customWidth="1"/>
    <col min="2806" max="2806" width="10.28515625" style="14" customWidth="1"/>
    <col min="2807" max="2808" width="13.5703125" style="14" customWidth="1"/>
    <col min="2809" max="2809" width="7.140625" style="14" customWidth="1"/>
    <col min="2810" max="2810" width="5.7109375" style="14" customWidth="1"/>
    <col min="2811" max="2811" width="6.42578125" style="14" customWidth="1"/>
    <col min="2812" max="2812" width="6.5703125" style="14" customWidth="1"/>
    <col min="2813" max="2816" width="9.140625" style="14"/>
    <col min="2817" max="2817" width="7.7109375" style="14" customWidth="1"/>
    <col min="2818" max="2818" width="9.140625" style="14"/>
    <col min="2819" max="2819" width="7.85546875" style="14" customWidth="1"/>
    <col min="2820" max="2820" width="9.140625" style="14"/>
    <col min="2821" max="2821" width="8.7109375" style="14" customWidth="1"/>
    <col min="2822" max="2827" width="9.140625" style="14"/>
    <col min="2828" max="2828" width="11.42578125" style="14" customWidth="1"/>
    <col min="2829" max="2841" width="9.140625" style="14"/>
    <col min="2842" max="2842" width="11.140625" style="14" customWidth="1"/>
    <col min="2843" max="3047" width="9.140625" style="14"/>
    <col min="3048" max="3048" width="8.5703125" style="14" customWidth="1"/>
    <col min="3049" max="3049" width="11.7109375" style="14" customWidth="1"/>
    <col min="3050" max="3050" width="19.28515625" style="14" customWidth="1"/>
    <col min="3051" max="3051" width="13.140625" style="14" customWidth="1"/>
    <col min="3052" max="3053" width="11.5703125" style="14" customWidth="1"/>
    <col min="3054" max="3054" width="5.7109375" style="14" customWidth="1"/>
    <col min="3055" max="3055" width="28.7109375" style="14" customWidth="1"/>
    <col min="3056" max="3056" width="40.5703125" style="14" customWidth="1"/>
    <col min="3057" max="3057" width="13.28515625" style="14" customWidth="1"/>
    <col min="3058" max="3058" width="14" style="14" customWidth="1"/>
    <col min="3059" max="3061" width="13.140625" style="14" customWidth="1"/>
    <col min="3062" max="3062" width="10.28515625" style="14" customWidth="1"/>
    <col min="3063" max="3064" width="13.5703125" style="14" customWidth="1"/>
    <col min="3065" max="3065" width="7.140625" style="14" customWidth="1"/>
    <col min="3066" max="3066" width="5.7109375" style="14" customWidth="1"/>
    <col min="3067" max="3067" width="6.42578125" style="14" customWidth="1"/>
    <col min="3068" max="3068" width="6.5703125" style="14" customWidth="1"/>
    <col min="3069" max="3072" width="9.140625" style="14"/>
    <col min="3073" max="3073" width="7.7109375" style="14" customWidth="1"/>
    <col min="3074" max="3074" width="9.140625" style="14"/>
    <col min="3075" max="3075" width="7.85546875" style="14" customWidth="1"/>
    <col min="3076" max="3076" width="9.140625" style="14"/>
    <col min="3077" max="3077" width="8.7109375" style="14" customWidth="1"/>
    <col min="3078" max="3083" width="9.140625" style="14"/>
    <col min="3084" max="3084" width="11.42578125" style="14" customWidth="1"/>
    <col min="3085" max="3097" width="9.140625" style="14"/>
    <col min="3098" max="3098" width="11.140625" style="14" customWidth="1"/>
    <col min="3099" max="3303" width="9.140625" style="14"/>
    <col min="3304" max="3304" width="8.5703125" style="14" customWidth="1"/>
    <col min="3305" max="3305" width="11.7109375" style="14" customWidth="1"/>
    <col min="3306" max="3306" width="19.28515625" style="14" customWidth="1"/>
    <col min="3307" max="3307" width="13.140625" style="14" customWidth="1"/>
    <col min="3308" max="3309" width="11.5703125" style="14" customWidth="1"/>
    <col min="3310" max="3310" width="5.7109375" style="14" customWidth="1"/>
    <col min="3311" max="3311" width="28.7109375" style="14" customWidth="1"/>
    <col min="3312" max="3312" width="40.5703125" style="14" customWidth="1"/>
    <col min="3313" max="3313" width="13.28515625" style="14" customWidth="1"/>
    <col min="3314" max="3314" width="14" style="14" customWidth="1"/>
    <col min="3315" max="3317" width="13.140625" style="14" customWidth="1"/>
    <col min="3318" max="3318" width="10.28515625" style="14" customWidth="1"/>
    <col min="3319" max="3320" width="13.5703125" style="14" customWidth="1"/>
    <col min="3321" max="3321" width="7.140625" style="14" customWidth="1"/>
    <col min="3322" max="3322" width="5.7109375" style="14" customWidth="1"/>
    <col min="3323" max="3323" width="6.42578125" style="14" customWidth="1"/>
    <col min="3324" max="3324" width="6.5703125" style="14" customWidth="1"/>
    <col min="3325" max="3328" width="9.140625" style="14"/>
    <col min="3329" max="3329" width="7.7109375" style="14" customWidth="1"/>
    <col min="3330" max="3330" width="9.140625" style="14"/>
    <col min="3331" max="3331" width="7.85546875" style="14" customWidth="1"/>
    <col min="3332" max="3332" width="9.140625" style="14"/>
    <col min="3333" max="3333" width="8.7109375" style="14" customWidth="1"/>
    <col min="3334" max="3339" width="9.140625" style="14"/>
    <col min="3340" max="3340" width="11.42578125" style="14" customWidth="1"/>
    <col min="3341" max="3353" width="9.140625" style="14"/>
    <col min="3354" max="3354" width="11.140625" style="14" customWidth="1"/>
    <col min="3355" max="3559" width="9.140625" style="14"/>
    <col min="3560" max="3560" width="8.5703125" style="14" customWidth="1"/>
    <col min="3561" max="3561" width="11.7109375" style="14" customWidth="1"/>
    <col min="3562" max="3562" width="19.28515625" style="14" customWidth="1"/>
    <col min="3563" max="3563" width="13.140625" style="14" customWidth="1"/>
    <col min="3564" max="3565" width="11.5703125" style="14" customWidth="1"/>
    <col min="3566" max="3566" width="5.7109375" style="14" customWidth="1"/>
    <col min="3567" max="3567" width="28.7109375" style="14" customWidth="1"/>
    <col min="3568" max="3568" width="40.5703125" style="14" customWidth="1"/>
    <col min="3569" max="3569" width="13.28515625" style="14" customWidth="1"/>
    <col min="3570" max="3570" width="14" style="14" customWidth="1"/>
    <col min="3571" max="3573" width="13.140625" style="14" customWidth="1"/>
    <col min="3574" max="3574" width="10.28515625" style="14" customWidth="1"/>
    <col min="3575" max="3576" width="13.5703125" style="14" customWidth="1"/>
    <col min="3577" max="3577" width="7.140625" style="14" customWidth="1"/>
    <col min="3578" max="3578" width="5.7109375" style="14" customWidth="1"/>
    <col min="3579" max="3579" width="6.42578125" style="14" customWidth="1"/>
    <col min="3580" max="3580" width="6.5703125" style="14" customWidth="1"/>
    <col min="3581" max="3584" width="9.140625" style="14"/>
    <col min="3585" max="3585" width="7.7109375" style="14" customWidth="1"/>
    <col min="3586" max="3586" width="9.140625" style="14"/>
    <col min="3587" max="3587" width="7.85546875" style="14" customWidth="1"/>
    <col min="3588" max="3588" width="9.140625" style="14"/>
    <col min="3589" max="3589" width="8.7109375" style="14" customWidth="1"/>
    <col min="3590" max="3595" width="9.140625" style="14"/>
    <col min="3596" max="3596" width="11.42578125" style="14" customWidth="1"/>
    <col min="3597" max="3609" width="9.140625" style="14"/>
    <col min="3610" max="3610" width="11.140625" style="14" customWidth="1"/>
    <col min="3611" max="3815" width="9.140625" style="14"/>
    <col min="3816" max="3816" width="8.5703125" style="14" customWidth="1"/>
    <col min="3817" max="3817" width="11.7109375" style="14" customWidth="1"/>
    <col min="3818" max="3818" width="19.28515625" style="14" customWidth="1"/>
    <col min="3819" max="3819" width="13.140625" style="14" customWidth="1"/>
    <col min="3820" max="3821" width="11.5703125" style="14" customWidth="1"/>
    <col min="3822" max="3822" width="5.7109375" style="14" customWidth="1"/>
    <col min="3823" max="3823" width="28.7109375" style="14" customWidth="1"/>
    <col min="3824" max="3824" width="40.5703125" style="14" customWidth="1"/>
    <col min="3825" max="3825" width="13.28515625" style="14" customWidth="1"/>
    <col min="3826" max="3826" width="14" style="14" customWidth="1"/>
    <col min="3827" max="3829" width="13.140625" style="14" customWidth="1"/>
    <col min="3830" max="3830" width="10.28515625" style="14" customWidth="1"/>
    <col min="3831" max="3832" width="13.5703125" style="14" customWidth="1"/>
    <col min="3833" max="3833" width="7.140625" style="14" customWidth="1"/>
    <col min="3834" max="3834" width="5.7109375" style="14" customWidth="1"/>
    <col min="3835" max="3835" width="6.42578125" style="14" customWidth="1"/>
    <col min="3836" max="3836" width="6.5703125" style="14" customWidth="1"/>
    <col min="3837" max="3840" width="9.140625" style="14"/>
    <col min="3841" max="3841" width="7.7109375" style="14" customWidth="1"/>
    <col min="3842" max="3842" width="9.140625" style="14"/>
    <col min="3843" max="3843" width="7.85546875" style="14" customWidth="1"/>
    <col min="3844" max="3844" width="9.140625" style="14"/>
    <col min="3845" max="3845" width="8.7109375" style="14" customWidth="1"/>
    <col min="3846" max="3851" width="9.140625" style="14"/>
    <col min="3852" max="3852" width="11.42578125" style="14" customWidth="1"/>
    <col min="3853" max="3865" width="9.140625" style="14"/>
    <col min="3866" max="3866" width="11.140625" style="14" customWidth="1"/>
    <col min="3867" max="4071" width="9.140625" style="14"/>
    <col min="4072" max="4072" width="8.5703125" style="14" customWidth="1"/>
    <col min="4073" max="4073" width="11.7109375" style="14" customWidth="1"/>
    <col min="4074" max="4074" width="19.28515625" style="14" customWidth="1"/>
    <col min="4075" max="4075" width="13.140625" style="14" customWidth="1"/>
    <col min="4076" max="4077" width="11.5703125" style="14" customWidth="1"/>
    <col min="4078" max="4078" width="5.7109375" style="14" customWidth="1"/>
    <col min="4079" max="4079" width="28.7109375" style="14" customWidth="1"/>
    <col min="4080" max="4080" width="40.5703125" style="14" customWidth="1"/>
    <col min="4081" max="4081" width="13.28515625" style="14" customWidth="1"/>
    <col min="4082" max="4082" width="14" style="14" customWidth="1"/>
    <col min="4083" max="4085" width="13.140625" style="14" customWidth="1"/>
    <col min="4086" max="4086" width="10.28515625" style="14" customWidth="1"/>
    <col min="4087" max="4088" width="13.5703125" style="14" customWidth="1"/>
    <col min="4089" max="4089" width="7.140625" style="14" customWidth="1"/>
    <col min="4090" max="4090" width="5.7109375" style="14" customWidth="1"/>
    <col min="4091" max="4091" width="6.42578125" style="14" customWidth="1"/>
    <col min="4092" max="4092" width="6.5703125" style="14" customWidth="1"/>
    <col min="4093" max="4096" width="9.140625" style="14"/>
    <col min="4097" max="4097" width="7.7109375" style="14" customWidth="1"/>
    <col min="4098" max="4098" width="9.140625" style="14"/>
    <col min="4099" max="4099" width="7.85546875" style="14" customWidth="1"/>
    <col min="4100" max="4100" width="9.140625" style="14"/>
    <col min="4101" max="4101" width="8.7109375" style="14" customWidth="1"/>
    <col min="4102" max="4107" width="9.140625" style="14"/>
    <col min="4108" max="4108" width="11.42578125" style="14" customWidth="1"/>
    <col min="4109" max="4121" width="9.140625" style="14"/>
    <col min="4122" max="4122" width="11.140625" style="14" customWidth="1"/>
    <col min="4123" max="4327" width="9.140625" style="14"/>
    <col min="4328" max="4328" width="8.5703125" style="14" customWidth="1"/>
    <col min="4329" max="4329" width="11.7109375" style="14" customWidth="1"/>
    <col min="4330" max="4330" width="19.28515625" style="14" customWidth="1"/>
    <col min="4331" max="4331" width="13.140625" style="14" customWidth="1"/>
    <col min="4332" max="4333" width="11.5703125" style="14" customWidth="1"/>
    <col min="4334" max="4334" width="5.7109375" style="14" customWidth="1"/>
    <col min="4335" max="4335" width="28.7109375" style="14" customWidth="1"/>
    <col min="4336" max="4336" width="40.5703125" style="14" customWidth="1"/>
    <col min="4337" max="4337" width="13.28515625" style="14" customWidth="1"/>
    <col min="4338" max="4338" width="14" style="14" customWidth="1"/>
    <col min="4339" max="4341" width="13.140625" style="14" customWidth="1"/>
    <col min="4342" max="4342" width="10.28515625" style="14" customWidth="1"/>
    <col min="4343" max="4344" width="13.5703125" style="14" customWidth="1"/>
    <col min="4345" max="4345" width="7.140625" style="14" customWidth="1"/>
    <col min="4346" max="4346" width="5.7109375" style="14" customWidth="1"/>
    <col min="4347" max="4347" width="6.42578125" style="14" customWidth="1"/>
    <col min="4348" max="4348" width="6.5703125" style="14" customWidth="1"/>
    <col min="4349" max="4352" width="9.140625" style="14"/>
    <col min="4353" max="4353" width="7.7109375" style="14" customWidth="1"/>
    <col min="4354" max="4354" width="9.140625" style="14"/>
    <col min="4355" max="4355" width="7.85546875" style="14" customWidth="1"/>
    <col min="4356" max="4356" width="9.140625" style="14"/>
    <col min="4357" max="4357" width="8.7109375" style="14" customWidth="1"/>
    <col min="4358" max="4363" width="9.140625" style="14"/>
    <col min="4364" max="4364" width="11.42578125" style="14" customWidth="1"/>
    <col min="4365" max="4377" width="9.140625" style="14"/>
    <col min="4378" max="4378" width="11.140625" style="14" customWidth="1"/>
    <col min="4379" max="4583" width="9.140625" style="14"/>
    <col min="4584" max="4584" width="8.5703125" style="14" customWidth="1"/>
    <col min="4585" max="4585" width="11.7109375" style="14" customWidth="1"/>
    <col min="4586" max="4586" width="19.28515625" style="14" customWidth="1"/>
    <col min="4587" max="4587" width="13.140625" style="14" customWidth="1"/>
    <col min="4588" max="4589" width="11.5703125" style="14" customWidth="1"/>
    <col min="4590" max="4590" width="5.7109375" style="14" customWidth="1"/>
    <col min="4591" max="4591" width="28.7109375" style="14" customWidth="1"/>
    <col min="4592" max="4592" width="40.5703125" style="14" customWidth="1"/>
    <col min="4593" max="4593" width="13.28515625" style="14" customWidth="1"/>
    <col min="4594" max="4594" width="14" style="14" customWidth="1"/>
    <col min="4595" max="4597" width="13.140625" style="14" customWidth="1"/>
    <col min="4598" max="4598" width="10.28515625" style="14" customWidth="1"/>
    <col min="4599" max="4600" width="13.5703125" style="14" customWidth="1"/>
    <col min="4601" max="4601" width="7.140625" style="14" customWidth="1"/>
    <col min="4602" max="4602" width="5.7109375" style="14" customWidth="1"/>
    <col min="4603" max="4603" width="6.42578125" style="14" customWidth="1"/>
    <col min="4604" max="4604" width="6.5703125" style="14" customWidth="1"/>
    <col min="4605" max="4608" width="9.140625" style="14"/>
    <col min="4609" max="4609" width="7.7109375" style="14" customWidth="1"/>
    <col min="4610" max="4610" width="9.140625" style="14"/>
    <col min="4611" max="4611" width="7.85546875" style="14" customWidth="1"/>
    <col min="4612" max="4612" width="9.140625" style="14"/>
    <col min="4613" max="4613" width="8.7109375" style="14" customWidth="1"/>
    <col min="4614" max="4619" width="9.140625" style="14"/>
    <col min="4620" max="4620" width="11.42578125" style="14" customWidth="1"/>
    <col min="4621" max="4633" width="9.140625" style="14"/>
    <col min="4634" max="4634" width="11.140625" style="14" customWidth="1"/>
    <col min="4635" max="4839" width="9.140625" style="14"/>
    <col min="4840" max="4840" width="8.5703125" style="14" customWidth="1"/>
    <col min="4841" max="4841" width="11.7109375" style="14" customWidth="1"/>
    <col min="4842" max="4842" width="19.28515625" style="14" customWidth="1"/>
    <col min="4843" max="4843" width="13.140625" style="14" customWidth="1"/>
    <col min="4844" max="4845" width="11.5703125" style="14" customWidth="1"/>
    <col min="4846" max="4846" width="5.7109375" style="14" customWidth="1"/>
    <col min="4847" max="4847" width="28.7109375" style="14" customWidth="1"/>
    <col min="4848" max="4848" width="40.5703125" style="14" customWidth="1"/>
    <col min="4849" max="4849" width="13.28515625" style="14" customWidth="1"/>
    <col min="4850" max="4850" width="14" style="14" customWidth="1"/>
    <col min="4851" max="4853" width="13.140625" style="14" customWidth="1"/>
    <col min="4854" max="4854" width="10.28515625" style="14" customWidth="1"/>
    <col min="4855" max="4856" width="13.5703125" style="14" customWidth="1"/>
    <col min="4857" max="4857" width="7.140625" style="14" customWidth="1"/>
    <col min="4858" max="4858" width="5.7109375" style="14" customWidth="1"/>
    <col min="4859" max="4859" width="6.42578125" style="14" customWidth="1"/>
    <col min="4860" max="4860" width="6.5703125" style="14" customWidth="1"/>
    <col min="4861" max="4864" width="9.140625" style="14"/>
    <col min="4865" max="4865" width="7.7109375" style="14" customWidth="1"/>
    <col min="4866" max="4866" width="9.140625" style="14"/>
    <col min="4867" max="4867" width="7.85546875" style="14" customWidth="1"/>
    <col min="4868" max="4868" width="9.140625" style="14"/>
    <col min="4869" max="4869" width="8.7109375" style="14" customWidth="1"/>
    <col min="4870" max="4875" width="9.140625" style="14"/>
    <col min="4876" max="4876" width="11.42578125" style="14" customWidth="1"/>
    <col min="4877" max="4889" width="9.140625" style="14"/>
    <col min="4890" max="4890" width="11.140625" style="14" customWidth="1"/>
    <col min="4891" max="5095" width="9.140625" style="14"/>
    <col min="5096" max="5096" width="8.5703125" style="14" customWidth="1"/>
    <col min="5097" max="5097" width="11.7109375" style="14" customWidth="1"/>
    <col min="5098" max="5098" width="19.28515625" style="14" customWidth="1"/>
    <col min="5099" max="5099" width="13.140625" style="14" customWidth="1"/>
    <col min="5100" max="5101" width="11.5703125" style="14" customWidth="1"/>
    <col min="5102" max="5102" width="5.7109375" style="14" customWidth="1"/>
    <col min="5103" max="5103" width="28.7109375" style="14" customWidth="1"/>
    <col min="5104" max="5104" width="40.5703125" style="14" customWidth="1"/>
    <col min="5105" max="5105" width="13.28515625" style="14" customWidth="1"/>
    <col min="5106" max="5106" width="14" style="14" customWidth="1"/>
    <col min="5107" max="5109" width="13.140625" style="14" customWidth="1"/>
    <col min="5110" max="5110" width="10.28515625" style="14" customWidth="1"/>
    <col min="5111" max="5112" width="13.5703125" style="14" customWidth="1"/>
    <col min="5113" max="5113" width="7.140625" style="14" customWidth="1"/>
    <col min="5114" max="5114" width="5.7109375" style="14" customWidth="1"/>
    <col min="5115" max="5115" width="6.42578125" style="14" customWidth="1"/>
    <col min="5116" max="5116" width="6.5703125" style="14" customWidth="1"/>
    <col min="5117" max="5120" width="9.140625" style="14"/>
    <col min="5121" max="5121" width="7.7109375" style="14" customWidth="1"/>
    <col min="5122" max="5122" width="9.140625" style="14"/>
    <col min="5123" max="5123" width="7.85546875" style="14" customWidth="1"/>
    <col min="5124" max="5124" width="9.140625" style="14"/>
    <col min="5125" max="5125" width="8.7109375" style="14" customWidth="1"/>
    <col min="5126" max="5131" width="9.140625" style="14"/>
    <col min="5132" max="5132" width="11.42578125" style="14" customWidth="1"/>
    <col min="5133" max="5145" width="9.140625" style="14"/>
    <col min="5146" max="5146" width="11.140625" style="14" customWidth="1"/>
    <col min="5147" max="5351" width="9.140625" style="14"/>
    <col min="5352" max="5352" width="8.5703125" style="14" customWidth="1"/>
    <col min="5353" max="5353" width="11.7109375" style="14" customWidth="1"/>
    <col min="5354" max="5354" width="19.28515625" style="14" customWidth="1"/>
    <col min="5355" max="5355" width="13.140625" style="14" customWidth="1"/>
    <col min="5356" max="5357" width="11.5703125" style="14" customWidth="1"/>
    <col min="5358" max="5358" width="5.7109375" style="14" customWidth="1"/>
    <col min="5359" max="5359" width="28.7109375" style="14" customWidth="1"/>
    <col min="5360" max="5360" width="40.5703125" style="14" customWidth="1"/>
    <col min="5361" max="5361" width="13.28515625" style="14" customWidth="1"/>
    <col min="5362" max="5362" width="14" style="14" customWidth="1"/>
    <col min="5363" max="5365" width="13.140625" style="14" customWidth="1"/>
    <col min="5366" max="5366" width="10.28515625" style="14" customWidth="1"/>
    <col min="5367" max="5368" width="13.5703125" style="14" customWidth="1"/>
    <col min="5369" max="5369" width="7.140625" style="14" customWidth="1"/>
    <col min="5370" max="5370" width="5.7109375" style="14" customWidth="1"/>
    <col min="5371" max="5371" width="6.42578125" style="14" customWidth="1"/>
    <col min="5372" max="5372" width="6.5703125" style="14" customWidth="1"/>
    <col min="5373" max="5376" width="9.140625" style="14"/>
    <col min="5377" max="5377" width="7.7109375" style="14" customWidth="1"/>
    <col min="5378" max="5378" width="9.140625" style="14"/>
    <col min="5379" max="5379" width="7.85546875" style="14" customWidth="1"/>
    <col min="5380" max="5380" width="9.140625" style="14"/>
    <col min="5381" max="5381" width="8.7109375" style="14" customWidth="1"/>
    <col min="5382" max="5387" width="9.140625" style="14"/>
    <col min="5388" max="5388" width="11.42578125" style="14" customWidth="1"/>
    <col min="5389" max="5401" width="9.140625" style="14"/>
    <col min="5402" max="5402" width="11.140625" style="14" customWidth="1"/>
    <col min="5403" max="5607" width="9.140625" style="14"/>
    <col min="5608" max="5608" width="8.5703125" style="14" customWidth="1"/>
    <col min="5609" max="5609" width="11.7109375" style="14" customWidth="1"/>
    <col min="5610" max="5610" width="19.28515625" style="14" customWidth="1"/>
    <col min="5611" max="5611" width="13.140625" style="14" customWidth="1"/>
    <col min="5612" max="5613" width="11.5703125" style="14" customWidth="1"/>
    <col min="5614" max="5614" width="5.7109375" style="14" customWidth="1"/>
    <col min="5615" max="5615" width="28.7109375" style="14" customWidth="1"/>
    <col min="5616" max="5616" width="40.5703125" style="14" customWidth="1"/>
    <col min="5617" max="5617" width="13.28515625" style="14" customWidth="1"/>
    <col min="5618" max="5618" width="14" style="14" customWidth="1"/>
    <col min="5619" max="5621" width="13.140625" style="14" customWidth="1"/>
    <col min="5622" max="5622" width="10.28515625" style="14" customWidth="1"/>
    <col min="5623" max="5624" width="13.5703125" style="14" customWidth="1"/>
    <col min="5625" max="5625" width="7.140625" style="14" customWidth="1"/>
    <col min="5626" max="5626" width="5.7109375" style="14" customWidth="1"/>
    <col min="5627" max="5627" width="6.42578125" style="14" customWidth="1"/>
    <col min="5628" max="5628" width="6.5703125" style="14" customWidth="1"/>
    <col min="5629" max="5632" width="9.140625" style="14"/>
    <col min="5633" max="5633" width="7.7109375" style="14" customWidth="1"/>
    <col min="5634" max="5634" width="9.140625" style="14"/>
    <col min="5635" max="5635" width="7.85546875" style="14" customWidth="1"/>
    <col min="5636" max="5636" width="9.140625" style="14"/>
    <col min="5637" max="5637" width="8.7109375" style="14" customWidth="1"/>
    <col min="5638" max="5643" width="9.140625" style="14"/>
    <col min="5644" max="5644" width="11.42578125" style="14" customWidth="1"/>
    <col min="5645" max="5657" width="9.140625" style="14"/>
    <col min="5658" max="5658" width="11.140625" style="14" customWidth="1"/>
    <col min="5659" max="5863" width="9.140625" style="14"/>
    <col min="5864" max="5864" width="8.5703125" style="14" customWidth="1"/>
    <col min="5865" max="5865" width="11.7109375" style="14" customWidth="1"/>
    <col min="5866" max="5866" width="19.28515625" style="14" customWidth="1"/>
    <col min="5867" max="5867" width="13.140625" style="14" customWidth="1"/>
    <col min="5868" max="5869" width="11.5703125" style="14" customWidth="1"/>
    <col min="5870" max="5870" width="5.7109375" style="14" customWidth="1"/>
    <col min="5871" max="5871" width="28.7109375" style="14" customWidth="1"/>
    <col min="5872" max="5872" width="40.5703125" style="14" customWidth="1"/>
    <col min="5873" max="5873" width="13.28515625" style="14" customWidth="1"/>
    <col min="5874" max="5874" width="14" style="14" customWidth="1"/>
    <col min="5875" max="5877" width="13.140625" style="14" customWidth="1"/>
    <col min="5878" max="5878" width="10.28515625" style="14" customWidth="1"/>
    <col min="5879" max="5880" width="13.5703125" style="14" customWidth="1"/>
    <col min="5881" max="5881" width="7.140625" style="14" customWidth="1"/>
    <col min="5882" max="5882" width="5.7109375" style="14" customWidth="1"/>
    <col min="5883" max="5883" width="6.42578125" style="14" customWidth="1"/>
    <col min="5884" max="5884" width="6.5703125" style="14" customWidth="1"/>
    <col min="5885" max="5888" width="9.140625" style="14"/>
    <col min="5889" max="5889" width="7.7109375" style="14" customWidth="1"/>
    <col min="5890" max="5890" width="9.140625" style="14"/>
    <col min="5891" max="5891" width="7.85546875" style="14" customWidth="1"/>
    <col min="5892" max="5892" width="9.140625" style="14"/>
    <col min="5893" max="5893" width="8.7109375" style="14" customWidth="1"/>
    <col min="5894" max="5899" width="9.140625" style="14"/>
    <col min="5900" max="5900" width="11.42578125" style="14" customWidth="1"/>
    <col min="5901" max="5913" width="9.140625" style="14"/>
    <col min="5914" max="5914" width="11.140625" style="14" customWidth="1"/>
    <col min="5915" max="6119" width="9.140625" style="14"/>
    <col min="6120" max="6120" width="8.5703125" style="14" customWidth="1"/>
    <col min="6121" max="6121" width="11.7109375" style="14" customWidth="1"/>
    <col min="6122" max="6122" width="19.28515625" style="14" customWidth="1"/>
    <col min="6123" max="6123" width="13.140625" style="14" customWidth="1"/>
    <col min="6124" max="6125" width="11.5703125" style="14" customWidth="1"/>
    <col min="6126" max="6126" width="5.7109375" style="14" customWidth="1"/>
    <col min="6127" max="6127" width="28.7109375" style="14" customWidth="1"/>
    <col min="6128" max="6128" width="40.5703125" style="14" customWidth="1"/>
    <col min="6129" max="6129" width="13.28515625" style="14" customWidth="1"/>
    <col min="6130" max="6130" width="14" style="14" customWidth="1"/>
    <col min="6131" max="6133" width="13.140625" style="14" customWidth="1"/>
    <col min="6134" max="6134" width="10.28515625" style="14" customWidth="1"/>
    <col min="6135" max="6136" width="13.5703125" style="14" customWidth="1"/>
    <col min="6137" max="6137" width="7.140625" style="14" customWidth="1"/>
    <col min="6138" max="6138" width="5.7109375" style="14" customWidth="1"/>
    <col min="6139" max="6139" width="6.42578125" style="14" customWidth="1"/>
    <col min="6140" max="6140" width="6.5703125" style="14" customWidth="1"/>
    <col min="6141" max="6144" width="9.140625" style="14"/>
    <col min="6145" max="6145" width="7.7109375" style="14" customWidth="1"/>
    <col min="6146" max="6146" width="9.140625" style="14"/>
    <col min="6147" max="6147" width="7.85546875" style="14" customWidth="1"/>
    <col min="6148" max="6148" width="9.140625" style="14"/>
    <col min="6149" max="6149" width="8.7109375" style="14" customWidth="1"/>
    <col min="6150" max="6155" width="9.140625" style="14"/>
    <col min="6156" max="6156" width="11.42578125" style="14" customWidth="1"/>
    <col min="6157" max="6169" width="9.140625" style="14"/>
    <col min="6170" max="6170" width="11.140625" style="14" customWidth="1"/>
    <col min="6171" max="6375" width="9.140625" style="14"/>
    <col min="6376" max="6376" width="8.5703125" style="14" customWidth="1"/>
    <col min="6377" max="6377" width="11.7109375" style="14" customWidth="1"/>
    <col min="6378" max="6378" width="19.28515625" style="14" customWidth="1"/>
    <col min="6379" max="6379" width="13.140625" style="14" customWidth="1"/>
    <col min="6380" max="6381" width="11.5703125" style="14" customWidth="1"/>
    <col min="6382" max="6382" width="5.7109375" style="14" customWidth="1"/>
    <col min="6383" max="6383" width="28.7109375" style="14" customWidth="1"/>
    <col min="6384" max="6384" width="40.5703125" style="14" customWidth="1"/>
    <col min="6385" max="6385" width="13.28515625" style="14" customWidth="1"/>
    <col min="6386" max="6386" width="14" style="14" customWidth="1"/>
    <col min="6387" max="6389" width="13.140625" style="14" customWidth="1"/>
    <col min="6390" max="6390" width="10.28515625" style="14" customWidth="1"/>
    <col min="6391" max="6392" width="13.5703125" style="14" customWidth="1"/>
    <col min="6393" max="6393" width="7.140625" style="14" customWidth="1"/>
    <col min="6394" max="6394" width="5.7109375" style="14" customWidth="1"/>
    <col min="6395" max="6395" width="6.42578125" style="14" customWidth="1"/>
    <col min="6396" max="6396" width="6.5703125" style="14" customWidth="1"/>
    <col min="6397" max="6400" width="9.140625" style="14"/>
    <col min="6401" max="6401" width="7.7109375" style="14" customWidth="1"/>
    <col min="6402" max="6402" width="9.140625" style="14"/>
    <col min="6403" max="6403" width="7.85546875" style="14" customWidth="1"/>
    <col min="6404" max="6404" width="9.140625" style="14"/>
    <col min="6405" max="6405" width="8.7109375" style="14" customWidth="1"/>
    <col min="6406" max="6411" width="9.140625" style="14"/>
    <col min="6412" max="6412" width="11.42578125" style="14" customWidth="1"/>
    <col min="6413" max="6425" width="9.140625" style="14"/>
    <col min="6426" max="6426" width="11.140625" style="14" customWidth="1"/>
    <col min="6427" max="6631" width="9.140625" style="14"/>
    <col min="6632" max="6632" width="8.5703125" style="14" customWidth="1"/>
    <col min="6633" max="6633" width="11.7109375" style="14" customWidth="1"/>
    <col min="6634" max="6634" width="19.28515625" style="14" customWidth="1"/>
    <col min="6635" max="6635" width="13.140625" style="14" customWidth="1"/>
    <col min="6636" max="6637" width="11.5703125" style="14" customWidth="1"/>
    <col min="6638" max="6638" width="5.7109375" style="14" customWidth="1"/>
    <col min="6639" max="6639" width="28.7109375" style="14" customWidth="1"/>
    <col min="6640" max="6640" width="40.5703125" style="14" customWidth="1"/>
    <col min="6641" max="6641" width="13.28515625" style="14" customWidth="1"/>
    <col min="6642" max="6642" width="14" style="14" customWidth="1"/>
    <col min="6643" max="6645" width="13.140625" style="14" customWidth="1"/>
    <col min="6646" max="6646" width="10.28515625" style="14" customWidth="1"/>
    <col min="6647" max="6648" width="13.5703125" style="14" customWidth="1"/>
    <col min="6649" max="6649" width="7.140625" style="14" customWidth="1"/>
    <col min="6650" max="6650" width="5.7109375" style="14" customWidth="1"/>
    <col min="6651" max="6651" width="6.42578125" style="14" customWidth="1"/>
    <col min="6652" max="6652" width="6.5703125" style="14" customWidth="1"/>
    <col min="6653" max="6656" width="9.140625" style="14"/>
    <col min="6657" max="6657" width="7.7109375" style="14" customWidth="1"/>
    <col min="6658" max="6658" width="9.140625" style="14"/>
    <col min="6659" max="6659" width="7.85546875" style="14" customWidth="1"/>
    <col min="6660" max="6660" width="9.140625" style="14"/>
    <col min="6661" max="6661" width="8.7109375" style="14" customWidth="1"/>
    <col min="6662" max="6667" width="9.140625" style="14"/>
    <col min="6668" max="6668" width="11.42578125" style="14" customWidth="1"/>
    <col min="6669" max="6681" width="9.140625" style="14"/>
    <col min="6682" max="6682" width="11.140625" style="14" customWidth="1"/>
    <col min="6683" max="6887" width="9.140625" style="14"/>
    <col min="6888" max="6888" width="8.5703125" style="14" customWidth="1"/>
    <col min="6889" max="6889" width="11.7109375" style="14" customWidth="1"/>
    <col min="6890" max="6890" width="19.28515625" style="14" customWidth="1"/>
    <col min="6891" max="6891" width="13.140625" style="14" customWidth="1"/>
    <col min="6892" max="6893" width="11.5703125" style="14" customWidth="1"/>
    <col min="6894" max="6894" width="5.7109375" style="14" customWidth="1"/>
    <col min="6895" max="6895" width="28.7109375" style="14" customWidth="1"/>
    <col min="6896" max="6896" width="40.5703125" style="14" customWidth="1"/>
    <col min="6897" max="6897" width="13.28515625" style="14" customWidth="1"/>
    <col min="6898" max="6898" width="14" style="14" customWidth="1"/>
    <col min="6899" max="6901" width="13.140625" style="14" customWidth="1"/>
    <col min="6902" max="6902" width="10.28515625" style="14" customWidth="1"/>
    <col min="6903" max="6904" width="13.5703125" style="14" customWidth="1"/>
    <col min="6905" max="6905" width="7.140625" style="14" customWidth="1"/>
    <col min="6906" max="6906" width="5.7109375" style="14" customWidth="1"/>
    <col min="6907" max="6907" width="6.42578125" style="14" customWidth="1"/>
    <col min="6908" max="6908" width="6.5703125" style="14" customWidth="1"/>
    <col min="6909" max="6912" width="9.140625" style="14"/>
    <col min="6913" max="6913" width="7.7109375" style="14" customWidth="1"/>
    <col min="6914" max="6914" width="9.140625" style="14"/>
    <col min="6915" max="6915" width="7.85546875" style="14" customWidth="1"/>
    <col min="6916" max="6916" width="9.140625" style="14"/>
    <col min="6917" max="6917" width="8.7109375" style="14" customWidth="1"/>
    <col min="6918" max="6923" width="9.140625" style="14"/>
    <col min="6924" max="6924" width="11.42578125" style="14" customWidth="1"/>
    <col min="6925" max="6937" width="9.140625" style="14"/>
    <col min="6938" max="6938" width="11.140625" style="14" customWidth="1"/>
    <col min="6939" max="7143" width="9.140625" style="14"/>
    <col min="7144" max="7144" width="8.5703125" style="14" customWidth="1"/>
    <col min="7145" max="7145" width="11.7109375" style="14" customWidth="1"/>
    <col min="7146" max="7146" width="19.28515625" style="14" customWidth="1"/>
    <col min="7147" max="7147" width="13.140625" style="14" customWidth="1"/>
    <col min="7148" max="7149" width="11.5703125" style="14" customWidth="1"/>
    <col min="7150" max="7150" width="5.7109375" style="14" customWidth="1"/>
    <col min="7151" max="7151" width="28.7109375" style="14" customWidth="1"/>
    <col min="7152" max="7152" width="40.5703125" style="14" customWidth="1"/>
    <col min="7153" max="7153" width="13.28515625" style="14" customWidth="1"/>
    <col min="7154" max="7154" width="14" style="14" customWidth="1"/>
    <col min="7155" max="7157" width="13.140625" style="14" customWidth="1"/>
    <col min="7158" max="7158" width="10.28515625" style="14" customWidth="1"/>
    <col min="7159" max="7160" width="13.5703125" style="14" customWidth="1"/>
    <col min="7161" max="7161" width="7.140625" style="14" customWidth="1"/>
    <col min="7162" max="7162" width="5.7109375" style="14" customWidth="1"/>
    <col min="7163" max="7163" width="6.42578125" style="14" customWidth="1"/>
    <col min="7164" max="7164" width="6.5703125" style="14" customWidth="1"/>
    <col min="7165" max="7168" width="9.140625" style="14"/>
    <col min="7169" max="7169" width="7.7109375" style="14" customWidth="1"/>
    <col min="7170" max="7170" width="9.140625" style="14"/>
    <col min="7171" max="7171" width="7.85546875" style="14" customWidth="1"/>
    <col min="7172" max="7172" width="9.140625" style="14"/>
    <col min="7173" max="7173" width="8.7109375" style="14" customWidth="1"/>
    <col min="7174" max="7179" width="9.140625" style="14"/>
    <col min="7180" max="7180" width="11.42578125" style="14" customWidth="1"/>
    <col min="7181" max="7193" width="9.140625" style="14"/>
    <col min="7194" max="7194" width="11.140625" style="14" customWidth="1"/>
    <col min="7195" max="7399" width="9.140625" style="14"/>
    <col min="7400" max="7400" width="8.5703125" style="14" customWidth="1"/>
    <col min="7401" max="7401" width="11.7109375" style="14" customWidth="1"/>
    <col min="7402" max="7402" width="19.28515625" style="14" customWidth="1"/>
    <col min="7403" max="7403" width="13.140625" style="14" customWidth="1"/>
    <col min="7404" max="7405" width="11.5703125" style="14" customWidth="1"/>
    <col min="7406" max="7406" width="5.7109375" style="14" customWidth="1"/>
    <col min="7407" max="7407" width="28.7109375" style="14" customWidth="1"/>
    <col min="7408" max="7408" width="40.5703125" style="14" customWidth="1"/>
    <col min="7409" max="7409" width="13.28515625" style="14" customWidth="1"/>
    <col min="7410" max="7410" width="14" style="14" customWidth="1"/>
    <col min="7411" max="7413" width="13.140625" style="14" customWidth="1"/>
    <col min="7414" max="7414" width="10.28515625" style="14" customWidth="1"/>
    <col min="7415" max="7416" width="13.5703125" style="14" customWidth="1"/>
    <col min="7417" max="7417" width="7.140625" style="14" customWidth="1"/>
    <col min="7418" max="7418" width="5.7109375" style="14" customWidth="1"/>
    <col min="7419" max="7419" width="6.42578125" style="14" customWidth="1"/>
    <col min="7420" max="7420" width="6.5703125" style="14" customWidth="1"/>
    <col min="7421" max="7424" width="9.140625" style="14"/>
    <col min="7425" max="7425" width="7.7109375" style="14" customWidth="1"/>
    <col min="7426" max="7426" width="9.140625" style="14"/>
    <col min="7427" max="7427" width="7.85546875" style="14" customWidth="1"/>
    <col min="7428" max="7428" width="9.140625" style="14"/>
    <col min="7429" max="7429" width="8.7109375" style="14" customWidth="1"/>
    <col min="7430" max="7435" width="9.140625" style="14"/>
    <col min="7436" max="7436" width="11.42578125" style="14" customWidth="1"/>
    <col min="7437" max="7449" width="9.140625" style="14"/>
    <col min="7450" max="7450" width="11.140625" style="14" customWidth="1"/>
    <col min="7451" max="7655" width="9.140625" style="14"/>
    <col min="7656" max="7656" width="8.5703125" style="14" customWidth="1"/>
    <col min="7657" max="7657" width="11.7109375" style="14" customWidth="1"/>
    <col min="7658" max="7658" width="19.28515625" style="14" customWidth="1"/>
    <col min="7659" max="7659" width="13.140625" style="14" customWidth="1"/>
    <col min="7660" max="7661" width="11.5703125" style="14" customWidth="1"/>
    <col min="7662" max="7662" width="5.7109375" style="14" customWidth="1"/>
    <col min="7663" max="7663" width="28.7109375" style="14" customWidth="1"/>
    <col min="7664" max="7664" width="40.5703125" style="14" customWidth="1"/>
    <col min="7665" max="7665" width="13.28515625" style="14" customWidth="1"/>
    <col min="7666" max="7666" width="14" style="14" customWidth="1"/>
    <col min="7667" max="7669" width="13.140625" style="14" customWidth="1"/>
    <col min="7670" max="7670" width="10.28515625" style="14" customWidth="1"/>
    <col min="7671" max="7672" width="13.5703125" style="14" customWidth="1"/>
    <col min="7673" max="7673" width="7.140625" style="14" customWidth="1"/>
    <col min="7674" max="7674" width="5.7109375" style="14" customWidth="1"/>
    <col min="7675" max="7675" width="6.42578125" style="14" customWidth="1"/>
    <col min="7676" max="7676" width="6.5703125" style="14" customWidth="1"/>
    <col min="7677" max="7680" width="9.140625" style="14"/>
    <col min="7681" max="7681" width="7.7109375" style="14" customWidth="1"/>
    <col min="7682" max="7682" width="9.140625" style="14"/>
    <col min="7683" max="7683" width="7.85546875" style="14" customWidth="1"/>
    <col min="7684" max="7684" width="9.140625" style="14"/>
    <col min="7685" max="7685" width="8.7109375" style="14" customWidth="1"/>
    <col min="7686" max="7691" width="9.140625" style="14"/>
    <col min="7692" max="7692" width="11.42578125" style="14" customWidth="1"/>
    <col min="7693" max="7705" width="9.140625" style="14"/>
    <col min="7706" max="7706" width="11.140625" style="14" customWidth="1"/>
    <col min="7707" max="7911" width="9.140625" style="14"/>
    <col min="7912" max="7912" width="8.5703125" style="14" customWidth="1"/>
    <col min="7913" max="7913" width="11.7109375" style="14" customWidth="1"/>
    <col min="7914" max="7914" width="19.28515625" style="14" customWidth="1"/>
    <col min="7915" max="7915" width="13.140625" style="14" customWidth="1"/>
    <col min="7916" max="7917" width="11.5703125" style="14" customWidth="1"/>
    <col min="7918" max="7918" width="5.7109375" style="14" customWidth="1"/>
    <col min="7919" max="7919" width="28.7109375" style="14" customWidth="1"/>
    <col min="7920" max="7920" width="40.5703125" style="14" customWidth="1"/>
    <col min="7921" max="7921" width="13.28515625" style="14" customWidth="1"/>
    <col min="7922" max="7922" width="14" style="14" customWidth="1"/>
    <col min="7923" max="7925" width="13.140625" style="14" customWidth="1"/>
    <col min="7926" max="7926" width="10.28515625" style="14" customWidth="1"/>
    <col min="7927" max="7928" width="13.5703125" style="14" customWidth="1"/>
    <col min="7929" max="7929" width="7.140625" style="14" customWidth="1"/>
    <col min="7930" max="7930" width="5.7109375" style="14" customWidth="1"/>
    <col min="7931" max="7931" width="6.42578125" style="14" customWidth="1"/>
    <col min="7932" max="7932" width="6.5703125" style="14" customWidth="1"/>
    <col min="7933" max="7936" width="9.140625" style="14"/>
    <col min="7937" max="7937" width="7.7109375" style="14" customWidth="1"/>
    <col min="7938" max="7938" width="9.140625" style="14"/>
    <col min="7939" max="7939" width="7.85546875" style="14" customWidth="1"/>
    <col min="7940" max="7940" width="9.140625" style="14"/>
    <col min="7941" max="7941" width="8.7109375" style="14" customWidth="1"/>
    <col min="7942" max="7947" width="9.140625" style="14"/>
    <col min="7948" max="7948" width="11.42578125" style="14" customWidth="1"/>
    <col min="7949" max="7961" width="9.140625" style="14"/>
    <col min="7962" max="7962" width="11.140625" style="14" customWidth="1"/>
    <col min="7963" max="8167" width="9.140625" style="14"/>
    <col min="8168" max="8168" width="8.5703125" style="14" customWidth="1"/>
    <col min="8169" max="8169" width="11.7109375" style="14" customWidth="1"/>
    <col min="8170" max="8170" width="19.28515625" style="14" customWidth="1"/>
    <col min="8171" max="8171" width="13.140625" style="14" customWidth="1"/>
    <col min="8172" max="8173" width="11.5703125" style="14" customWidth="1"/>
    <col min="8174" max="8174" width="5.7109375" style="14" customWidth="1"/>
    <col min="8175" max="8175" width="28.7109375" style="14" customWidth="1"/>
    <col min="8176" max="8176" width="40.5703125" style="14" customWidth="1"/>
    <col min="8177" max="8177" width="13.28515625" style="14" customWidth="1"/>
    <col min="8178" max="8178" width="14" style="14" customWidth="1"/>
    <col min="8179" max="8181" width="13.140625" style="14" customWidth="1"/>
    <col min="8182" max="8182" width="10.28515625" style="14" customWidth="1"/>
    <col min="8183" max="8184" width="13.5703125" style="14" customWidth="1"/>
    <col min="8185" max="8185" width="7.140625" style="14" customWidth="1"/>
    <col min="8186" max="8186" width="5.7109375" style="14" customWidth="1"/>
    <col min="8187" max="8187" width="6.42578125" style="14" customWidth="1"/>
    <col min="8188" max="8188" width="6.5703125" style="14" customWidth="1"/>
    <col min="8189" max="8192" width="9.140625" style="14"/>
    <col min="8193" max="8193" width="7.7109375" style="14" customWidth="1"/>
    <col min="8194" max="8194" width="9.140625" style="14"/>
    <col min="8195" max="8195" width="7.85546875" style="14" customWidth="1"/>
    <col min="8196" max="8196" width="9.140625" style="14"/>
    <col min="8197" max="8197" width="8.7109375" style="14" customWidth="1"/>
    <col min="8198" max="8203" width="9.140625" style="14"/>
    <col min="8204" max="8204" width="11.42578125" style="14" customWidth="1"/>
    <col min="8205" max="8217" width="9.140625" style="14"/>
    <col min="8218" max="8218" width="11.140625" style="14" customWidth="1"/>
    <col min="8219" max="8423" width="9.140625" style="14"/>
    <col min="8424" max="8424" width="8.5703125" style="14" customWidth="1"/>
    <col min="8425" max="8425" width="11.7109375" style="14" customWidth="1"/>
    <col min="8426" max="8426" width="19.28515625" style="14" customWidth="1"/>
    <col min="8427" max="8427" width="13.140625" style="14" customWidth="1"/>
    <col min="8428" max="8429" width="11.5703125" style="14" customWidth="1"/>
    <col min="8430" max="8430" width="5.7109375" style="14" customWidth="1"/>
    <col min="8431" max="8431" width="28.7109375" style="14" customWidth="1"/>
    <col min="8432" max="8432" width="40.5703125" style="14" customWidth="1"/>
    <col min="8433" max="8433" width="13.28515625" style="14" customWidth="1"/>
    <col min="8434" max="8434" width="14" style="14" customWidth="1"/>
    <col min="8435" max="8437" width="13.140625" style="14" customWidth="1"/>
    <col min="8438" max="8438" width="10.28515625" style="14" customWidth="1"/>
    <col min="8439" max="8440" width="13.5703125" style="14" customWidth="1"/>
    <col min="8441" max="8441" width="7.140625" style="14" customWidth="1"/>
    <col min="8442" max="8442" width="5.7109375" style="14" customWidth="1"/>
    <col min="8443" max="8443" width="6.42578125" style="14" customWidth="1"/>
    <col min="8444" max="8444" width="6.5703125" style="14" customWidth="1"/>
    <col min="8445" max="8448" width="9.140625" style="14"/>
    <col min="8449" max="8449" width="7.7109375" style="14" customWidth="1"/>
    <col min="8450" max="8450" width="9.140625" style="14"/>
    <col min="8451" max="8451" width="7.85546875" style="14" customWidth="1"/>
    <col min="8452" max="8452" width="9.140625" style="14"/>
    <col min="8453" max="8453" width="8.7109375" style="14" customWidth="1"/>
    <col min="8454" max="8459" width="9.140625" style="14"/>
    <col min="8460" max="8460" width="11.42578125" style="14" customWidth="1"/>
    <col min="8461" max="8473" width="9.140625" style="14"/>
    <col min="8474" max="8474" width="11.140625" style="14" customWidth="1"/>
    <col min="8475" max="8679" width="9.140625" style="14"/>
    <col min="8680" max="8680" width="8.5703125" style="14" customWidth="1"/>
    <col min="8681" max="8681" width="11.7109375" style="14" customWidth="1"/>
    <col min="8682" max="8682" width="19.28515625" style="14" customWidth="1"/>
    <col min="8683" max="8683" width="13.140625" style="14" customWidth="1"/>
    <col min="8684" max="8685" width="11.5703125" style="14" customWidth="1"/>
    <col min="8686" max="8686" width="5.7109375" style="14" customWidth="1"/>
    <col min="8687" max="8687" width="28.7109375" style="14" customWidth="1"/>
    <col min="8688" max="8688" width="40.5703125" style="14" customWidth="1"/>
    <col min="8689" max="8689" width="13.28515625" style="14" customWidth="1"/>
    <col min="8690" max="8690" width="14" style="14" customWidth="1"/>
    <col min="8691" max="8693" width="13.140625" style="14" customWidth="1"/>
    <col min="8694" max="8694" width="10.28515625" style="14" customWidth="1"/>
    <col min="8695" max="8696" width="13.5703125" style="14" customWidth="1"/>
    <col min="8697" max="8697" width="7.140625" style="14" customWidth="1"/>
    <col min="8698" max="8698" width="5.7109375" style="14" customWidth="1"/>
    <col min="8699" max="8699" width="6.42578125" style="14" customWidth="1"/>
    <col min="8700" max="8700" width="6.5703125" style="14" customWidth="1"/>
    <col min="8701" max="8704" width="9.140625" style="14"/>
    <col min="8705" max="8705" width="7.7109375" style="14" customWidth="1"/>
    <col min="8706" max="8706" width="9.140625" style="14"/>
    <col min="8707" max="8707" width="7.85546875" style="14" customWidth="1"/>
    <col min="8708" max="8708" width="9.140625" style="14"/>
    <col min="8709" max="8709" width="8.7109375" style="14" customWidth="1"/>
    <col min="8710" max="8715" width="9.140625" style="14"/>
    <col min="8716" max="8716" width="11.42578125" style="14" customWidth="1"/>
    <col min="8717" max="8729" width="9.140625" style="14"/>
    <col min="8730" max="8730" width="11.140625" style="14" customWidth="1"/>
    <col min="8731" max="8935" width="9.140625" style="14"/>
    <col min="8936" max="8936" width="8.5703125" style="14" customWidth="1"/>
    <col min="8937" max="8937" width="11.7109375" style="14" customWidth="1"/>
    <col min="8938" max="8938" width="19.28515625" style="14" customWidth="1"/>
    <col min="8939" max="8939" width="13.140625" style="14" customWidth="1"/>
    <col min="8940" max="8941" width="11.5703125" style="14" customWidth="1"/>
    <col min="8942" max="8942" width="5.7109375" style="14" customWidth="1"/>
    <col min="8943" max="8943" width="28.7109375" style="14" customWidth="1"/>
    <col min="8944" max="8944" width="40.5703125" style="14" customWidth="1"/>
    <col min="8945" max="8945" width="13.28515625" style="14" customWidth="1"/>
    <col min="8946" max="8946" width="14" style="14" customWidth="1"/>
    <col min="8947" max="8949" width="13.140625" style="14" customWidth="1"/>
    <col min="8950" max="8950" width="10.28515625" style="14" customWidth="1"/>
    <col min="8951" max="8952" width="13.5703125" style="14" customWidth="1"/>
    <col min="8953" max="8953" width="7.140625" style="14" customWidth="1"/>
    <col min="8954" max="8954" width="5.7109375" style="14" customWidth="1"/>
    <col min="8955" max="8955" width="6.42578125" style="14" customWidth="1"/>
    <col min="8956" max="8956" width="6.5703125" style="14" customWidth="1"/>
    <col min="8957" max="8960" width="9.140625" style="14"/>
    <col min="8961" max="8961" width="7.7109375" style="14" customWidth="1"/>
    <col min="8962" max="8962" width="9.140625" style="14"/>
    <col min="8963" max="8963" width="7.85546875" style="14" customWidth="1"/>
    <col min="8964" max="8964" width="9.140625" style="14"/>
    <col min="8965" max="8965" width="8.7109375" style="14" customWidth="1"/>
    <col min="8966" max="8971" width="9.140625" style="14"/>
    <col min="8972" max="8972" width="11.42578125" style="14" customWidth="1"/>
    <col min="8973" max="8985" width="9.140625" style="14"/>
    <col min="8986" max="8986" width="11.140625" style="14" customWidth="1"/>
    <col min="8987" max="9191" width="9.140625" style="14"/>
    <col min="9192" max="9192" width="8.5703125" style="14" customWidth="1"/>
    <col min="9193" max="9193" width="11.7109375" style="14" customWidth="1"/>
    <col min="9194" max="9194" width="19.28515625" style="14" customWidth="1"/>
    <col min="9195" max="9195" width="13.140625" style="14" customWidth="1"/>
    <col min="9196" max="9197" width="11.5703125" style="14" customWidth="1"/>
    <col min="9198" max="9198" width="5.7109375" style="14" customWidth="1"/>
    <col min="9199" max="9199" width="28.7109375" style="14" customWidth="1"/>
    <col min="9200" max="9200" width="40.5703125" style="14" customWidth="1"/>
    <col min="9201" max="9201" width="13.28515625" style="14" customWidth="1"/>
    <col min="9202" max="9202" width="14" style="14" customWidth="1"/>
    <col min="9203" max="9205" width="13.140625" style="14" customWidth="1"/>
    <col min="9206" max="9206" width="10.28515625" style="14" customWidth="1"/>
    <col min="9207" max="9208" width="13.5703125" style="14" customWidth="1"/>
    <col min="9209" max="9209" width="7.140625" style="14" customWidth="1"/>
    <col min="9210" max="9210" width="5.7109375" style="14" customWidth="1"/>
    <col min="9211" max="9211" width="6.42578125" style="14" customWidth="1"/>
    <col min="9212" max="9212" width="6.5703125" style="14" customWidth="1"/>
    <col min="9213" max="9216" width="9.140625" style="14"/>
    <col min="9217" max="9217" width="7.7109375" style="14" customWidth="1"/>
    <col min="9218" max="9218" width="9.140625" style="14"/>
    <col min="9219" max="9219" width="7.85546875" style="14" customWidth="1"/>
    <col min="9220" max="9220" width="9.140625" style="14"/>
    <col min="9221" max="9221" width="8.7109375" style="14" customWidth="1"/>
    <col min="9222" max="9227" width="9.140625" style="14"/>
    <col min="9228" max="9228" width="11.42578125" style="14" customWidth="1"/>
    <col min="9229" max="9241" width="9.140625" style="14"/>
    <col min="9242" max="9242" width="11.140625" style="14" customWidth="1"/>
    <col min="9243" max="9447" width="9.140625" style="14"/>
    <col min="9448" max="9448" width="8.5703125" style="14" customWidth="1"/>
    <col min="9449" max="9449" width="11.7109375" style="14" customWidth="1"/>
    <col min="9450" max="9450" width="19.28515625" style="14" customWidth="1"/>
    <col min="9451" max="9451" width="13.140625" style="14" customWidth="1"/>
    <col min="9452" max="9453" width="11.5703125" style="14" customWidth="1"/>
    <col min="9454" max="9454" width="5.7109375" style="14" customWidth="1"/>
    <col min="9455" max="9455" width="28.7109375" style="14" customWidth="1"/>
    <col min="9456" max="9456" width="40.5703125" style="14" customWidth="1"/>
    <col min="9457" max="9457" width="13.28515625" style="14" customWidth="1"/>
    <col min="9458" max="9458" width="14" style="14" customWidth="1"/>
    <col min="9459" max="9461" width="13.140625" style="14" customWidth="1"/>
    <col min="9462" max="9462" width="10.28515625" style="14" customWidth="1"/>
    <col min="9463" max="9464" width="13.5703125" style="14" customWidth="1"/>
    <col min="9465" max="9465" width="7.140625" style="14" customWidth="1"/>
    <col min="9466" max="9466" width="5.7109375" style="14" customWidth="1"/>
    <col min="9467" max="9467" width="6.42578125" style="14" customWidth="1"/>
    <col min="9468" max="9468" width="6.5703125" style="14" customWidth="1"/>
    <col min="9469" max="9472" width="9.140625" style="14"/>
    <col min="9473" max="9473" width="7.7109375" style="14" customWidth="1"/>
    <col min="9474" max="9474" width="9.140625" style="14"/>
    <col min="9475" max="9475" width="7.85546875" style="14" customWidth="1"/>
    <col min="9476" max="9476" width="9.140625" style="14"/>
    <col min="9477" max="9477" width="8.7109375" style="14" customWidth="1"/>
    <col min="9478" max="9483" width="9.140625" style="14"/>
    <col min="9484" max="9484" width="11.42578125" style="14" customWidth="1"/>
    <col min="9485" max="9497" width="9.140625" style="14"/>
    <col min="9498" max="9498" width="11.140625" style="14" customWidth="1"/>
    <col min="9499" max="9703" width="9.140625" style="14"/>
    <col min="9704" max="9704" width="8.5703125" style="14" customWidth="1"/>
    <col min="9705" max="9705" width="11.7109375" style="14" customWidth="1"/>
    <col min="9706" max="9706" width="19.28515625" style="14" customWidth="1"/>
    <col min="9707" max="9707" width="13.140625" style="14" customWidth="1"/>
    <col min="9708" max="9709" width="11.5703125" style="14" customWidth="1"/>
    <col min="9710" max="9710" width="5.7109375" style="14" customWidth="1"/>
    <col min="9711" max="9711" width="28.7109375" style="14" customWidth="1"/>
    <col min="9712" max="9712" width="40.5703125" style="14" customWidth="1"/>
    <col min="9713" max="9713" width="13.28515625" style="14" customWidth="1"/>
    <col min="9714" max="9714" width="14" style="14" customWidth="1"/>
    <col min="9715" max="9717" width="13.140625" style="14" customWidth="1"/>
    <col min="9718" max="9718" width="10.28515625" style="14" customWidth="1"/>
    <col min="9719" max="9720" width="13.5703125" style="14" customWidth="1"/>
    <col min="9721" max="9721" width="7.140625" style="14" customWidth="1"/>
    <col min="9722" max="9722" width="5.7109375" style="14" customWidth="1"/>
    <col min="9723" max="9723" width="6.42578125" style="14" customWidth="1"/>
    <col min="9724" max="9724" width="6.5703125" style="14" customWidth="1"/>
    <col min="9725" max="9728" width="9.140625" style="14"/>
    <col min="9729" max="9729" width="7.7109375" style="14" customWidth="1"/>
    <col min="9730" max="9730" width="9.140625" style="14"/>
    <col min="9731" max="9731" width="7.85546875" style="14" customWidth="1"/>
    <col min="9732" max="9732" width="9.140625" style="14"/>
    <col min="9733" max="9733" width="8.7109375" style="14" customWidth="1"/>
    <col min="9734" max="9739" width="9.140625" style="14"/>
    <col min="9740" max="9740" width="11.42578125" style="14" customWidth="1"/>
    <col min="9741" max="9753" width="9.140625" style="14"/>
    <col min="9754" max="9754" width="11.140625" style="14" customWidth="1"/>
    <col min="9755" max="9959" width="9.140625" style="14"/>
    <col min="9960" max="9960" width="8.5703125" style="14" customWidth="1"/>
    <col min="9961" max="9961" width="11.7109375" style="14" customWidth="1"/>
    <col min="9962" max="9962" width="19.28515625" style="14" customWidth="1"/>
    <col min="9963" max="9963" width="13.140625" style="14" customWidth="1"/>
    <col min="9964" max="9965" width="11.5703125" style="14" customWidth="1"/>
    <col min="9966" max="9966" width="5.7109375" style="14" customWidth="1"/>
    <col min="9967" max="9967" width="28.7109375" style="14" customWidth="1"/>
    <col min="9968" max="9968" width="40.5703125" style="14" customWidth="1"/>
    <col min="9969" max="9969" width="13.28515625" style="14" customWidth="1"/>
    <col min="9970" max="9970" width="14" style="14" customWidth="1"/>
    <col min="9971" max="9973" width="13.140625" style="14" customWidth="1"/>
    <col min="9974" max="9974" width="10.28515625" style="14" customWidth="1"/>
    <col min="9975" max="9976" width="13.5703125" style="14" customWidth="1"/>
    <col min="9977" max="9977" width="7.140625" style="14" customWidth="1"/>
    <col min="9978" max="9978" width="5.7109375" style="14" customWidth="1"/>
    <col min="9979" max="9979" width="6.42578125" style="14" customWidth="1"/>
    <col min="9980" max="9980" width="6.5703125" style="14" customWidth="1"/>
    <col min="9981" max="9984" width="9.140625" style="14"/>
    <col min="9985" max="9985" width="7.7109375" style="14" customWidth="1"/>
    <col min="9986" max="9986" width="9.140625" style="14"/>
    <col min="9987" max="9987" width="7.85546875" style="14" customWidth="1"/>
    <col min="9988" max="9988" width="9.140625" style="14"/>
    <col min="9989" max="9989" width="8.7109375" style="14" customWidth="1"/>
    <col min="9990" max="9995" width="9.140625" style="14"/>
    <col min="9996" max="9996" width="11.42578125" style="14" customWidth="1"/>
    <col min="9997" max="10009" width="9.140625" style="14"/>
    <col min="10010" max="10010" width="11.140625" style="14" customWidth="1"/>
    <col min="10011" max="10215" width="9.140625" style="14"/>
    <col min="10216" max="10216" width="8.5703125" style="14" customWidth="1"/>
    <col min="10217" max="10217" width="11.7109375" style="14" customWidth="1"/>
    <col min="10218" max="10218" width="19.28515625" style="14" customWidth="1"/>
    <col min="10219" max="10219" width="13.140625" style="14" customWidth="1"/>
    <col min="10220" max="10221" width="11.5703125" style="14" customWidth="1"/>
    <col min="10222" max="10222" width="5.7109375" style="14" customWidth="1"/>
    <col min="10223" max="10223" width="28.7109375" style="14" customWidth="1"/>
    <col min="10224" max="10224" width="40.5703125" style="14" customWidth="1"/>
    <col min="10225" max="10225" width="13.28515625" style="14" customWidth="1"/>
    <col min="10226" max="10226" width="14" style="14" customWidth="1"/>
    <col min="10227" max="10229" width="13.140625" style="14" customWidth="1"/>
    <col min="10230" max="10230" width="10.28515625" style="14" customWidth="1"/>
    <col min="10231" max="10232" width="13.5703125" style="14" customWidth="1"/>
    <col min="10233" max="10233" width="7.140625" style="14" customWidth="1"/>
    <col min="10234" max="10234" width="5.7109375" style="14" customWidth="1"/>
    <col min="10235" max="10235" width="6.42578125" style="14" customWidth="1"/>
    <col min="10236" max="10236" width="6.5703125" style="14" customWidth="1"/>
    <col min="10237" max="10240" width="9.140625" style="14"/>
    <col min="10241" max="10241" width="7.7109375" style="14" customWidth="1"/>
    <col min="10242" max="10242" width="9.140625" style="14"/>
    <col min="10243" max="10243" width="7.85546875" style="14" customWidth="1"/>
    <col min="10244" max="10244" width="9.140625" style="14"/>
    <col min="10245" max="10245" width="8.7109375" style="14" customWidth="1"/>
    <col min="10246" max="10251" width="9.140625" style="14"/>
    <col min="10252" max="10252" width="11.42578125" style="14" customWidth="1"/>
    <col min="10253" max="10265" width="9.140625" style="14"/>
    <col min="10266" max="10266" width="11.140625" style="14" customWidth="1"/>
    <col min="10267" max="10471" width="9.140625" style="14"/>
    <col min="10472" max="10472" width="8.5703125" style="14" customWidth="1"/>
    <col min="10473" max="10473" width="11.7109375" style="14" customWidth="1"/>
    <col min="10474" max="10474" width="19.28515625" style="14" customWidth="1"/>
    <col min="10475" max="10475" width="13.140625" style="14" customWidth="1"/>
    <col min="10476" max="10477" width="11.5703125" style="14" customWidth="1"/>
    <col min="10478" max="10478" width="5.7109375" style="14" customWidth="1"/>
    <col min="10479" max="10479" width="28.7109375" style="14" customWidth="1"/>
    <col min="10480" max="10480" width="40.5703125" style="14" customWidth="1"/>
    <col min="10481" max="10481" width="13.28515625" style="14" customWidth="1"/>
    <col min="10482" max="10482" width="14" style="14" customWidth="1"/>
    <col min="10483" max="10485" width="13.140625" style="14" customWidth="1"/>
    <col min="10486" max="10486" width="10.28515625" style="14" customWidth="1"/>
    <col min="10487" max="10488" width="13.5703125" style="14" customWidth="1"/>
    <col min="10489" max="10489" width="7.140625" style="14" customWidth="1"/>
    <col min="10490" max="10490" width="5.7109375" style="14" customWidth="1"/>
    <col min="10491" max="10491" width="6.42578125" style="14" customWidth="1"/>
    <col min="10492" max="10492" width="6.5703125" style="14" customWidth="1"/>
    <col min="10493" max="10496" width="9.140625" style="14"/>
    <col min="10497" max="10497" width="7.7109375" style="14" customWidth="1"/>
    <col min="10498" max="10498" width="9.140625" style="14"/>
    <col min="10499" max="10499" width="7.85546875" style="14" customWidth="1"/>
    <col min="10500" max="10500" width="9.140625" style="14"/>
    <col min="10501" max="10501" width="8.7109375" style="14" customWidth="1"/>
    <col min="10502" max="10507" width="9.140625" style="14"/>
    <col min="10508" max="10508" width="11.42578125" style="14" customWidth="1"/>
    <col min="10509" max="10521" width="9.140625" style="14"/>
    <col min="10522" max="10522" width="11.140625" style="14" customWidth="1"/>
    <col min="10523" max="10727" width="9.140625" style="14"/>
    <col min="10728" max="10728" width="8.5703125" style="14" customWidth="1"/>
    <col min="10729" max="10729" width="11.7109375" style="14" customWidth="1"/>
    <col min="10730" max="10730" width="19.28515625" style="14" customWidth="1"/>
    <col min="10731" max="10731" width="13.140625" style="14" customWidth="1"/>
    <col min="10732" max="10733" width="11.5703125" style="14" customWidth="1"/>
    <col min="10734" max="10734" width="5.7109375" style="14" customWidth="1"/>
    <col min="10735" max="10735" width="28.7109375" style="14" customWidth="1"/>
    <col min="10736" max="10736" width="40.5703125" style="14" customWidth="1"/>
    <col min="10737" max="10737" width="13.28515625" style="14" customWidth="1"/>
    <col min="10738" max="10738" width="14" style="14" customWidth="1"/>
    <col min="10739" max="10741" width="13.140625" style="14" customWidth="1"/>
    <col min="10742" max="10742" width="10.28515625" style="14" customWidth="1"/>
    <col min="10743" max="10744" width="13.5703125" style="14" customWidth="1"/>
    <col min="10745" max="10745" width="7.140625" style="14" customWidth="1"/>
    <col min="10746" max="10746" width="5.7109375" style="14" customWidth="1"/>
    <col min="10747" max="10747" width="6.42578125" style="14" customWidth="1"/>
    <col min="10748" max="10748" width="6.5703125" style="14" customWidth="1"/>
    <col min="10749" max="10752" width="9.140625" style="14"/>
    <col min="10753" max="10753" width="7.7109375" style="14" customWidth="1"/>
    <col min="10754" max="10754" width="9.140625" style="14"/>
    <col min="10755" max="10755" width="7.85546875" style="14" customWidth="1"/>
    <col min="10756" max="10756" width="9.140625" style="14"/>
    <col min="10757" max="10757" width="8.7109375" style="14" customWidth="1"/>
    <col min="10758" max="10763" width="9.140625" style="14"/>
    <col min="10764" max="10764" width="11.42578125" style="14" customWidth="1"/>
    <col min="10765" max="10777" width="9.140625" style="14"/>
    <col min="10778" max="10778" width="11.140625" style="14" customWidth="1"/>
    <col min="10779" max="10983" width="9.140625" style="14"/>
    <col min="10984" max="10984" width="8.5703125" style="14" customWidth="1"/>
    <col min="10985" max="10985" width="11.7109375" style="14" customWidth="1"/>
    <col min="10986" max="10986" width="19.28515625" style="14" customWidth="1"/>
    <col min="10987" max="10987" width="13.140625" style="14" customWidth="1"/>
    <col min="10988" max="10989" width="11.5703125" style="14" customWidth="1"/>
    <col min="10990" max="10990" width="5.7109375" style="14" customWidth="1"/>
    <col min="10991" max="10991" width="28.7109375" style="14" customWidth="1"/>
    <col min="10992" max="10992" width="40.5703125" style="14" customWidth="1"/>
    <col min="10993" max="10993" width="13.28515625" style="14" customWidth="1"/>
    <col min="10994" max="10994" width="14" style="14" customWidth="1"/>
    <col min="10995" max="10997" width="13.140625" style="14" customWidth="1"/>
    <col min="10998" max="10998" width="10.28515625" style="14" customWidth="1"/>
    <col min="10999" max="11000" width="13.5703125" style="14" customWidth="1"/>
    <col min="11001" max="11001" width="7.140625" style="14" customWidth="1"/>
    <col min="11002" max="11002" width="5.7109375" style="14" customWidth="1"/>
    <col min="11003" max="11003" width="6.42578125" style="14" customWidth="1"/>
    <col min="11004" max="11004" width="6.5703125" style="14" customWidth="1"/>
    <col min="11005" max="11008" width="9.140625" style="14"/>
    <col min="11009" max="11009" width="7.7109375" style="14" customWidth="1"/>
    <col min="11010" max="11010" width="9.140625" style="14"/>
    <col min="11011" max="11011" width="7.85546875" style="14" customWidth="1"/>
    <col min="11012" max="11012" width="9.140625" style="14"/>
    <col min="11013" max="11013" width="8.7109375" style="14" customWidth="1"/>
    <col min="11014" max="11019" width="9.140625" style="14"/>
    <col min="11020" max="11020" width="11.42578125" style="14" customWidth="1"/>
    <col min="11021" max="11033" width="9.140625" style="14"/>
    <col min="11034" max="11034" width="11.140625" style="14" customWidth="1"/>
    <col min="11035" max="11239" width="9.140625" style="14"/>
    <col min="11240" max="11240" width="8.5703125" style="14" customWidth="1"/>
    <col min="11241" max="11241" width="11.7109375" style="14" customWidth="1"/>
    <col min="11242" max="11242" width="19.28515625" style="14" customWidth="1"/>
    <col min="11243" max="11243" width="13.140625" style="14" customWidth="1"/>
    <col min="11244" max="11245" width="11.5703125" style="14" customWidth="1"/>
    <col min="11246" max="11246" width="5.7109375" style="14" customWidth="1"/>
    <col min="11247" max="11247" width="28.7109375" style="14" customWidth="1"/>
    <col min="11248" max="11248" width="40.5703125" style="14" customWidth="1"/>
    <col min="11249" max="11249" width="13.28515625" style="14" customWidth="1"/>
    <col min="11250" max="11250" width="14" style="14" customWidth="1"/>
    <col min="11251" max="11253" width="13.140625" style="14" customWidth="1"/>
    <col min="11254" max="11254" width="10.28515625" style="14" customWidth="1"/>
    <col min="11255" max="11256" width="13.5703125" style="14" customWidth="1"/>
    <col min="11257" max="11257" width="7.140625" style="14" customWidth="1"/>
    <col min="11258" max="11258" width="5.7109375" style="14" customWidth="1"/>
    <col min="11259" max="11259" width="6.42578125" style="14" customWidth="1"/>
    <col min="11260" max="11260" width="6.5703125" style="14" customWidth="1"/>
    <col min="11261" max="11264" width="9.140625" style="14"/>
    <col min="11265" max="11265" width="7.7109375" style="14" customWidth="1"/>
    <col min="11266" max="11266" width="9.140625" style="14"/>
    <col min="11267" max="11267" width="7.85546875" style="14" customWidth="1"/>
    <col min="11268" max="11268" width="9.140625" style="14"/>
    <col min="11269" max="11269" width="8.7109375" style="14" customWidth="1"/>
    <col min="11270" max="11275" width="9.140625" style="14"/>
    <col min="11276" max="11276" width="11.42578125" style="14" customWidth="1"/>
    <col min="11277" max="11289" width="9.140625" style="14"/>
    <col min="11290" max="11290" width="11.140625" style="14" customWidth="1"/>
    <col min="11291" max="11495" width="9.140625" style="14"/>
    <col min="11496" max="11496" width="8.5703125" style="14" customWidth="1"/>
    <col min="11497" max="11497" width="11.7109375" style="14" customWidth="1"/>
    <col min="11498" max="11498" width="19.28515625" style="14" customWidth="1"/>
    <col min="11499" max="11499" width="13.140625" style="14" customWidth="1"/>
    <col min="11500" max="11501" width="11.5703125" style="14" customWidth="1"/>
    <col min="11502" max="11502" width="5.7109375" style="14" customWidth="1"/>
    <col min="11503" max="11503" width="28.7109375" style="14" customWidth="1"/>
    <col min="11504" max="11504" width="40.5703125" style="14" customWidth="1"/>
    <col min="11505" max="11505" width="13.28515625" style="14" customWidth="1"/>
    <col min="11506" max="11506" width="14" style="14" customWidth="1"/>
    <col min="11507" max="11509" width="13.140625" style="14" customWidth="1"/>
    <col min="11510" max="11510" width="10.28515625" style="14" customWidth="1"/>
    <col min="11511" max="11512" width="13.5703125" style="14" customWidth="1"/>
    <col min="11513" max="11513" width="7.140625" style="14" customWidth="1"/>
    <col min="11514" max="11514" width="5.7109375" style="14" customWidth="1"/>
    <col min="11515" max="11515" width="6.42578125" style="14" customWidth="1"/>
    <col min="11516" max="11516" width="6.5703125" style="14" customWidth="1"/>
    <col min="11517" max="11520" width="9.140625" style="14"/>
    <col min="11521" max="11521" width="7.7109375" style="14" customWidth="1"/>
    <col min="11522" max="11522" width="9.140625" style="14"/>
    <col min="11523" max="11523" width="7.85546875" style="14" customWidth="1"/>
    <col min="11524" max="11524" width="9.140625" style="14"/>
    <col min="11525" max="11525" width="8.7109375" style="14" customWidth="1"/>
    <col min="11526" max="11531" width="9.140625" style="14"/>
    <col min="11532" max="11532" width="11.42578125" style="14" customWidth="1"/>
    <col min="11533" max="11545" width="9.140625" style="14"/>
    <col min="11546" max="11546" width="11.140625" style="14" customWidth="1"/>
    <col min="11547" max="11751" width="9.140625" style="14"/>
    <col min="11752" max="11752" width="8.5703125" style="14" customWidth="1"/>
    <col min="11753" max="11753" width="11.7109375" style="14" customWidth="1"/>
    <col min="11754" max="11754" width="19.28515625" style="14" customWidth="1"/>
    <col min="11755" max="11755" width="13.140625" style="14" customWidth="1"/>
    <col min="11756" max="11757" width="11.5703125" style="14" customWidth="1"/>
    <col min="11758" max="11758" width="5.7109375" style="14" customWidth="1"/>
    <col min="11759" max="11759" width="28.7109375" style="14" customWidth="1"/>
    <col min="11760" max="11760" width="40.5703125" style="14" customWidth="1"/>
    <col min="11761" max="11761" width="13.28515625" style="14" customWidth="1"/>
    <col min="11762" max="11762" width="14" style="14" customWidth="1"/>
    <col min="11763" max="11765" width="13.140625" style="14" customWidth="1"/>
    <col min="11766" max="11766" width="10.28515625" style="14" customWidth="1"/>
    <col min="11767" max="11768" width="13.5703125" style="14" customWidth="1"/>
    <col min="11769" max="11769" width="7.140625" style="14" customWidth="1"/>
    <col min="11770" max="11770" width="5.7109375" style="14" customWidth="1"/>
    <col min="11771" max="11771" width="6.42578125" style="14" customWidth="1"/>
    <col min="11772" max="11772" width="6.5703125" style="14" customWidth="1"/>
    <col min="11773" max="11776" width="9.140625" style="14"/>
    <col min="11777" max="11777" width="7.7109375" style="14" customWidth="1"/>
    <col min="11778" max="11778" width="9.140625" style="14"/>
    <col min="11779" max="11779" width="7.85546875" style="14" customWidth="1"/>
    <col min="11780" max="11780" width="9.140625" style="14"/>
    <col min="11781" max="11781" width="8.7109375" style="14" customWidth="1"/>
    <col min="11782" max="11787" width="9.140625" style="14"/>
    <col min="11788" max="11788" width="11.42578125" style="14" customWidth="1"/>
    <col min="11789" max="11801" width="9.140625" style="14"/>
    <col min="11802" max="11802" width="11.140625" style="14" customWidth="1"/>
    <col min="11803" max="12007" width="9.140625" style="14"/>
    <col min="12008" max="12008" width="8.5703125" style="14" customWidth="1"/>
    <col min="12009" max="12009" width="11.7109375" style="14" customWidth="1"/>
    <col min="12010" max="12010" width="19.28515625" style="14" customWidth="1"/>
    <col min="12011" max="12011" width="13.140625" style="14" customWidth="1"/>
    <col min="12012" max="12013" width="11.5703125" style="14" customWidth="1"/>
    <col min="12014" max="12014" width="5.7109375" style="14" customWidth="1"/>
    <col min="12015" max="12015" width="28.7109375" style="14" customWidth="1"/>
    <col min="12016" max="12016" width="40.5703125" style="14" customWidth="1"/>
    <col min="12017" max="12017" width="13.28515625" style="14" customWidth="1"/>
    <col min="12018" max="12018" width="14" style="14" customWidth="1"/>
    <col min="12019" max="12021" width="13.140625" style="14" customWidth="1"/>
    <col min="12022" max="12022" width="10.28515625" style="14" customWidth="1"/>
    <col min="12023" max="12024" width="13.5703125" style="14" customWidth="1"/>
    <col min="12025" max="12025" width="7.140625" style="14" customWidth="1"/>
    <col min="12026" max="12026" width="5.7109375" style="14" customWidth="1"/>
    <col min="12027" max="12027" width="6.42578125" style="14" customWidth="1"/>
    <col min="12028" max="12028" width="6.5703125" style="14" customWidth="1"/>
    <col min="12029" max="12032" width="9.140625" style="14"/>
    <col min="12033" max="12033" width="7.7109375" style="14" customWidth="1"/>
    <col min="12034" max="12034" width="9.140625" style="14"/>
    <col min="12035" max="12035" width="7.85546875" style="14" customWidth="1"/>
    <col min="12036" max="12036" width="9.140625" style="14"/>
    <col min="12037" max="12037" width="8.7109375" style="14" customWidth="1"/>
    <col min="12038" max="12043" width="9.140625" style="14"/>
    <col min="12044" max="12044" width="11.42578125" style="14" customWidth="1"/>
    <col min="12045" max="12057" width="9.140625" style="14"/>
    <col min="12058" max="12058" width="11.140625" style="14" customWidth="1"/>
    <col min="12059" max="12263" width="9.140625" style="14"/>
    <col min="12264" max="12264" width="8.5703125" style="14" customWidth="1"/>
    <col min="12265" max="12265" width="11.7109375" style="14" customWidth="1"/>
    <col min="12266" max="12266" width="19.28515625" style="14" customWidth="1"/>
    <col min="12267" max="12267" width="13.140625" style="14" customWidth="1"/>
    <col min="12268" max="12269" width="11.5703125" style="14" customWidth="1"/>
    <col min="12270" max="12270" width="5.7109375" style="14" customWidth="1"/>
    <col min="12271" max="12271" width="28.7109375" style="14" customWidth="1"/>
    <col min="12272" max="12272" width="40.5703125" style="14" customWidth="1"/>
    <col min="12273" max="12273" width="13.28515625" style="14" customWidth="1"/>
    <col min="12274" max="12274" width="14" style="14" customWidth="1"/>
    <col min="12275" max="12277" width="13.140625" style="14" customWidth="1"/>
    <col min="12278" max="12278" width="10.28515625" style="14" customWidth="1"/>
    <col min="12279" max="12280" width="13.5703125" style="14" customWidth="1"/>
    <col min="12281" max="12281" width="7.140625" style="14" customWidth="1"/>
    <col min="12282" max="12282" width="5.7109375" style="14" customWidth="1"/>
    <col min="12283" max="12283" width="6.42578125" style="14" customWidth="1"/>
    <col min="12284" max="12284" width="6.5703125" style="14" customWidth="1"/>
    <col min="12285" max="12288" width="9.140625" style="14"/>
    <col min="12289" max="12289" width="7.7109375" style="14" customWidth="1"/>
    <col min="12290" max="12290" width="9.140625" style="14"/>
    <col min="12291" max="12291" width="7.85546875" style="14" customWidth="1"/>
    <col min="12292" max="12292" width="9.140625" style="14"/>
    <col min="12293" max="12293" width="8.7109375" style="14" customWidth="1"/>
    <col min="12294" max="12299" width="9.140625" style="14"/>
    <col min="12300" max="12300" width="11.42578125" style="14" customWidth="1"/>
    <col min="12301" max="12313" width="9.140625" style="14"/>
    <col min="12314" max="12314" width="11.140625" style="14" customWidth="1"/>
    <col min="12315" max="12519" width="9.140625" style="14"/>
    <col min="12520" max="12520" width="8.5703125" style="14" customWidth="1"/>
    <col min="12521" max="12521" width="11.7109375" style="14" customWidth="1"/>
    <col min="12522" max="12522" width="19.28515625" style="14" customWidth="1"/>
    <col min="12523" max="12523" width="13.140625" style="14" customWidth="1"/>
    <col min="12524" max="12525" width="11.5703125" style="14" customWidth="1"/>
    <col min="12526" max="12526" width="5.7109375" style="14" customWidth="1"/>
    <col min="12527" max="12527" width="28.7109375" style="14" customWidth="1"/>
    <col min="12528" max="12528" width="40.5703125" style="14" customWidth="1"/>
    <col min="12529" max="12529" width="13.28515625" style="14" customWidth="1"/>
    <col min="12530" max="12530" width="14" style="14" customWidth="1"/>
    <col min="12531" max="12533" width="13.140625" style="14" customWidth="1"/>
    <col min="12534" max="12534" width="10.28515625" style="14" customWidth="1"/>
    <col min="12535" max="12536" width="13.5703125" style="14" customWidth="1"/>
    <col min="12537" max="12537" width="7.140625" style="14" customWidth="1"/>
    <col min="12538" max="12538" width="5.7109375" style="14" customWidth="1"/>
    <col min="12539" max="12539" width="6.42578125" style="14" customWidth="1"/>
    <col min="12540" max="12540" width="6.5703125" style="14" customWidth="1"/>
    <col min="12541" max="12544" width="9.140625" style="14"/>
    <col min="12545" max="12545" width="7.7109375" style="14" customWidth="1"/>
    <col min="12546" max="12546" width="9.140625" style="14"/>
    <col min="12547" max="12547" width="7.85546875" style="14" customWidth="1"/>
    <col min="12548" max="12548" width="9.140625" style="14"/>
    <col min="12549" max="12549" width="8.7109375" style="14" customWidth="1"/>
    <col min="12550" max="12555" width="9.140625" style="14"/>
    <col min="12556" max="12556" width="11.42578125" style="14" customWidth="1"/>
    <col min="12557" max="12569" width="9.140625" style="14"/>
    <col min="12570" max="12570" width="11.140625" style="14" customWidth="1"/>
    <col min="12571" max="12775" width="9.140625" style="14"/>
    <col min="12776" max="12776" width="8.5703125" style="14" customWidth="1"/>
    <col min="12777" max="12777" width="11.7109375" style="14" customWidth="1"/>
    <col min="12778" max="12778" width="19.28515625" style="14" customWidth="1"/>
    <col min="12779" max="12779" width="13.140625" style="14" customWidth="1"/>
    <col min="12780" max="12781" width="11.5703125" style="14" customWidth="1"/>
    <col min="12782" max="12782" width="5.7109375" style="14" customWidth="1"/>
    <col min="12783" max="12783" width="28.7109375" style="14" customWidth="1"/>
    <col min="12784" max="12784" width="40.5703125" style="14" customWidth="1"/>
    <col min="12785" max="12785" width="13.28515625" style="14" customWidth="1"/>
    <col min="12786" max="12786" width="14" style="14" customWidth="1"/>
    <col min="12787" max="12789" width="13.140625" style="14" customWidth="1"/>
    <col min="12790" max="12790" width="10.28515625" style="14" customWidth="1"/>
    <col min="12791" max="12792" width="13.5703125" style="14" customWidth="1"/>
    <col min="12793" max="12793" width="7.140625" style="14" customWidth="1"/>
    <col min="12794" max="12794" width="5.7109375" style="14" customWidth="1"/>
    <col min="12795" max="12795" width="6.42578125" style="14" customWidth="1"/>
    <col min="12796" max="12796" width="6.5703125" style="14" customWidth="1"/>
    <col min="12797" max="12800" width="9.140625" style="14"/>
    <col min="12801" max="12801" width="7.7109375" style="14" customWidth="1"/>
    <col min="12802" max="12802" width="9.140625" style="14"/>
    <col min="12803" max="12803" width="7.85546875" style="14" customWidth="1"/>
    <col min="12804" max="12804" width="9.140625" style="14"/>
    <col min="12805" max="12805" width="8.7109375" style="14" customWidth="1"/>
    <col min="12806" max="12811" width="9.140625" style="14"/>
    <col min="12812" max="12812" width="11.42578125" style="14" customWidth="1"/>
    <col min="12813" max="12825" width="9.140625" style="14"/>
    <col min="12826" max="12826" width="11.140625" style="14" customWidth="1"/>
    <col min="12827" max="13031" width="9.140625" style="14"/>
    <col min="13032" max="13032" width="8.5703125" style="14" customWidth="1"/>
    <col min="13033" max="13033" width="11.7109375" style="14" customWidth="1"/>
    <col min="13034" max="13034" width="19.28515625" style="14" customWidth="1"/>
    <col min="13035" max="13035" width="13.140625" style="14" customWidth="1"/>
    <col min="13036" max="13037" width="11.5703125" style="14" customWidth="1"/>
    <col min="13038" max="13038" width="5.7109375" style="14" customWidth="1"/>
    <col min="13039" max="13039" width="28.7109375" style="14" customWidth="1"/>
    <col min="13040" max="13040" width="40.5703125" style="14" customWidth="1"/>
    <col min="13041" max="13041" width="13.28515625" style="14" customWidth="1"/>
    <col min="13042" max="13042" width="14" style="14" customWidth="1"/>
    <col min="13043" max="13045" width="13.140625" style="14" customWidth="1"/>
    <col min="13046" max="13046" width="10.28515625" style="14" customWidth="1"/>
    <col min="13047" max="13048" width="13.5703125" style="14" customWidth="1"/>
    <col min="13049" max="13049" width="7.140625" style="14" customWidth="1"/>
    <col min="13050" max="13050" width="5.7109375" style="14" customWidth="1"/>
    <col min="13051" max="13051" width="6.42578125" style="14" customWidth="1"/>
    <col min="13052" max="13052" width="6.5703125" style="14" customWidth="1"/>
    <col min="13053" max="13056" width="9.140625" style="14"/>
    <col min="13057" max="13057" width="7.7109375" style="14" customWidth="1"/>
    <col min="13058" max="13058" width="9.140625" style="14"/>
    <col min="13059" max="13059" width="7.85546875" style="14" customWidth="1"/>
    <col min="13060" max="13060" width="9.140625" style="14"/>
    <col min="13061" max="13061" width="8.7109375" style="14" customWidth="1"/>
    <col min="13062" max="13067" width="9.140625" style="14"/>
    <col min="13068" max="13068" width="11.42578125" style="14" customWidth="1"/>
    <col min="13069" max="13081" width="9.140625" style="14"/>
    <col min="13082" max="13082" width="11.140625" style="14" customWidth="1"/>
    <col min="13083" max="13287" width="9.140625" style="14"/>
    <col min="13288" max="13288" width="8.5703125" style="14" customWidth="1"/>
    <col min="13289" max="13289" width="11.7109375" style="14" customWidth="1"/>
    <col min="13290" max="13290" width="19.28515625" style="14" customWidth="1"/>
    <col min="13291" max="13291" width="13.140625" style="14" customWidth="1"/>
    <col min="13292" max="13293" width="11.5703125" style="14" customWidth="1"/>
    <col min="13294" max="13294" width="5.7109375" style="14" customWidth="1"/>
    <col min="13295" max="13295" width="28.7109375" style="14" customWidth="1"/>
    <col min="13296" max="13296" width="40.5703125" style="14" customWidth="1"/>
    <col min="13297" max="13297" width="13.28515625" style="14" customWidth="1"/>
    <col min="13298" max="13298" width="14" style="14" customWidth="1"/>
    <col min="13299" max="13301" width="13.140625" style="14" customWidth="1"/>
    <col min="13302" max="13302" width="10.28515625" style="14" customWidth="1"/>
    <col min="13303" max="13304" width="13.5703125" style="14" customWidth="1"/>
    <col min="13305" max="13305" width="7.140625" style="14" customWidth="1"/>
    <col min="13306" max="13306" width="5.7109375" style="14" customWidth="1"/>
    <col min="13307" max="13307" width="6.42578125" style="14" customWidth="1"/>
    <col min="13308" max="13308" width="6.5703125" style="14" customWidth="1"/>
    <col min="13309" max="13312" width="9.140625" style="14"/>
    <col min="13313" max="13313" width="7.7109375" style="14" customWidth="1"/>
    <col min="13314" max="13314" width="9.140625" style="14"/>
    <col min="13315" max="13315" width="7.85546875" style="14" customWidth="1"/>
    <col min="13316" max="13316" width="9.140625" style="14"/>
    <col min="13317" max="13317" width="8.7109375" style="14" customWidth="1"/>
    <col min="13318" max="13323" width="9.140625" style="14"/>
    <col min="13324" max="13324" width="11.42578125" style="14" customWidth="1"/>
    <col min="13325" max="13337" width="9.140625" style="14"/>
    <col min="13338" max="13338" width="11.140625" style="14" customWidth="1"/>
    <col min="13339" max="13543" width="9.140625" style="14"/>
    <col min="13544" max="13544" width="8.5703125" style="14" customWidth="1"/>
    <col min="13545" max="13545" width="11.7109375" style="14" customWidth="1"/>
    <col min="13546" max="13546" width="19.28515625" style="14" customWidth="1"/>
    <col min="13547" max="13547" width="13.140625" style="14" customWidth="1"/>
    <col min="13548" max="13549" width="11.5703125" style="14" customWidth="1"/>
    <col min="13550" max="13550" width="5.7109375" style="14" customWidth="1"/>
    <col min="13551" max="13551" width="28.7109375" style="14" customWidth="1"/>
    <col min="13552" max="13552" width="40.5703125" style="14" customWidth="1"/>
    <col min="13553" max="13553" width="13.28515625" style="14" customWidth="1"/>
    <col min="13554" max="13554" width="14" style="14" customWidth="1"/>
    <col min="13555" max="13557" width="13.140625" style="14" customWidth="1"/>
    <col min="13558" max="13558" width="10.28515625" style="14" customWidth="1"/>
    <col min="13559" max="13560" width="13.5703125" style="14" customWidth="1"/>
    <col min="13561" max="13561" width="7.140625" style="14" customWidth="1"/>
    <col min="13562" max="13562" width="5.7109375" style="14" customWidth="1"/>
    <col min="13563" max="13563" width="6.42578125" style="14" customWidth="1"/>
    <col min="13564" max="13564" width="6.5703125" style="14" customWidth="1"/>
    <col min="13565" max="13568" width="9.140625" style="14"/>
    <col min="13569" max="13569" width="7.7109375" style="14" customWidth="1"/>
    <col min="13570" max="13570" width="9.140625" style="14"/>
    <col min="13571" max="13571" width="7.85546875" style="14" customWidth="1"/>
    <col min="13572" max="13572" width="9.140625" style="14"/>
    <col min="13573" max="13573" width="8.7109375" style="14" customWidth="1"/>
    <col min="13574" max="13579" width="9.140625" style="14"/>
    <col min="13580" max="13580" width="11.42578125" style="14" customWidth="1"/>
    <col min="13581" max="13593" width="9.140625" style="14"/>
    <col min="13594" max="13594" width="11.140625" style="14" customWidth="1"/>
    <col min="13595" max="13799" width="9.140625" style="14"/>
    <col min="13800" max="13800" width="8.5703125" style="14" customWidth="1"/>
    <col min="13801" max="13801" width="11.7109375" style="14" customWidth="1"/>
    <col min="13802" max="13802" width="19.28515625" style="14" customWidth="1"/>
    <col min="13803" max="13803" width="13.140625" style="14" customWidth="1"/>
    <col min="13804" max="13805" width="11.5703125" style="14" customWidth="1"/>
    <col min="13806" max="13806" width="5.7109375" style="14" customWidth="1"/>
    <col min="13807" max="13807" width="28.7109375" style="14" customWidth="1"/>
    <col min="13808" max="13808" width="40.5703125" style="14" customWidth="1"/>
    <col min="13809" max="13809" width="13.28515625" style="14" customWidth="1"/>
    <col min="13810" max="13810" width="14" style="14" customWidth="1"/>
    <col min="13811" max="13813" width="13.140625" style="14" customWidth="1"/>
    <col min="13814" max="13814" width="10.28515625" style="14" customWidth="1"/>
    <col min="13815" max="13816" width="13.5703125" style="14" customWidth="1"/>
    <col min="13817" max="13817" width="7.140625" style="14" customWidth="1"/>
    <col min="13818" max="13818" width="5.7109375" style="14" customWidth="1"/>
    <col min="13819" max="13819" width="6.42578125" style="14" customWidth="1"/>
    <col min="13820" max="13820" width="6.5703125" style="14" customWidth="1"/>
    <col min="13821" max="13824" width="9.140625" style="14"/>
    <col min="13825" max="13825" width="7.7109375" style="14" customWidth="1"/>
    <col min="13826" max="13826" width="9.140625" style="14"/>
    <col min="13827" max="13827" width="7.85546875" style="14" customWidth="1"/>
    <col min="13828" max="13828" width="9.140625" style="14"/>
    <col min="13829" max="13829" width="8.7109375" style="14" customWidth="1"/>
    <col min="13830" max="13835" width="9.140625" style="14"/>
    <col min="13836" max="13836" width="11.42578125" style="14" customWidth="1"/>
    <col min="13837" max="13849" width="9.140625" style="14"/>
    <col min="13850" max="13850" width="11.140625" style="14" customWidth="1"/>
    <col min="13851" max="14055" width="9.140625" style="14"/>
    <col min="14056" max="14056" width="8.5703125" style="14" customWidth="1"/>
    <col min="14057" max="14057" width="11.7109375" style="14" customWidth="1"/>
    <col min="14058" max="14058" width="19.28515625" style="14" customWidth="1"/>
    <col min="14059" max="14059" width="13.140625" style="14" customWidth="1"/>
    <col min="14060" max="14061" width="11.5703125" style="14" customWidth="1"/>
    <col min="14062" max="14062" width="5.7109375" style="14" customWidth="1"/>
    <col min="14063" max="14063" width="28.7109375" style="14" customWidth="1"/>
    <col min="14064" max="14064" width="40.5703125" style="14" customWidth="1"/>
    <col min="14065" max="14065" width="13.28515625" style="14" customWidth="1"/>
    <col min="14066" max="14066" width="14" style="14" customWidth="1"/>
    <col min="14067" max="14069" width="13.140625" style="14" customWidth="1"/>
    <col min="14070" max="14070" width="10.28515625" style="14" customWidth="1"/>
    <col min="14071" max="14072" width="13.5703125" style="14" customWidth="1"/>
    <col min="14073" max="14073" width="7.140625" style="14" customWidth="1"/>
    <col min="14074" max="14074" width="5.7109375" style="14" customWidth="1"/>
    <col min="14075" max="14075" width="6.42578125" style="14" customWidth="1"/>
    <col min="14076" max="14076" width="6.5703125" style="14" customWidth="1"/>
    <col min="14077" max="14080" width="9.140625" style="14"/>
    <col min="14081" max="14081" width="7.7109375" style="14" customWidth="1"/>
    <col min="14082" max="14082" width="9.140625" style="14"/>
    <col min="14083" max="14083" width="7.85546875" style="14" customWidth="1"/>
    <col min="14084" max="14084" width="9.140625" style="14"/>
    <col min="14085" max="14085" width="8.7109375" style="14" customWidth="1"/>
    <col min="14086" max="14091" width="9.140625" style="14"/>
    <col min="14092" max="14092" width="11.42578125" style="14" customWidth="1"/>
    <col min="14093" max="14105" width="9.140625" style="14"/>
    <col min="14106" max="14106" width="11.140625" style="14" customWidth="1"/>
    <col min="14107" max="14311" width="9.140625" style="14"/>
    <col min="14312" max="14312" width="8.5703125" style="14" customWidth="1"/>
    <col min="14313" max="14313" width="11.7109375" style="14" customWidth="1"/>
    <col min="14314" max="14314" width="19.28515625" style="14" customWidth="1"/>
    <col min="14315" max="14315" width="13.140625" style="14" customWidth="1"/>
    <col min="14316" max="14317" width="11.5703125" style="14" customWidth="1"/>
    <col min="14318" max="14318" width="5.7109375" style="14" customWidth="1"/>
    <col min="14319" max="14319" width="28.7109375" style="14" customWidth="1"/>
    <col min="14320" max="14320" width="40.5703125" style="14" customWidth="1"/>
    <col min="14321" max="14321" width="13.28515625" style="14" customWidth="1"/>
    <col min="14322" max="14322" width="14" style="14" customWidth="1"/>
    <col min="14323" max="14325" width="13.140625" style="14" customWidth="1"/>
    <col min="14326" max="14326" width="10.28515625" style="14" customWidth="1"/>
    <col min="14327" max="14328" width="13.5703125" style="14" customWidth="1"/>
    <col min="14329" max="14329" width="7.140625" style="14" customWidth="1"/>
    <col min="14330" max="14330" width="5.7109375" style="14" customWidth="1"/>
    <col min="14331" max="14331" width="6.42578125" style="14" customWidth="1"/>
    <col min="14332" max="14332" width="6.5703125" style="14" customWidth="1"/>
    <col min="14333" max="14336" width="9.140625" style="14"/>
    <col min="14337" max="14337" width="7.7109375" style="14" customWidth="1"/>
    <col min="14338" max="14338" width="9.140625" style="14"/>
    <col min="14339" max="14339" width="7.85546875" style="14" customWidth="1"/>
    <col min="14340" max="14340" width="9.140625" style="14"/>
    <col min="14341" max="14341" width="8.7109375" style="14" customWidth="1"/>
    <col min="14342" max="14347" width="9.140625" style="14"/>
    <col min="14348" max="14348" width="11.42578125" style="14" customWidth="1"/>
    <col min="14349" max="14361" width="9.140625" style="14"/>
    <col min="14362" max="14362" width="11.140625" style="14" customWidth="1"/>
    <col min="14363" max="14567" width="9.140625" style="14"/>
    <col min="14568" max="14568" width="8.5703125" style="14" customWidth="1"/>
    <col min="14569" max="14569" width="11.7109375" style="14" customWidth="1"/>
    <col min="14570" max="14570" width="19.28515625" style="14" customWidth="1"/>
    <col min="14571" max="14571" width="13.140625" style="14" customWidth="1"/>
    <col min="14572" max="14573" width="11.5703125" style="14" customWidth="1"/>
    <col min="14574" max="14574" width="5.7109375" style="14" customWidth="1"/>
    <col min="14575" max="14575" width="28.7109375" style="14" customWidth="1"/>
    <col min="14576" max="14576" width="40.5703125" style="14" customWidth="1"/>
    <col min="14577" max="14577" width="13.28515625" style="14" customWidth="1"/>
    <col min="14578" max="14578" width="14" style="14" customWidth="1"/>
    <col min="14579" max="14581" width="13.140625" style="14" customWidth="1"/>
    <col min="14582" max="14582" width="10.28515625" style="14" customWidth="1"/>
    <col min="14583" max="14584" width="13.5703125" style="14" customWidth="1"/>
    <col min="14585" max="14585" width="7.140625" style="14" customWidth="1"/>
    <col min="14586" max="14586" width="5.7109375" style="14" customWidth="1"/>
    <col min="14587" max="14587" width="6.42578125" style="14" customWidth="1"/>
    <col min="14588" max="14588" width="6.5703125" style="14" customWidth="1"/>
    <col min="14589" max="14592" width="9.140625" style="14"/>
    <col min="14593" max="14593" width="7.7109375" style="14" customWidth="1"/>
    <col min="14594" max="14594" width="9.140625" style="14"/>
    <col min="14595" max="14595" width="7.85546875" style="14" customWidth="1"/>
    <col min="14596" max="14596" width="9.140625" style="14"/>
    <col min="14597" max="14597" width="8.7109375" style="14" customWidth="1"/>
    <col min="14598" max="14603" width="9.140625" style="14"/>
    <col min="14604" max="14604" width="11.42578125" style="14" customWidth="1"/>
    <col min="14605" max="14617" width="9.140625" style="14"/>
    <col min="14618" max="14618" width="11.140625" style="14" customWidth="1"/>
    <col min="14619" max="14823" width="9.140625" style="14"/>
    <col min="14824" max="14824" width="8.5703125" style="14" customWidth="1"/>
    <col min="14825" max="14825" width="11.7109375" style="14" customWidth="1"/>
    <col min="14826" max="14826" width="19.28515625" style="14" customWidth="1"/>
    <col min="14827" max="14827" width="13.140625" style="14" customWidth="1"/>
    <col min="14828" max="14829" width="11.5703125" style="14" customWidth="1"/>
    <col min="14830" max="14830" width="5.7109375" style="14" customWidth="1"/>
    <col min="14831" max="14831" width="28.7109375" style="14" customWidth="1"/>
    <col min="14832" max="14832" width="40.5703125" style="14" customWidth="1"/>
    <col min="14833" max="14833" width="13.28515625" style="14" customWidth="1"/>
    <col min="14834" max="14834" width="14" style="14" customWidth="1"/>
    <col min="14835" max="14837" width="13.140625" style="14" customWidth="1"/>
    <col min="14838" max="14838" width="10.28515625" style="14" customWidth="1"/>
    <col min="14839" max="14840" width="13.5703125" style="14" customWidth="1"/>
    <col min="14841" max="14841" width="7.140625" style="14" customWidth="1"/>
    <col min="14842" max="14842" width="5.7109375" style="14" customWidth="1"/>
    <col min="14843" max="14843" width="6.42578125" style="14" customWidth="1"/>
    <col min="14844" max="14844" width="6.5703125" style="14" customWidth="1"/>
    <col min="14845" max="14848" width="9.140625" style="14"/>
    <col min="14849" max="14849" width="7.7109375" style="14" customWidth="1"/>
    <col min="14850" max="14850" width="9.140625" style="14"/>
    <col min="14851" max="14851" width="7.85546875" style="14" customWidth="1"/>
    <col min="14852" max="14852" width="9.140625" style="14"/>
    <col min="14853" max="14853" width="8.7109375" style="14" customWidth="1"/>
    <col min="14854" max="14859" width="9.140625" style="14"/>
    <col min="14860" max="14860" width="11.42578125" style="14" customWidth="1"/>
    <col min="14861" max="14873" width="9.140625" style="14"/>
    <col min="14874" max="14874" width="11.140625" style="14" customWidth="1"/>
    <col min="14875" max="15079" width="9.140625" style="14"/>
    <col min="15080" max="15080" width="8.5703125" style="14" customWidth="1"/>
    <col min="15081" max="15081" width="11.7109375" style="14" customWidth="1"/>
    <col min="15082" max="15082" width="19.28515625" style="14" customWidth="1"/>
    <col min="15083" max="15083" width="13.140625" style="14" customWidth="1"/>
    <col min="15084" max="15085" width="11.5703125" style="14" customWidth="1"/>
    <col min="15086" max="15086" width="5.7109375" style="14" customWidth="1"/>
    <col min="15087" max="15087" width="28.7109375" style="14" customWidth="1"/>
    <col min="15088" max="15088" width="40.5703125" style="14" customWidth="1"/>
    <col min="15089" max="15089" width="13.28515625" style="14" customWidth="1"/>
    <col min="15090" max="15090" width="14" style="14" customWidth="1"/>
    <col min="15091" max="15093" width="13.140625" style="14" customWidth="1"/>
    <col min="15094" max="15094" width="10.28515625" style="14" customWidth="1"/>
    <col min="15095" max="15096" width="13.5703125" style="14" customWidth="1"/>
    <col min="15097" max="15097" width="7.140625" style="14" customWidth="1"/>
    <col min="15098" max="15098" width="5.7109375" style="14" customWidth="1"/>
    <col min="15099" max="15099" width="6.42578125" style="14" customWidth="1"/>
    <col min="15100" max="15100" width="6.5703125" style="14" customWidth="1"/>
    <col min="15101" max="15104" width="9.140625" style="14"/>
    <col min="15105" max="15105" width="7.7109375" style="14" customWidth="1"/>
    <col min="15106" max="15106" width="9.140625" style="14"/>
    <col min="15107" max="15107" width="7.85546875" style="14" customWidth="1"/>
    <col min="15108" max="15108" width="9.140625" style="14"/>
    <col min="15109" max="15109" width="8.7109375" style="14" customWidth="1"/>
    <col min="15110" max="15115" width="9.140625" style="14"/>
    <col min="15116" max="15116" width="11.42578125" style="14" customWidth="1"/>
    <col min="15117" max="15129" width="9.140625" style="14"/>
    <col min="15130" max="15130" width="11.140625" style="14" customWidth="1"/>
    <col min="15131" max="15335" width="9.140625" style="14"/>
    <col min="15336" max="15336" width="8.5703125" style="14" customWidth="1"/>
    <col min="15337" max="15337" width="11.7109375" style="14" customWidth="1"/>
    <col min="15338" max="15338" width="19.28515625" style="14" customWidth="1"/>
    <col min="15339" max="15339" width="13.140625" style="14" customWidth="1"/>
    <col min="15340" max="15341" width="11.5703125" style="14" customWidth="1"/>
    <col min="15342" max="15342" width="5.7109375" style="14" customWidth="1"/>
    <col min="15343" max="15343" width="28.7109375" style="14" customWidth="1"/>
    <col min="15344" max="15344" width="40.5703125" style="14" customWidth="1"/>
    <col min="15345" max="15345" width="13.28515625" style="14" customWidth="1"/>
    <col min="15346" max="15346" width="14" style="14" customWidth="1"/>
    <col min="15347" max="15349" width="13.140625" style="14" customWidth="1"/>
    <col min="15350" max="15350" width="10.28515625" style="14" customWidth="1"/>
    <col min="15351" max="15352" width="13.5703125" style="14" customWidth="1"/>
    <col min="15353" max="15353" width="7.140625" style="14" customWidth="1"/>
    <col min="15354" max="15354" width="5.7109375" style="14" customWidth="1"/>
    <col min="15355" max="15355" width="6.42578125" style="14" customWidth="1"/>
    <col min="15356" max="15356" width="6.5703125" style="14" customWidth="1"/>
    <col min="15357" max="15360" width="9.140625" style="14"/>
    <col min="15361" max="15361" width="7.7109375" style="14" customWidth="1"/>
    <col min="15362" max="15362" width="9.140625" style="14"/>
    <col min="15363" max="15363" width="7.85546875" style="14" customWidth="1"/>
    <col min="15364" max="15364" width="9.140625" style="14"/>
    <col min="15365" max="15365" width="8.7109375" style="14" customWidth="1"/>
    <col min="15366" max="15371" width="9.140625" style="14"/>
    <col min="15372" max="15372" width="11.42578125" style="14" customWidth="1"/>
    <col min="15373" max="15385" width="9.140625" style="14"/>
    <col min="15386" max="15386" width="11.140625" style="14" customWidth="1"/>
    <col min="15387" max="15591" width="9.140625" style="14"/>
    <col min="15592" max="15592" width="8.5703125" style="14" customWidth="1"/>
    <col min="15593" max="15593" width="11.7109375" style="14" customWidth="1"/>
    <col min="15594" max="15594" width="19.28515625" style="14" customWidth="1"/>
    <col min="15595" max="15595" width="13.140625" style="14" customWidth="1"/>
    <col min="15596" max="15597" width="11.5703125" style="14" customWidth="1"/>
    <col min="15598" max="15598" width="5.7109375" style="14" customWidth="1"/>
    <col min="15599" max="15599" width="28.7109375" style="14" customWidth="1"/>
    <col min="15600" max="15600" width="40.5703125" style="14" customWidth="1"/>
    <col min="15601" max="15601" width="13.28515625" style="14" customWidth="1"/>
    <col min="15602" max="15602" width="14" style="14" customWidth="1"/>
    <col min="15603" max="15605" width="13.140625" style="14" customWidth="1"/>
    <col min="15606" max="15606" width="10.28515625" style="14" customWidth="1"/>
    <col min="15607" max="15608" width="13.5703125" style="14" customWidth="1"/>
    <col min="15609" max="15609" width="7.140625" style="14" customWidth="1"/>
    <col min="15610" max="15610" width="5.7109375" style="14" customWidth="1"/>
    <col min="15611" max="15611" width="6.42578125" style="14" customWidth="1"/>
    <col min="15612" max="15612" width="6.5703125" style="14" customWidth="1"/>
    <col min="15613" max="15616" width="9.140625" style="14"/>
    <col min="15617" max="15617" width="7.7109375" style="14" customWidth="1"/>
    <col min="15618" max="15618" width="9.140625" style="14"/>
    <col min="15619" max="15619" width="7.85546875" style="14" customWidth="1"/>
    <col min="15620" max="15620" width="9.140625" style="14"/>
    <col min="15621" max="15621" width="8.7109375" style="14" customWidth="1"/>
    <col min="15622" max="15627" width="9.140625" style="14"/>
    <col min="15628" max="15628" width="11.42578125" style="14" customWidth="1"/>
    <col min="15629" max="15641" width="9.140625" style="14"/>
    <col min="15642" max="15642" width="11.140625" style="14" customWidth="1"/>
    <col min="15643" max="15847" width="9.140625" style="14"/>
    <col min="15848" max="15848" width="8.5703125" style="14" customWidth="1"/>
    <col min="15849" max="15849" width="11.7109375" style="14" customWidth="1"/>
    <col min="15850" max="15850" width="19.28515625" style="14" customWidth="1"/>
    <col min="15851" max="15851" width="13.140625" style="14" customWidth="1"/>
    <col min="15852" max="15853" width="11.5703125" style="14" customWidth="1"/>
    <col min="15854" max="15854" width="5.7109375" style="14" customWidth="1"/>
    <col min="15855" max="15855" width="28.7109375" style="14" customWidth="1"/>
    <col min="15856" max="15856" width="40.5703125" style="14" customWidth="1"/>
    <col min="15857" max="15857" width="13.28515625" style="14" customWidth="1"/>
    <col min="15858" max="15858" width="14" style="14" customWidth="1"/>
    <col min="15859" max="15861" width="13.140625" style="14" customWidth="1"/>
    <col min="15862" max="15862" width="10.28515625" style="14" customWidth="1"/>
    <col min="15863" max="15864" width="13.5703125" style="14" customWidth="1"/>
    <col min="15865" max="15865" width="7.140625" style="14" customWidth="1"/>
    <col min="15866" max="15866" width="5.7109375" style="14" customWidth="1"/>
    <col min="15867" max="15867" width="6.42578125" style="14" customWidth="1"/>
    <col min="15868" max="15868" width="6.5703125" style="14" customWidth="1"/>
    <col min="15869" max="15872" width="9.140625" style="14"/>
    <col min="15873" max="15873" width="7.7109375" style="14" customWidth="1"/>
    <col min="15874" max="15874" width="9.140625" style="14"/>
    <col min="15875" max="15875" width="7.85546875" style="14" customWidth="1"/>
    <col min="15876" max="15876" width="9.140625" style="14"/>
    <col min="15877" max="15877" width="8.7109375" style="14" customWidth="1"/>
    <col min="15878" max="15883" width="9.140625" style="14"/>
    <col min="15884" max="15884" width="11.42578125" style="14" customWidth="1"/>
    <col min="15885" max="15897" width="9.140625" style="14"/>
    <col min="15898" max="15898" width="11.140625" style="14" customWidth="1"/>
    <col min="15899" max="16103" width="9.140625" style="14"/>
    <col min="16104" max="16104" width="8.5703125" style="14" customWidth="1"/>
    <col min="16105" max="16105" width="11.7109375" style="14" customWidth="1"/>
    <col min="16106" max="16106" width="19.28515625" style="14" customWidth="1"/>
    <col min="16107" max="16107" width="13.140625" style="14" customWidth="1"/>
    <col min="16108" max="16109" width="11.5703125" style="14" customWidth="1"/>
    <col min="16110" max="16110" width="5.7109375" style="14" customWidth="1"/>
    <col min="16111" max="16111" width="28.7109375" style="14" customWidth="1"/>
    <col min="16112" max="16112" width="40.5703125" style="14" customWidth="1"/>
    <col min="16113" max="16113" width="13.28515625" style="14" customWidth="1"/>
    <col min="16114" max="16114" width="14" style="14" customWidth="1"/>
    <col min="16115" max="16117" width="13.140625" style="14" customWidth="1"/>
    <col min="16118" max="16118" width="10.28515625" style="14" customWidth="1"/>
    <col min="16119" max="16120" width="13.5703125" style="14" customWidth="1"/>
    <col min="16121" max="16121" width="7.140625" style="14" customWidth="1"/>
    <col min="16122" max="16122" width="5.7109375" style="14" customWidth="1"/>
    <col min="16123" max="16123" width="6.42578125" style="14" customWidth="1"/>
    <col min="16124" max="16124" width="6.5703125" style="14" customWidth="1"/>
    <col min="16125" max="16128" width="9.140625" style="14"/>
    <col min="16129" max="16129" width="7.7109375" style="14" customWidth="1"/>
    <col min="16130" max="16130" width="9.140625" style="14"/>
    <col min="16131" max="16131" width="7.85546875" style="14" customWidth="1"/>
    <col min="16132" max="16132" width="9.140625" style="14"/>
    <col min="16133" max="16133" width="8.7109375" style="14" customWidth="1"/>
    <col min="16134" max="16139" width="9.140625" style="14"/>
    <col min="16140" max="16140" width="11.42578125" style="14" customWidth="1"/>
    <col min="16141" max="16153" width="9.140625" style="14"/>
    <col min="16154" max="16154" width="11.140625" style="14" customWidth="1"/>
    <col min="16155" max="16384" width="9.140625" style="14"/>
  </cols>
  <sheetData>
    <row r="1" spans="1:56" s="1" customFormat="1" x14ac:dyDescent="0.3">
      <c r="B1" s="126"/>
      <c r="C1" s="126"/>
      <c r="D1" s="137"/>
      <c r="F1" s="126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V1" s="2"/>
      <c r="BC1" s="148"/>
    </row>
    <row r="2" spans="1:56" s="1" customFormat="1" ht="40.5" customHeight="1" x14ac:dyDescent="0.3">
      <c r="B2" s="126"/>
      <c r="C2" s="126"/>
      <c r="D2" s="137"/>
      <c r="F2" s="126"/>
      <c r="G2" s="230" t="s">
        <v>432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C2" s="148"/>
    </row>
    <row r="3" spans="1:56" s="1" customFormat="1" ht="23.25" thickBot="1" x14ac:dyDescent="0.35">
      <c r="B3" s="127"/>
      <c r="C3" s="127"/>
      <c r="D3" s="138"/>
      <c r="E3" s="128"/>
      <c r="F3" s="127"/>
      <c r="G3" s="144"/>
      <c r="H3" s="123"/>
      <c r="I3" s="123"/>
      <c r="J3" s="123"/>
      <c r="K3" s="124"/>
      <c r="L3" s="129"/>
      <c r="M3" s="130"/>
      <c r="N3" s="231"/>
      <c r="O3" s="232"/>
      <c r="P3" s="232"/>
      <c r="Q3" s="232"/>
      <c r="R3" s="232"/>
      <c r="S3" s="233"/>
      <c r="T3" s="125"/>
      <c r="U3" s="231" t="s">
        <v>225</v>
      </c>
      <c r="V3" s="232"/>
      <c r="W3" s="232"/>
      <c r="X3" s="233"/>
      <c r="Y3" s="231" t="s">
        <v>0</v>
      </c>
      <c r="Z3" s="232"/>
      <c r="AA3" s="233"/>
      <c r="AB3" s="125"/>
      <c r="AC3" s="231" t="s">
        <v>1</v>
      </c>
      <c r="AD3" s="232"/>
      <c r="AE3" s="232"/>
      <c r="AF3" s="232"/>
      <c r="AG3" s="232"/>
      <c r="AH3" s="232"/>
      <c r="AI3" s="234" t="s">
        <v>2</v>
      </c>
      <c r="AJ3" s="235"/>
      <c r="AK3" s="235"/>
      <c r="AL3" s="235"/>
      <c r="AM3" s="236"/>
      <c r="AN3" s="131"/>
      <c r="AO3" s="125"/>
      <c r="AP3" s="237" t="s">
        <v>3</v>
      </c>
      <c r="AQ3" s="238"/>
      <c r="AR3" s="238"/>
      <c r="AS3" s="238"/>
      <c r="AT3" s="239"/>
      <c r="AU3" s="240" t="s">
        <v>4</v>
      </c>
      <c r="AV3" s="241"/>
      <c r="AW3" s="241"/>
      <c r="AX3" s="241"/>
      <c r="AY3" s="241"/>
      <c r="AZ3" s="241"/>
      <c r="BA3" s="242"/>
      <c r="BC3" s="148"/>
    </row>
    <row r="4" spans="1:56" s="218" customFormat="1" ht="63.75" customHeight="1" thickBot="1" x14ac:dyDescent="0.3">
      <c r="A4" s="216"/>
      <c r="B4" s="184" t="s">
        <v>436</v>
      </c>
      <c r="C4" s="184" t="s">
        <v>439</v>
      </c>
      <c r="D4" s="215" t="s">
        <v>440</v>
      </c>
      <c r="E4" s="217" t="s">
        <v>7</v>
      </c>
      <c r="F4" s="184" t="s">
        <v>144</v>
      </c>
      <c r="G4" s="185" t="s">
        <v>8</v>
      </c>
      <c r="H4" s="186" t="s">
        <v>9</v>
      </c>
      <c r="I4" s="186" t="s">
        <v>10</v>
      </c>
      <c r="J4" s="186" t="s">
        <v>11</v>
      </c>
      <c r="K4" s="187" t="s">
        <v>12</v>
      </c>
      <c r="L4" s="186" t="s">
        <v>13</v>
      </c>
      <c r="M4" s="187" t="s">
        <v>14</v>
      </c>
      <c r="N4" s="186" t="s">
        <v>15</v>
      </c>
      <c r="O4" s="186" t="s">
        <v>16</v>
      </c>
      <c r="P4" s="228" t="s">
        <v>17</v>
      </c>
      <c r="Q4" s="228" t="s">
        <v>18</v>
      </c>
      <c r="R4" s="187" t="s">
        <v>19</v>
      </c>
      <c r="S4" s="186" t="s">
        <v>20</v>
      </c>
      <c r="T4" s="186" t="s">
        <v>21</v>
      </c>
      <c r="U4" s="188" t="s">
        <v>22</v>
      </c>
      <c r="V4" s="188" t="s">
        <v>23</v>
      </c>
      <c r="W4" s="188" t="s">
        <v>24</v>
      </c>
      <c r="X4" s="187" t="s">
        <v>25</v>
      </c>
      <c r="Y4" s="187" t="s">
        <v>20</v>
      </c>
      <c r="Z4" s="187" t="s">
        <v>26</v>
      </c>
      <c r="AA4" s="187" t="s">
        <v>27</v>
      </c>
      <c r="AB4" s="187" t="s">
        <v>28</v>
      </c>
      <c r="AC4" s="187" t="s">
        <v>29</v>
      </c>
      <c r="AD4" s="187" t="s">
        <v>30</v>
      </c>
      <c r="AE4" s="187" t="s">
        <v>31</v>
      </c>
      <c r="AF4" s="187" t="s">
        <v>32</v>
      </c>
      <c r="AG4" s="187" t="s">
        <v>33</v>
      </c>
      <c r="AH4" s="189" t="s">
        <v>34</v>
      </c>
      <c r="AI4" s="190" t="s">
        <v>35</v>
      </c>
      <c r="AJ4" s="187" t="s">
        <v>36</v>
      </c>
      <c r="AK4" s="187" t="s">
        <v>37</v>
      </c>
      <c r="AL4" s="187" t="s">
        <v>38</v>
      </c>
      <c r="AM4" s="191" t="s">
        <v>39</v>
      </c>
      <c r="AN4" s="192" t="s">
        <v>40</v>
      </c>
      <c r="AO4" s="5" t="s">
        <v>41</v>
      </c>
      <c r="AP4" s="4" t="s">
        <v>42</v>
      </c>
      <c r="AQ4" s="4" t="s">
        <v>285</v>
      </c>
      <c r="AR4" s="5" t="s">
        <v>43</v>
      </c>
      <c r="AS4" s="5" t="s">
        <v>44</v>
      </c>
      <c r="AT4" s="5" t="s">
        <v>45</v>
      </c>
      <c r="AU4" s="6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C4" s="148"/>
    </row>
    <row r="5" spans="1:56" s="1" customFormat="1" ht="15.75" x14ac:dyDescent="0.2">
      <c r="B5" s="195"/>
      <c r="C5" s="100"/>
      <c r="D5" s="8" t="s">
        <v>53</v>
      </c>
      <c r="E5" s="8" t="s">
        <v>53</v>
      </c>
      <c r="F5" s="104"/>
      <c r="G5" s="8" t="s">
        <v>53</v>
      </c>
      <c r="H5" s="8" t="s">
        <v>53</v>
      </c>
      <c r="I5" s="8" t="s">
        <v>53</v>
      </c>
      <c r="J5" s="8" t="s">
        <v>53</v>
      </c>
      <c r="K5" s="85" t="s">
        <v>53</v>
      </c>
      <c r="L5" s="8" t="s">
        <v>53</v>
      </c>
      <c r="M5" s="8" t="s">
        <v>53</v>
      </c>
      <c r="N5" s="8" t="s">
        <v>53</v>
      </c>
      <c r="O5" s="8" t="s">
        <v>53</v>
      </c>
      <c r="P5" s="8"/>
      <c r="Q5" s="8"/>
      <c r="R5" s="8" t="s">
        <v>53</v>
      </c>
      <c r="S5" s="8" t="s">
        <v>53</v>
      </c>
      <c r="T5" s="8"/>
      <c r="U5" s="8" t="s">
        <v>53</v>
      </c>
      <c r="V5" s="8" t="s">
        <v>53</v>
      </c>
      <c r="W5" s="8" t="s">
        <v>53</v>
      </c>
      <c r="X5" s="8" t="s">
        <v>53</v>
      </c>
      <c r="Y5" s="8" t="s">
        <v>53</v>
      </c>
      <c r="Z5" s="8"/>
      <c r="AA5" s="8"/>
      <c r="AB5" s="8"/>
      <c r="AC5" s="8" t="s">
        <v>53</v>
      </c>
      <c r="AD5" s="8" t="s">
        <v>53</v>
      </c>
      <c r="AE5" s="8" t="s">
        <v>53</v>
      </c>
      <c r="AF5" s="8" t="s">
        <v>53</v>
      </c>
      <c r="AG5" s="8" t="s">
        <v>53</v>
      </c>
      <c r="AH5" s="9" t="s">
        <v>53</v>
      </c>
      <c r="AI5" s="10" t="s">
        <v>53</v>
      </c>
      <c r="AJ5" s="8" t="s">
        <v>53</v>
      </c>
      <c r="AK5" s="8" t="s">
        <v>53</v>
      </c>
      <c r="AL5" s="8" t="s">
        <v>53</v>
      </c>
      <c r="AM5" s="11" t="s">
        <v>53</v>
      </c>
      <c r="AN5" s="12" t="s">
        <v>53</v>
      </c>
      <c r="AO5" s="8" t="s">
        <v>53</v>
      </c>
      <c r="AP5" s="8" t="s">
        <v>53</v>
      </c>
      <c r="AQ5" s="4"/>
      <c r="AR5" s="8" t="s">
        <v>53</v>
      </c>
      <c r="AS5" s="8" t="s">
        <v>53</v>
      </c>
      <c r="AT5" s="8" t="s">
        <v>53</v>
      </c>
      <c r="AU5" s="13" t="s">
        <v>53</v>
      </c>
      <c r="AV5" s="8" t="s">
        <v>53</v>
      </c>
      <c r="AW5" s="8" t="s">
        <v>53</v>
      </c>
      <c r="AX5" s="8" t="s">
        <v>53</v>
      </c>
      <c r="AY5" s="8" t="s">
        <v>53</v>
      </c>
      <c r="AZ5" s="8" t="s">
        <v>53</v>
      </c>
      <c r="BA5" s="8" t="s">
        <v>53</v>
      </c>
      <c r="BC5" s="148"/>
    </row>
    <row r="6" spans="1:56" ht="15.75" x14ac:dyDescent="0.25">
      <c r="B6" s="199">
        <v>28000</v>
      </c>
      <c r="C6" s="157">
        <v>27000</v>
      </c>
      <c r="D6" s="78">
        <v>25000</v>
      </c>
      <c r="E6" s="16" t="s">
        <v>54</v>
      </c>
      <c r="F6" s="104" t="s">
        <v>150</v>
      </c>
      <c r="G6" s="21" t="s">
        <v>55</v>
      </c>
      <c r="H6" s="15"/>
      <c r="I6" s="17"/>
      <c r="J6" s="17">
        <v>1</v>
      </c>
      <c r="K6" s="86" t="s">
        <v>56</v>
      </c>
      <c r="L6" s="18" t="s">
        <v>57</v>
      </c>
      <c r="M6" s="19">
        <v>28000</v>
      </c>
      <c r="N6" s="20">
        <f>ROUND(IF((M6*50%)&lt;13897,13897,(M6*50/100)),)</f>
        <v>14000</v>
      </c>
      <c r="O6" s="20">
        <f>M6-N6</f>
        <v>14000</v>
      </c>
      <c r="P6" s="20">
        <f>ROUND(O6*50%,)</f>
        <v>7000</v>
      </c>
      <c r="Q6" s="20">
        <f>ROUND(O6*50/100,)</f>
        <v>7000</v>
      </c>
      <c r="R6" s="21">
        <v>0</v>
      </c>
      <c r="S6" s="20">
        <f>N6+O6+P6+Q6+R6</f>
        <v>42000</v>
      </c>
      <c r="T6" s="20">
        <v>0</v>
      </c>
      <c r="U6" s="22">
        <v>26</v>
      </c>
      <c r="V6" s="22">
        <v>4</v>
      </c>
      <c r="W6" s="22">
        <v>0</v>
      </c>
      <c r="X6" s="22">
        <f>+U6+V6+W6</f>
        <v>30</v>
      </c>
      <c r="Y6" s="20">
        <f>+M6/30*X6</f>
        <v>28000</v>
      </c>
      <c r="Z6" s="20">
        <v>0</v>
      </c>
      <c r="AA6" s="20">
        <f>+Y6+Z6</f>
        <v>28000</v>
      </c>
      <c r="AB6" s="20">
        <f>+(N6/30)*U6</f>
        <v>12133.333333333334</v>
      </c>
      <c r="AC6" s="20">
        <v>0</v>
      </c>
      <c r="AD6" s="20">
        <v>0</v>
      </c>
      <c r="AE6" s="20">
        <v>0</v>
      </c>
      <c r="AF6" s="20">
        <v>0</v>
      </c>
      <c r="AG6" s="20">
        <f>IF(AA6&gt;=12000,200,IF(AA6&gt;=9000,150,IF(AA6&gt;=6000,80,IF(AA6&gt;=3000,0,0))))</f>
        <v>200</v>
      </c>
      <c r="AH6" s="24"/>
      <c r="AI6" s="80">
        <v>0</v>
      </c>
      <c r="AJ6" s="24">
        <v>0</v>
      </c>
      <c r="AK6" s="24">
        <v>0</v>
      </c>
      <c r="AL6" s="24">
        <v>0</v>
      </c>
      <c r="AM6" s="23">
        <f>SUM(AI6:AL6)</f>
        <v>0</v>
      </c>
      <c r="AN6" s="60">
        <f>+AA6-(AC6+AE6+AG6+AH6+AI6+AJ6+AK6+AL6)</f>
        <v>27800</v>
      </c>
      <c r="AO6" s="15"/>
      <c r="AP6" s="27"/>
      <c r="AQ6" s="60" t="s">
        <v>324</v>
      </c>
      <c r="AR6" s="28"/>
      <c r="AS6" s="28"/>
      <c r="AT6" s="28"/>
      <c r="AU6" s="29"/>
      <c r="AV6" s="30"/>
      <c r="AW6" s="30"/>
      <c r="AX6" s="30"/>
      <c r="AY6" s="30"/>
      <c r="AZ6" s="30"/>
      <c r="BA6" s="30"/>
      <c r="BC6" s="152">
        <f>AC6+AE6+AG6+AN6</f>
        <v>28000</v>
      </c>
      <c r="BD6" s="32"/>
    </row>
    <row r="7" spans="1:56" ht="15.75" x14ac:dyDescent="0.25">
      <c r="B7" s="199">
        <v>26750</v>
      </c>
      <c r="C7" s="164">
        <v>25000</v>
      </c>
      <c r="D7" s="78">
        <v>21000</v>
      </c>
      <c r="E7" s="30" t="s">
        <v>58</v>
      </c>
      <c r="F7" s="101" t="s">
        <v>259</v>
      </c>
      <c r="G7" s="112">
        <v>43556</v>
      </c>
      <c r="H7" s="15"/>
      <c r="I7" s="15"/>
      <c r="J7" s="17">
        <f>J6+1</f>
        <v>2</v>
      </c>
      <c r="K7" s="86" t="s">
        <v>59</v>
      </c>
      <c r="L7" s="18" t="s">
        <v>60</v>
      </c>
      <c r="M7" s="19">
        <v>26750</v>
      </c>
      <c r="N7" s="20">
        <f t="shared" ref="N7:N9" si="0">ROUND(IF((M7*50%)&lt;13897,13897,(M7*50/100)),)</f>
        <v>13897</v>
      </c>
      <c r="O7" s="20">
        <f t="shared" ref="O7:O9" si="1">M7-N7</f>
        <v>12853</v>
      </c>
      <c r="P7" s="20">
        <f>ROUND(O7*50%,)</f>
        <v>6427</v>
      </c>
      <c r="Q7" s="20">
        <f>ROUND(O7*50/100,)</f>
        <v>6427</v>
      </c>
      <c r="R7" s="21">
        <v>0</v>
      </c>
      <c r="S7" s="20">
        <f>N7+O7+P7+Q7+R7</f>
        <v>39604</v>
      </c>
      <c r="T7" s="20">
        <v>0</v>
      </c>
      <c r="U7" s="22">
        <v>24</v>
      </c>
      <c r="V7" s="22">
        <v>3</v>
      </c>
      <c r="W7" s="22">
        <v>0</v>
      </c>
      <c r="X7" s="22">
        <f>+U7+V7+W7</f>
        <v>27</v>
      </c>
      <c r="Y7" s="20">
        <f t="shared" ref="Y7:Y9" si="2">+M7/30*X7</f>
        <v>24075</v>
      </c>
      <c r="Z7" s="20">
        <v>0</v>
      </c>
      <c r="AA7" s="20">
        <f>+Y7+Z7</f>
        <v>24075</v>
      </c>
      <c r="AB7" s="20">
        <f t="shared" ref="AB7:AB9" si="3">+(N7/30)*U7</f>
        <v>11117.6</v>
      </c>
      <c r="AC7" s="20">
        <v>0</v>
      </c>
      <c r="AD7" s="20">
        <v>0</v>
      </c>
      <c r="AE7" s="20">
        <v>0</v>
      </c>
      <c r="AF7" s="20">
        <v>0</v>
      </c>
      <c r="AG7" s="79">
        <f>IF(AA7&gt;=12000,200,IF(AA7&gt;=9000,150,IF(AA7&gt;=6000,80,IF(AA7&gt;=3000,0,0))))</f>
        <v>200</v>
      </c>
      <c r="AH7" s="24"/>
      <c r="AI7" s="80">
        <v>0</v>
      </c>
      <c r="AJ7" s="24">
        <v>0</v>
      </c>
      <c r="AK7" s="24">
        <v>0</v>
      </c>
      <c r="AL7" s="24">
        <v>0</v>
      </c>
      <c r="AM7" s="23">
        <f>SUM(AI7:AL7)</f>
        <v>0</v>
      </c>
      <c r="AN7" s="60">
        <f>+AA7-(AC7+AE7+AG7+AH7+AI7+AJ7+AK7+AL7)</f>
        <v>23875</v>
      </c>
      <c r="AO7" s="99"/>
      <c r="AP7" s="27"/>
      <c r="AQ7" s="168" t="s">
        <v>334</v>
      </c>
      <c r="AR7" s="15"/>
      <c r="AS7" s="15"/>
      <c r="AT7" s="15"/>
      <c r="AU7" s="29"/>
      <c r="AV7" s="30"/>
      <c r="AW7" s="30"/>
      <c r="AX7" s="30"/>
      <c r="AY7" s="30"/>
      <c r="AZ7" s="30"/>
      <c r="BA7" s="30"/>
      <c r="BC7" s="152">
        <f>AC7+AE7+AG7+AN7</f>
        <v>24075</v>
      </c>
    </row>
    <row r="8" spans="1:56" ht="15.75" x14ac:dyDescent="0.25">
      <c r="B8" s="199">
        <v>37000</v>
      </c>
      <c r="C8" s="157">
        <v>33000</v>
      </c>
      <c r="D8" s="78">
        <v>28000</v>
      </c>
      <c r="E8" s="30" t="s">
        <v>58</v>
      </c>
      <c r="F8" s="150" t="s">
        <v>145</v>
      </c>
      <c r="G8" s="21" t="s">
        <v>55</v>
      </c>
      <c r="H8" s="15"/>
      <c r="I8" s="17"/>
      <c r="J8" s="17">
        <f>J7+1</f>
        <v>3</v>
      </c>
      <c r="K8" s="86" t="s">
        <v>61</v>
      </c>
      <c r="L8" s="18" t="s">
        <v>62</v>
      </c>
      <c r="M8" s="33">
        <v>37000</v>
      </c>
      <c r="N8" s="20">
        <f t="shared" si="0"/>
        <v>18500</v>
      </c>
      <c r="O8" s="20">
        <f t="shared" si="1"/>
        <v>18500</v>
      </c>
      <c r="P8" s="20">
        <f>ROUND(O8*50%,)</f>
        <v>9250</v>
      </c>
      <c r="Q8" s="20">
        <f>ROUND(O8*50/100,)</f>
        <v>9250</v>
      </c>
      <c r="R8" s="21">
        <v>0</v>
      </c>
      <c r="S8" s="20">
        <f>N8+O8+P8+Q8+R8</f>
        <v>55500</v>
      </c>
      <c r="T8" s="20">
        <v>0</v>
      </c>
      <c r="U8" s="22">
        <v>26</v>
      </c>
      <c r="V8" s="22">
        <v>4</v>
      </c>
      <c r="W8" s="22">
        <v>0</v>
      </c>
      <c r="X8" s="22">
        <f>+U8+V8+W8</f>
        <v>30</v>
      </c>
      <c r="Y8" s="20">
        <f t="shared" si="2"/>
        <v>37000</v>
      </c>
      <c r="Z8" s="20">
        <v>0</v>
      </c>
      <c r="AA8" s="20">
        <f>+Y8+Z8</f>
        <v>37000</v>
      </c>
      <c r="AB8" s="20">
        <f t="shared" si="3"/>
        <v>16033.333333333332</v>
      </c>
      <c r="AC8" s="20">
        <v>0</v>
      </c>
      <c r="AD8" s="20">
        <v>0</v>
      </c>
      <c r="AE8" s="20">
        <v>0</v>
      </c>
      <c r="AF8" s="20">
        <v>0</v>
      </c>
      <c r="AG8" s="79">
        <f>IF(AA8&gt;=12000,200,IF(AA8&gt;=9000,150,IF(AA8&gt;=6000,80,IF(AA8&gt;=3000,0,0))))</f>
        <v>200</v>
      </c>
      <c r="AH8" s="24"/>
      <c r="AI8" s="80">
        <v>0</v>
      </c>
      <c r="AJ8" s="24">
        <v>0</v>
      </c>
      <c r="AK8" s="24">
        <v>0</v>
      </c>
      <c r="AL8" s="24">
        <v>0</v>
      </c>
      <c r="AM8" s="23">
        <f>SUM(AI8:AL8)</f>
        <v>0</v>
      </c>
      <c r="AN8" s="60">
        <f>+AA8-(AC8+AE8+AG8+AH8+AI8+AJ8+AK8+AL8)</f>
        <v>36800</v>
      </c>
      <c r="AO8" s="99"/>
      <c r="AP8" s="27"/>
      <c r="AQ8" s="168" t="s">
        <v>330</v>
      </c>
      <c r="AR8" s="28"/>
      <c r="AS8" s="28"/>
      <c r="AT8" s="28"/>
      <c r="AU8" s="29"/>
      <c r="AV8" s="30"/>
      <c r="AW8" s="30"/>
      <c r="AX8" s="30"/>
      <c r="AY8" s="30"/>
      <c r="AZ8" s="30"/>
      <c r="BA8" s="30"/>
      <c r="BC8" s="152">
        <f>AC8+AE8+AG8+AN8</f>
        <v>37000</v>
      </c>
    </row>
    <row r="9" spans="1:56" ht="16.5" thickBot="1" x14ac:dyDescent="0.3">
      <c r="B9" s="199">
        <v>40000</v>
      </c>
      <c r="C9" s="157">
        <v>35000</v>
      </c>
      <c r="D9" s="78">
        <v>28000</v>
      </c>
      <c r="E9" s="30" t="s">
        <v>58</v>
      </c>
      <c r="F9" s="150" t="s">
        <v>145</v>
      </c>
      <c r="G9" s="21" t="s">
        <v>55</v>
      </c>
      <c r="H9" s="15"/>
      <c r="I9" s="17"/>
      <c r="J9" s="17">
        <f>J8+1</f>
        <v>4</v>
      </c>
      <c r="K9" s="86" t="s">
        <v>61</v>
      </c>
      <c r="L9" s="18" t="s">
        <v>63</v>
      </c>
      <c r="M9" s="33">
        <v>40000</v>
      </c>
      <c r="N9" s="20">
        <f t="shared" si="0"/>
        <v>20000</v>
      </c>
      <c r="O9" s="20">
        <f t="shared" si="1"/>
        <v>20000</v>
      </c>
      <c r="P9" s="20">
        <f>ROUND(O9*50%,)</f>
        <v>10000</v>
      </c>
      <c r="Q9" s="20">
        <f>ROUND(O9*50/100,)</f>
        <v>10000</v>
      </c>
      <c r="R9" s="21">
        <v>0</v>
      </c>
      <c r="S9" s="20">
        <f>N9+O9+P9+Q9+R9</f>
        <v>60000</v>
      </c>
      <c r="T9" s="20">
        <v>0</v>
      </c>
      <c r="U9" s="22">
        <v>26</v>
      </c>
      <c r="V9" s="22">
        <v>4</v>
      </c>
      <c r="W9" s="22">
        <v>0</v>
      </c>
      <c r="X9" s="22">
        <f>+U9+V9+W9</f>
        <v>30</v>
      </c>
      <c r="Y9" s="20">
        <f t="shared" si="2"/>
        <v>40000</v>
      </c>
      <c r="Z9" s="20">
        <v>0</v>
      </c>
      <c r="AA9" s="20">
        <f>+Y9+Z9</f>
        <v>40000</v>
      </c>
      <c r="AB9" s="20">
        <f t="shared" si="3"/>
        <v>17333.333333333332</v>
      </c>
      <c r="AC9" s="20">
        <v>0</v>
      </c>
      <c r="AD9" s="20">
        <v>0</v>
      </c>
      <c r="AE9" s="20">
        <v>0</v>
      </c>
      <c r="AF9" s="20">
        <v>0</v>
      </c>
      <c r="AG9" s="20">
        <f>IF(AA9&gt;=12000,200,IF(AA9&gt;=9000,150,IF(AA9&gt;=6000,80,IF(AA9&gt;=3000,0,0))))</f>
        <v>200</v>
      </c>
      <c r="AH9" s="178"/>
      <c r="AI9" s="80">
        <v>0</v>
      </c>
      <c r="AJ9" s="24">
        <v>0</v>
      </c>
      <c r="AK9" s="24">
        <v>0</v>
      </c>
      <c r="AL9" s="24">
        <v>0</v>
      </c>
      <c r="AM9" s="25">
        <f>SUM(AI9:AL9)</f>
        <v>0</v>
      </c>
      <c r="AN9" s="26">
        <f>+AA9-(AC9+AE9+AG9+AH9+AI9+AJ9+AK9+AL9)</f>
        <v>39800</v>
      </c>
      <c r="AO9" s="15"/>
      <c r="AP9" s="27"/>
      <c r="AQ9" s="60" t="s">
        <v>333</v>
      </c>
      <c r="AR9" s="28"/>
      <c r="AS9" s="28"/>
      <c r="AT9" s="28"/>
      <c r="AU9" s="29"/>
      <c r="AV9" s="30"/>
      <c r="AW9" s="30"/>
      <c r="AX9" s="30"/>
      <c r="AY9" s="30"/>
      <c r="AZ9" s="30"/>
      <c r="BA9" s="30"/>
      <c r="BC9" s="152">
        <f>AC9+AE9+AG9+AN9</f>
        <v>40000</v>
      </c>
    </row>
    <row r="10" spans="1:56" ht="16.5" thickBot="1" x14ac:dyDescent="0.25">
      <c r="B10" s="102"/>
      <c r="C10" s="102">
        <f>SUM(C6:C9)</f>
        <v>120000</v>
      </c>
      <c r="D10" s="34">
        <f>SUM(D6:D9)</f>
        <v>102000</v>
      </c>
      <c r="E10" s="227"/>
      <c r="F10" s="163"/>
      <c r="G10" s="145"/>
      <c r="H10" s="35"/>
      <c r="I10" s="36"/>
      <c r="J10" s="37"/>
      <c r="K10" s="87"/>
      <c r="L10" s="38"/>
      <c r="M10" s="34">
        <f>SUM(M6:M9)</f>
        <v>131750</v>
      </c>
      <c r="N10" s="34">
        <f>SUM(N6:N9)</f>
        <v>66397</v>
      </c>
      <c r="O10" s="34">
        <f>SUM(O6:O9)</f>
        <v>65353</v>
      </c>
      <c r="P10" s="34">
        <f>SUM(P6:P9)</f>
        <v>32677</v>
      </c>
      <c r="Q10" s="34">
        <f>SUM(Q6:Q9)</f>
        <v>32677</v>
      </c>
      <c r="R10" s="34">
        <f t="shared" ref="R10:AM10" si="4">SUM(R6:R9)</f>
        <v>0</v>
      </c>
      <c r="S10" s="34">
        <f t="shared" si="4"/>
        <v>197104</v>
      </c>
      <c r="T10" s="34">
        <f t="shared" si="4"/>
        <v>0</v>
      </c>
      <c r="U10" s="34">
        <f t="shared" si="4"/>
        <v>102</v>
      </c>
      <c r="V10" s="34">
        <f t="shared" si="4"/>
        <v>15</v>
      </c>
      <c r="W10" s="34">
        <f t="shared" si="4"/>
        <v>0</v>
      </c>
      <c r="X10" s="34">
        <f t="shared" si="4"/>
        <v>117</v>
      </c>
      <c r="Y10" s="34">
        <f t="shared" si="4"/>
        <v>129075</v>
      </c>
      <c r="Z10" s="34">
        <f t="shared" si="4"/>
        <v>0</v>
      </c>
      <c r="AA10" s="34">
        <f t="shared" si="4"/>
        <v>129075</v>
      </c>
      <c r="AB10" s="34">
        <f t="shared" si="4"/>
        <v>56617.599999999991</v>
      </c>
      <c r="AC10" s="34">
        <f t="shared" si="4"/>
        <v>0</v>
      </c>
      <c r="AD10" s="34">
        <f t="shared" si="4"/>
        <v>0</v>
      </c>
      <c r="AE10" s="34">
        <f t="shared" si="4"/>
        <v>0</v>
      </c>
      <c r="AF10" s="34">
        <f t="shared" si="4"/>
        <v>0</v>
      </c>
      <c r="AG10" s="34">
        <f>SUM(AG6:AG9)</f>
        <v>800</v>
      </c>
      <c r="AH10" s="179">
        <f t="shared" si="4"/>
        <v>0</v>
      </c>
      <c r="AI10" s="177">
        <f t="shared" si="4"/>
        <v>0</v>
      </c>
      <c r="AJ10" s="34">
        <f t="shared" si="4"/>
        <v>0</v>
      </c>
      <c r="AK10" s="34">
        <f t="shared" si="4"/>
        <v>0</v>
      </c>
      <c r="AL10" s="34">
        <f t="shared" si="4"/>
        <v>0</v>
      </c>
      <c r="AM10" s="193">
        <f t="shared" si="4"/>
        <v>0</v>
      </c>
      <c r="AN10" s="179">
        <f>SUM(AN6:AN9)</f>
        <v>128275</v>
      </c>
      <c r="AO10" s="177">
        <f t="shared" ref="AO10:AP10" si="5">SUM(AO6:AO9)</f>
        <v>0</v>
      </c>
      <c r="AP10" s="34">
        <f t="shared" si="5"/>
        <v>0</v>
      </c>
      <c r="AQ10" s="34"/>
      <c r="AR10" s="39"/>
      <c r="AS10" s="39"/>
      <c r="AT10" s="40"/>
      <c r="AU10" s="29"/>
      <c r="AV10" s="30"/>
      <c r="AW10" s="30"/>
      <c r="AX10" s="30"/>
      <c r="AY10" s="30"/>
      <c r="AZ10" s="30"/>
      <c r="BA10" s="30"/>
      <c r="BB10" s="34">
        <f>SUM(BB6:BB9)</f>
        <v>0</v>
      </c>
      <c r="BC10" s="34">
        <f>SUM(BC6:BC9)</f>
        <v>129075</v>
      </c>
    </row>
    <row r="11" spans="1:56" ht="18" customHeight="1" x14ac:dyDescent="0.25">
      <c r="B11" s="198">
        <v>32000</v>
      </c>
      <c r="C11" s="155">
        <v>27000</v>
      </c>
      <c r="D11" s="78">
        <v>24000</v>
      </c>
      <c r="E11" s="30" t="s">
        <v>422</v>
      </c>
      <c r="F11" s="104" t="s">
        <v>150</v>
      </c>
      <c r="G11" s="21" t="s">
        <v>55</v>
      </c>
      <c r="H11" s="15"/>
      <c r="I11" s="83" t="s">
        <v>104</v>
      </c>
      <c r="J11" s="41">
        <v>1</v>
      </c>
      <c r="K11" s="86" t="s">
        <v>64</v>
      </c>
      <c r="L11" s="43" t="s">
        <v>65</v>
      </c>
      <c r="M11" s="33">
        <v>32000</v>
      </c>
      <c r="N11" s="20">
        <f t="shared" ref="N11:N17" si="6">ROUND(IF((M11*50%)&lt;13897,13897,(M11*50/100)),)</f>
        <v>16000</v>
      </c>
      <c r="O11" s="20">
        <f t="shared" ref="O11:O13" si="7">ROUND((M11-N11)/2,)</f>
        <v>8000</v>
      </c>
      <c r="P11" s="20">
        <f t="shared" ref="P11:P13" si="8">ROUND(O11*50%,)</f>
        <v>4000</v>
      </c>
      <c r="Q11" s="20">
        <f t="shared" ref="Q11:Q13" si="9">ROUND(O11*50/100,)</f>
        <v>4000</v>
      </c>
      <c r="R11" s="20">
        <v>0</v>
      </c>
      <c r="S11" s="20">
        <f t="shared" ref="S11:S13" si="10">N11+O11+P11+Q11+R11</f>
        <v>32000</v>
      </c>
      <c r="T11" s="20">
        <f t="shared" ref="T11:T13" si="11">ROUND(IF((S11-O11)&gt;15000,15000,(S11-O11)),)</f>
        <v>15000</v>
      </c>
      <c r="U11" s="22">
        <v>26</v>
      </c>
      <c r="V11" s="22">
        <v>4</v>
      </c>
      <c r="W11" s="22">
        <v>0</v>
      </c>
      <c r="X11" s="22">
        <f t="shared" ref="X11:X13" si="12">+U11+V11+W11</f>
        <v>30</v>
      </c>
      <c r="Y11" s="20">
        <f>+M11/30*X11</f>
        <v>32000.000000000004</v>
      </c>
      <c r="Z11" s="42">
        <v>0</v>
      </c>
      <c r="AA11" s="20">
        <f t="shared" ref="AA11:AA13" si="13">+Y11+Z11</f>
        <v>32000.000000000004</v>
      </c>
      <c r="AB11" s="20">
        <f>+(N11/30)*U11</f>
        <v>13866.666666666668</v>
      </c>
      <c r="AC11" s="42">
        <f t="shared" ref="AC11:AC13" si="14">+AB11*12%</f>
        <v>1664</v>
      </c>
      <c r="AD11" s="42">
        <f t="shared" ref="AD11:AD13" si="15">+AB11*13%</f>
        <v>1802.666666666667</v>
      </c>
      <c r="AE11" s="42">
        <v>0</v>
      </c>
      <c r="AF11" s="42">
        <v>0</v>
      </c>
      <c r="AG11" s="20">
        <f t="shared" ref="AG11:AG12" si="16">IF(AA11&gt;=12000,200,IF(AA11&gt;=9000,150,IF(AA11&gt;=6000,80,IF(AA11&gt;=3000,0,0))))</f>
        <v>200</v>
      </c>
      <c r="AH11" s="122"/>
      <c r="AI11" s="80">
        <v>0</v>
      </c>
      <c r="AJ11" s="24">
        <v>0</v>
      </c>
      <c r="AK11" s="24">
        <v>0</v>
      </c>
      <c r="AL11" s="24">
        <v>0</v>
      </c>
      <c r="AM11" s="23">
        <f t="shared" ref="AM11:AM13" si="17">SUM(AI11:AL11)</f>
        <v>0</v>
      </c>
      <c r="AN11" s="194">
        <f t="shared" ref="AN11:AN13" si="18">+AA11-(AC11+AE11+AG11+AH11+AI11+AJ11+AK11+AL11)</f>
        <v>30136.000000000004</v>
      </c>
      <c r="AO11" s="99"/>
      <c r="AP11" s="27"/>
      <c r="AQ11" s="60" t="s">
        <v>390</v>
      </c>
      <c r="AR11" s="28"/>
      <c r="AS11" s="28"/>
      <c r="AT11" s="28"/>
      <c r="AU11" s="29"/>
      <c r="AV11" s="21"/>
      <c r="AW11" s="30"/>
      <c r="AX11" s="30"/>
      <c r="AY11" s="30"/>
      <c r="AZ11" s="30"/>
      <c r="BA11" s="30"/>
      <c r="BC11" s="152">
        <f t="shared" ref="BC11:BC12" si="19">AC11+AE11+AG11+AN11</f>
        <v>32000.000000000004</v>
      </c>
      <c r="BD11" s="31"/>
    </row>
    <row r="12" spans="1:56" ht="18" customHeight="1" x14ac:dyDescent="0.25">
      <c r="B12" s="198">
        <v>23500</v>
      </c>
      <c r="C12" s="155">
        <f>21760+500+2000</f>
        <v>24260</v>
      </c>
      <c r="D12" s="78">
        <v>20760</v>
      </c>
      <c r="E12" s="16" t="s">
        <v>54</v>
      </c>
      <c r="F12" s="104" t="s">
        <v>150</v>
      </c>
      <c r="G12" s="112">
        <v>44501</v>
      </c>
      <c r="H12" s="15"/>
      <c r="I12" s="83" t="s">
        <v>105</v>
      </c>
      <c r="J12" s="41">
        <f t="shared" ref="J12:J17" si="20">J11+1</f>
        <v>2</v>
      </c>
      <c r="K12" s="86" t="s">
        <v>64</v>
      </c>
      <c r="L12" s="43" t="s">
        <v>66</v>
      </c>
      <c r="M12" s="33">
        <v>23500</v>
      </c>
      <c r="N12" s="20">
        <f t="shared" si="6"/>
        <v>13897</v>
      </c>
      <c r="O12" s="20">
        <f t="shared" si="7"/>
        <v>4802</v>
      </c>
      <c r="P12" s="20">
        <f t="shared" si="8"/>
        <v>2401</v>
      </c>
      <c r="Q12" s="20">
        <f t="shared" si="9"/>
        <v>2401</v>
      </c>
      <c r="R12" s="20">
        <v>0</v>
      </c>
      <c r="S12" s="20">
        <f t="shared" si="10"/>
        <v>23501</v>
      </c>
      <c r="T12" s="20">
        <f t="shared" si="11"/>
        <v>15000</v>
      </c>
      <c r="U12" s="22">
        <v>25</v>
      </c>
      <c r="V12" s="22">
        <v>4</v>
      </c>
      <c r="W12" s="22">
        <v>0</v>
      </c>
      <c r="X12" s="22">
        <f t="shared" si="12"/>
        <v>29</v>
      </c>
      <c r="Y12" s="20">
        <f t="shared" ref="Y12:Y17" si="21">+M12/30*X12</f>
        <v>22716.666666666668</v>
      </c>
      <c r="Z12" s="42">
        <v>0</v>
      </c>
      <c r="AA12" s="20">
        <f t="shared" si="13"/>
        <v>22716.666666666668</v>
      </c>
      <c r="AB12" s="20">
        <f t="shared" ref="AB12:AB17" si="22">+(N12/30)*U12</f>
        <v>11580.833333333334</v>
      </c>
      <c r="AC12" s="42">
        <f t="shared" si="14"/>
        <v>1389.7</v>
      </c>
      <c r="AD12" s="42">
        <f t="shared" si="15"/>
        <v>1505.5083333333334</v>
      </c>
      <c r="AE12" s="42">
        <v>0</v>
      </c>
      <c r="AF12" s="42">
        <v>0</v>
      </c>
      <c r="AG12" s="20">
        <f t="shared" si="16"/>
        <v>200</v>
      </c>
      <c r="AH12" s="24"/>
      <c r="AI12" s="80">
        <v>0</v>
      </c>
      <c r="AJ12" s="24">
        <v>0</v>
      </c>
      <c r="AK12" s="24">
        <v>0</v>
      </c>
      <c r="AL12" s="24">
        <v>0</v>
      </c>
      <c r="AM12" s="23">
        <f t="shared" si="17"/>
        <v>0</v>
      </c>
      <c r="AN12" s="60">
        <f t="shared" si="18"/>
        <v>21126.966666666667</v>
      </c>
      <c r="AO12" s="99"/>
      <c r="AP12" s="27"/>
      <c r="AQ12" s="60" t="s">
        <v>325</v>
      </c>
      <c r="AR12" s="28"/>
      <c r="AS12" s="28"/>
      <c r="AT12" s="28"/>
      <c r="AU12" s="29"/>
      <c r="AV12" s="21"/>
      <c r="AW12" s="30"/>
      <c r="AX12" s="30"/>
      <c r="AY12" s="30"/>
      <c r="AZ12" s="44"/>
      <c r="BA12" s="30"/>
      <c r="BC12" s="152">
        <f t="shared" si="19"/>
        <v>22716.666666666668</v>
      </c>
      <c r="BD12" s="32"/>
    </row>
    <row r="13" spans="1:56" ht="18" customHeight="1" x14ac:dyDescent="0.25">
      <c r="B13" s="155">
        <v>25000</v>
      </c>
      <c r="C13" s="198">
        <v>22000</v>
      </c>
      <c r="D13" s="15">
        <v>18500</v>
      </c>
      <c r="E13" s="16" t="s">
        <v>438</v>
      </c>
      <c r="F13" s="104" t="s">
        <v>159</v>
      </c>
      <c r="G13" s="112">
        <v>44652</v>
      </c>
      <c r="H13" s="15"/>
      <c r="I13" s="83" t="s">
        <v>106</v>
      </c>
      <c r="J13" s="41">
        <f t="shared" si="20"/>
        <v>3</v>
      </c>
      <c r="K13" s="86" t="s">
        <v>64</v>
      </c>
      <c r="L13" s="43" t="s">
        <v>67</v>
      </c>
      <c r="M13" s="33">
        <v>25000</v>
      </c>
      <c r="N13" s="20">
        <f t="shared" si="6"/>
        <v>13897</v>
      </c>
      <c r="O13" s="20">
        <f t="shared" si="7"/>
        <v>5552</v>
      </c>
      <c r="P13" s="20">
        <f t="shared" si="8"/>
        <v>2776</v>
      </c>
      <c r="Q13" s="20">
        <f t="shared" si="9"/>
        <v>2776</v>
      </c>
      <c r="R13" s="20">
        <v>0</v>
      </c>
      <c r="S13" s="20">
        <f t="shared" si="10"/>
        <v>25001</v>
      </c>
      <c r="T13" s="20">
        <f t="shared" si="11"/>
        <v>15000</v>
      </c>
      <c r="U13" s="22">
        <v>26</v>
      </c>
      <c r="V13" s="22">
        <v>4</v>
      </c>
      <c r="W13" s="22">
        <v>0</v>
      </c>
      <c r="X13" s="22">
        <f t="shared" si="12"/>
        <v>30</v>
      </c>
      <c r="Y13" s="20">
        <f t="shared" si="21"/>
        <v>25000</v>
      </c>
      <c r="Z13" s="42">
        <f>5000+193-8</f>
        <v>5185</v>
      </c>
      <c r="AA13" s="20">
        <f t="shared" si="13"/>
        <v>30185</v>
      </c>
      <c r="AB13" s="20">
        <f t="shared" si="22"/>
        <v>12044.066666666668</v>
      </c>
      <c r="AC13" s="42">
        <f t="shared" si="14"/>
        <v>1445.288</v>
      </c>
      <c r="AD13" s="42">
        <f t="shared" si="15"/>
        <v>1565.7286666666669</v>
      </c>
      <c r="AE13" s="42">
        <f>ROUNDUP(AA13*0.75%,0)</f>
        <v>227</v>
      </c>
      <c r="AF13" s="42">
        <f>ROUNDUP(AA13*3.25%,0)</f>
        <v>982</v>
      </c>
      <c r="AG13" s="20">
        <f>IF(AA13&gt;=12000,200,IF(AA13&gt;=9000,150,IF(AA13&gt;=6000,80,IF(AA13&gt;=3000,0,0))))</f>
        <v>200</v>
      </c>
      <c r="AH13" s="24">
        <v>0</v>
      </c>
      <c r="AI13" s="80">
        <v>2000</v>
      </c>
      <c r="AJ13" s="24">
        <v>0</v>
      </c>
      <c r="AK13" s="24">
        <v>0</v>
      </c>
      <c r="AL13" s="24">
        <v>0</v>
      </c>
      <c r="AM13" s="23">
        <f t="shared" si="17"/>
        <v>2000</v>
      </c>
      <c r="AN13" s="60">
        <f t="shared" si="18"/>
        <v>26312.712</v>
      </c>
      <c r="AO13" s="99"/>
      <c r="AP13" s="27"/>
      <c r="AQ13" s="60" t="s">
        <v>305</v>
      </c>
      <c r="AR13" s="28"/>
      <c r="AS13" s="28"/>
      <c r="AT13" s="28"/>
      <c r="AU13" s="29"/>
      <c r="AV13" s="21"/>
      <c r="AW13" s="30"/>
      <c r="AX13" s="30"/>
      <c r="AY13" s="30"/>
      <c r="AZ13" s="44"/>
      <c r="BA13" s="30"/>
      <c r="BC13" s="152">
        <f>AC13+AE13+AG13+AN13</f>
        <v>28185</v>
      </c>
      <c r="BD13" s="32"/>
    </row>
    <row r="14" spans="1:56" s="50" customFormat="1" ht="15.75" x14ac:dyDescent="0.25">
      <c r="B14" s="155">
        <v>32000</v>
      </c>
      <c r="C14" s="198">
        <v>28000</v>
      </c>
      <c r="D14" s="15">
        <v>24000</v>
      </c>
      <c r="E14" s="16" t="s">
        <v>438</v>
      </c>
      <c r="F14" s="104" t="s">
        <v>156</v>
      </c>
      <c r="G14" s="112">
        <v>44713</v>
      </c>
      <c r="H14" s="15"/>
      <c r="I14" s="83" t="s">
        <v>111</v>
      </c>
      <c r="J14" s="41">
        <f t="shared" si="20"/>
        <v>4</v>
      </c>
      <c r="K14" s="86" t="s">
        <v>64</v>
      </c>
      <c r="L14" s="43" t="s">
        <v>110</v>
      </c>
      <c r="M14" s="33">
        <v>32000</v>
      </c>
      <c r="N14" s="20">
        <f t="shared" si="6"/>
        <v>16000</v>
      </c>
      <c r="O14" s="20">
        <f>ROUND((M14-N14)/2,)</f>
        <v>8000</v>
      </c>
      <c r="P14" s="20">
        <f>ROUND(O14*50%,)</f>
        <v>4000</v>
      </c>
      <c r="Q14" s="20">
        <f>ROUND(O14*50/100,)</f>
        <v>4000</v>
      </c>
      <c r="R14" s="20">
        <v>0</v>
      </c>
      <c r="S14" s="20">
        <f>N14+O14+P14+Q14+R14</f>
        <v>32000</v>
      </c>
      <c r="T14" s="20">
        <f>ROUND(IF((S14-O14)&gt;15000,15000,(S14-O14)),)</f>
        <v>15000</v>
      </c>
      <c r="U14" s="22">
        <v>26</v>
      </c>
      <c r="V14" s="22">
        <v>4</v>
      </c>
      <c r="W14" s="22">
        <v>0</v>
      </c>
      <c r="X14" s="22">
        <f>+U14+V14+W14</f>
        <v>30</v>
      </c>
      <c r="Y14" s="20">
        <f t="shared" si="21"/>
        <v>32000.000000000004</v>
      </c>
      <c r="Z14" s="20">
        <v>0</v>
      </c>
      <c r="AA14" s="20">
        <f>+Y14+Z14</f>
        <v>32000.000000000004</v>
      </c>
      <c r="AB14" s="20">
        <f t="shared" si="22"/>
        <v>13866.666666666668</v>
      </c>
      <c r="AC14" s="20">
        <f>+AB14*12%</f>
        <v>1664</v>
      </c>
      <c r="AD14" s="20">
        <f>+AB14*13%</f>
        <v>1802.666666666667</v>
      </c>
      <c r="AE14" s="20">
        <v>0</v>
      </c>
      <c r="AF14" s="20">
        <v>0</v>
      </c>
      <c r="AG14" s="20">
        <f>IF(AA14&gt;=12000,200,IF(AA14&gt;=9000,150,IF(AA14&gt;=6000,80,IF(AA14&gt;=3000,0,0))))</f>
        <v>200</v>
      </c>
      <c r="AH14" s="24"/>
      <c r="AI14" s="80">
        <v>1000</v>
      </c>
      <c r="AJ14" s="24">
        <v>0</v>
      </c>
      <c r="AK14" s="24">
        <v>0</v>
      </c>
      <c r="AL14" s="24">
        <v>0</v>
      </c>
      <c r="AM14" s="23">
        <f>SUM(AI14:AL14)</f>
        <v>1000</v>
      </c>
      <c r="AN14" s="60">
        <f>+AA14-(AC14+AE14+AG14+AH14+AI14+AJ14+AK14+AL14)</f>
        <v>29136.000000000004</v>
      </c>
      <c r="AO14" s="93"/>
      <c r="AP14" s="94"/>
      <c r="AQ14" s="167" t="s">
        <v>351</v>
      </c>
      <c r="AR14" s="95"/>
      <c r="AS14" s="95"/>
      <c r="AT14" s="96"/>
      <c r="AU14" s="29"/>
      <c r="AV14" s="21"/>
      <c r="AW14" s="30"/>
      <c r="AX14" s="30"/>
      <c r="AY14" s="30"/>
      <c r="AZ14" s="30"/>
      <c r="BA14" s="30"/>
      <c r="BB14" s="14"/>
      <c r="BC14" s="152">
        <f>AC14+AE14+AG14+AN14</f>
        <v>31000.000000000004</v>
      </c>
    </row>
    <row r="15" spans="1:56" ht="18" customHeight="1" x14ac:dyDescent="0.25">
      <c r="B15" s="155">
        <v>26000</v>
      </c>
      <c r="C15" s="198">
        <v>23650</v>
      </c>
      <c r="D15" s="15">
        <v>21500</v>
      </c>
      <c r="E15" s="16" t="s">
        <v>438</v>
      </c>
      <c r="F15" s="104" t="s">
        <v>158</v>
      </c>
      <c r="G15" s="112">
        <v>44652</v>
      </c>
      <c r="H15" s="15"/>
      <c r="I15" s="83" t="s">
        <v>108</v>
      </c>
      <c r="J15" s="41">
        <f t="shared" si="20"/>
        <v>5</v>
      </c>
      <c r="K15" s="86" t="s">
        <v>64</v>
      </c>
      <c r="L15" s="43" t="s">
        <v>68</v>
      </c>
      <c r="M15" s="33">
        <v>26000</v>
      </c>
      <c r="N15" s="20">
        <f t="shared" si="6"/>
        <v>13897</v>
      </c>
      <c r="O15" s="20">
        <f>ROUND((M15-N15)/2,)</f>
        <v>6052</v>
      </c>
      <c r="P15" s="20">
        <f>ROUND(O15*50%,)</f>
        <v>3026</v>
      </c>
      <c r="Q15" s="20">
        <f>ROUND(O15*50/100,)</f>
        <v>3026</v>
      </c>
      <c r="R15" s="20">
        <v>0</v>
      </c>
      <c r="S15" s="20">
        <f>N15+O15+P15+Q15+R15</f>
        <v>26001</v>
      </c>
      <c r="T15" s="20">
        <f>ROUND(IF((S15-O15)&gt;15000,15000,(S15-O15)),)</f>
        <v>15000</v>
      </c>
      <c r="U15" s="22">
        <v>26</v>
      </c>
      <c r="V15" s="22">
        <v>4</v>
      </c>
      <c r="W15" s="22">
        <v>0</v>
      </c>
      <c r="X15" s="22">
        <f>+U15+V15+W15</f>
        <v>30</v>
      </c>
      <c r="Y15" s="20">
        <f t="shared" si="21"/>
        <v>26000</v>
      </c>
      <c r="Z15" s="42">
        <v>0</v>
      </c>
      <c r="AA15" s="20">
        <f>+Y15+Z15</f>
        <v>26000</v>
      </c>
      <c r="AB15" s="20">
        <f t="shared" si="22"/>
        <v>12044.066666666668</v>
      </c>
      <c r="AC15" s="42">
        <f>+AB15*12%</f>
        <v>1445.288</v>
      </c>
      <c r="AD15" s="42">
        <f>+AB15*13%</f>
        <v>1565.7286666666669</v>
      </c>
      <c r="AE15" s="42">
        <v>0</v>
      </c>
      <c r="AF15" s="42">
        <v>0</v>
      </c>
      <c r="AG15" s="20">
        <f>IF(AA15&gt;=12000,200,IF(AA15&gt;=9000,150,IF(AA15&gt;=6000,80,IF(AA15&gt;=3000,0,0))))</f>
        <v>200</v>
      </c>
      <c r="AH15" s="24"/>
      <c r="AI15" s="80">
        <v>2000</v>
      </c>
      <c r="AJ15" s="24">
        <v>0</v>
      </c>
      <c r="AK15" s="24">
        <v>0</v>
      </c>
      <c r="AL15" s="24">
        <v>0</v>
      </c>
      <c r="AM15" s="23">
        <f>SUM(AI15:AL15)</f>
        <v>2000</v>
      </c>
      <c r="AN15" s="60">
        <f>+AA15-(AC15+AE15+AG15+AH15+AI15+AJ15+AK15+AL15)</f>
        <v>22354.712</v>
      </c>
      <c r="AO15" s="99"/>
      <c r="AP15" s="27"/>
      <c r="AQ15" s="168" t="s">
        <v>311</v>
      </c>
      <c r="AR15" s="28"/>
      <c r="AS15" s="28"/>
      <c r="AT15" s="28"/>
      <c r="AU15" s="29"/>
      <c r="AV15" s="21"/>
      <c r="AW15" s="30"/>
      <c r="AX15" s="30"/>
      <c r="AY15" s="30"/>
      <c r="AZ15" s="44"/>
      <c r="BA15" s="30"/>
      <c r="BC15" s="152">
        <f>AC15+AE15+AG15+AN15</f>
        <v>24000</v>
      </c>
      <c r="BD15" s="32"/>
    </row>
    <row r="16" spans="1:56" ht="18" customHeight="1" x14ac:dyDescent="0.25">
      <c r="B16" s="155">
        <v>33500</v>
      </c>
      <c r="C16" s="198">
        <v>30050</v>
      </c>
      <c r="D16" s="15">
        <v>25500</v>
      </c>
      <c r="E16" s="16" t="s">
        <v>438</v>
      </c>
      <c r="F16" s="104" t="s">
        <v>157</v>
      </c>
      <c r="G16" s="112">
        <v>44652</v>
      </c>
      <c r="H16" s="15"/>
      <c r="I16" s="83" t="s">
        <v>107</v>
      </c>
      <c r="J16" s="41">
        <f t="shared" si="20"/>
        <v>6</v>
      </c>
      <c r="K16" s="86" t="s">
        <v>64</v>
      </c>
      <c r="L16" s="43" t="s">
        <v>69</v>
      </c>
      <c r="M16" s="33">
        <v>33500</v>
      </c>
      <c r="N16" s="20">
        <f t="shared" si="6"/>
        <v>16750</v>
      </c>
      <c r="O16" s="20">
        <f>ROUND((M16-N16)/2,)</f>
        <v>8375</v>
      </c>
      <c r="P16" s="20">
        <f>ROUND(O16*50%,)</f>
        <v>4188</v>
      </c>
      <c r="Q16" s="20">
        <f>ROUND(O16*50/100,)</f>
        <v>4188</v>
      </c>
      <c r="R16" s="20">
        <v>0</v>
      </c>
      <c r="S16" s="20">
        <f>N16+O16+P16+Q16+R16</f>
        <v>33501</v>
      </c>
      <c r="T16" s="20">
        <f>ROUND(IF((S16-O16)&gt;15000,15000,(S16-O16)),)</f>
        <v>15000</v>
      </c>
      <c r="U16" s="22">
        <v>26</v>
      </c>
      <c r="V16" s="22">
        <v>4</v>
      </c>
      <c r="W16" s="22">
        <v>0</v>
      </c>
      <c r="X16" s="22">
        <f>+U16+V16+W16</f>
        <v>30</v>
      </c>
      <c r="Y16" s="20">
        <f t="shared" si="21"/>
        <v>33500</v>
      </c>
      <c r="Z16" s="42">
        <v>0</v>
      </c>
      <c r="AA16" s="20">
        <f>+Y16+Z16</f>
        <v>33500</v>
      </c>
      <c r="AB16" s="20">
        <f t="shared" si="22"/>
        <v>14516.666666666668</v>
      </c>
      <c r="AC16" s="42">
        <f>+AB16*12%</f>
        <v>1742</v>
      </c>
      <c r="AD16" s="42">
        <f>+AB16*13%</f>
        <v>1887.166666666667</v>
      </c>
      <c r="AE16" s="42">
        <v>0</v>
      </c>
      <c r="AF16" s="42">
        <v>0</v>
      </c>
      <c r="AG16" s="20">
        <f>IF(AA16&gt;=12000,200,IF(AA16&gt;=9000,150,IF(AA16&gt;=6000,80,IF(AA16&gt;=3000,0,0))))</f>
        <v>200</v>
      </c>
      <c r="AH16" s="24"/>
      <c r="AI16" s="80">
        <f>1000+12000</f>
        <v>13000</v>
      </c>
      <c r="AJ16" s="24">
        <v>0</v>
      </c>
      <c r="AK16" s="24">
        <v>0</v>
      </c>
      <c r="AL16" s="24">
        <v>0</v>
      </c>
      <c r="AM16" s="23">
        <f>SUM(AI16:AL16)</f>
        <v>13000</v>
      </c>
      <c r="AN16" s="60">
        <f>+AA16-(AC16+AE16+AG16+AH16+AI16+AJ16+AK16+AL16)</f>
        <v>18558</v>
      </c>
      <c r="AO16" s="26">
        <f t="shared" ref="AO16:AP16" si="23">+AB16-(AD16+AF16+AH16+AI16+AJ16+AK16+AL16+AM16)</f>
        <v>-13370.5</v>
      </c>
      <c r="AP16" s="60">
        <f t="shared" si="23"/>
        <v>-43016</v>
      </c>
      <c r="AQ16" s="168" t="s">
        <v>310</v>
      </c>
      <c r="AR16" s="60">
        <f>+AD16-(AF16+AH16+AJ16+AK16+AL16+AM16+AN16+AO16)</f>
        <v>-16300.333333333332</v>
      </c>
      <c r="AS16" s="60">
        <f>+AE16-(AG16+AI16+AK16+AL16+AM16+AN16+AO16+AP16)</f>
        <v>11628.5</v>
      </c>
      <c r="AT16" s="60">
        <f>+AF16-(AH16+AJ16+AL16+AM16+AN16+AO16+AP16+AR16)</f>
        <v>41128.833333333328</v>
      </c>
      <c r="AU16" s="60">
        <f>+AG16-(AI16+AK16+AM16+AN16+AO16+AP16+AR16+AS16)</f>
        <v>16700.333333333332</v>
      </c>
      <c r="AV16" s="60">
        <f>+AH16-(AJ16+AL16+AN16+AO16+AP16+AR16+AS16+AT16)</f>
        <v>1371.5</v>
      </c>
      <c r="AW16" s="60">
        <f>+AI16-(AK16+AM16+AO16+AP16+AR16+AS16+AT16+AU16)</f>
        <v>3229.1666666666679</v>
      </c>
      <c r="AX16" s="60">
        <f>+AJ16-(AL16+AN16+AP16+AR16+AS16+AT16+AU16+AV16)</f>
        <v>-30070.833333333332</v>
      </c>
      <c r="AY16" s="60">
        <f>+AK16-(AM16+AO16+AR16+AS16+AT16+AU16+AV16+AW16)</f>
        <v>-57387.5</v>
      </c>
      <c r="AZ16" s="60">
        <f>+AL16-(AN16+AP16+AS16+AT16+AU16+AV16+AW16+AX16)</f>
        <v>-19529.499999999996</v>
      </c>
      <c r="BA16" s="60">
        <f>+AM16-(AO16+AR16+AT16+AU16+AV16+AW16+AX16+AY16)</f>
        <v>67699.333333333343</v>
      </c>
      <c r="BB16" s="151">
        <f>+AN16-(AP16+AS16+AU16+AV16+AW16+AX16+AY16+AZ16)</f>
        <v>135632.33333333331</v>
      </c>
      <c r="BC16" s="152">
        <f>AC16+AE16+AG16+AN16</f>
        <v>20500</v>
      </c>
      <c r="BD16" s="32"/>
    </row>
    <row r="17" spans="2:56" ht="16.5" thickBot="1" x14ac:dyDescent="0.3">
      <c r="B17" s="157">
        <v>26000</v>
      </c>
      <c r="C17" s="199">
        <v>22800</v>
      </c>
      <c r="D17" s="15">
        <v>20735</v>
      </c>
      <c r="E17" s="16" t="s">
        <v>438</v>
      </c>
      <c r="F17" s="104" t="s">
        <v>150</v>
      </c>
      <c r="G17" s="112">
        <v>43556</v>
      </c>
      <c r="H17" s="17"/>
      <c r="I17" s="83" t="s">
        <v>109</v>
      </c>
      <c r="J17" s="41">
        <f t="shared" si="20"/>
        <v>7</v>
      </c>
      <c r="K17" s="86" t="s">
        <v>64</v>
      </c>
      <c r="L17" s="30" t="s">
        <v>70</v>
      </c>
      <c r="M17" s="19">
        <v>26000</v>
      </c>
      <c r="N17" s="20">
        <f t="shared" si="6"/>
        <v>13897</v>
      </c>
      <c r="O17" s="20">
        <f>ROUND((M17-N17)/2,)</f>
        <v>6052</v>
      </c>
      <c r="P17" s="20">
        <f>ROUND(O17*50%,)</f>
        <v>3026</v>
      </c>
      <c r="Q17" s="20">
        <f>ROUND(O17*50/100,)</f>
        <v>3026</v>
      </c>
      <c r="R17" s="20">
        <v>0</v>
      </c>
      <c r="S17" s="20">
        <f>N17+O17+P17+Q17+R17</f>
        <v>26001</v>
      </c>
      <c r="T17" s="20">
        <f>ROUND(IF((S17-O17)&gt;15000,15000,(S17-O17)),)</f>
        <v>15000</v>
      </c>
      <c r="U17" s="22">
        <v>26</v>
      </c>
      <c r="V17" s="22">
        <v>4</v>
      </c>
      <c r="W17" s="22">
        <v>0</v>
      </c>
      <c r="X17" s="22">
        <f>+U17+V17+W17</f>
        <v>30</v>
      </c>
      <c r="Y17" s="20">
        <f t="shared" si="21"/>
        <v>26000</v>
      </c>
      <c r="Z17" s="42">
        <v>0</v>
      </c>
      <c r="AA17" s="20">
        <f>+Y17+Z17</f>
        <v>26000</v>
      </c>
      <c r="AB17" s="20">
        <f t="shared" si="22"/>
        <v>12044.066666666668</v>
      </c>
      <c r="AC17" s="42">
        <f>+AB17*12%</f>
        <v>1445.288</v>
      </c>
      <c r="AD17" s="42">
        <f>+AB17*13%</f>
        <v>1565.7286666666669</v>
      </c>
      <c r="AE17" s="42">
        <v>0</v>
      </c>
      <c r="AF17" s="42">
        <v>0</v>
      </c>
      <c r="AG17" s="20">
        <f>IF(AA17&gt;=12000,200,IF(AA17&gt;=9000,150,IF(AA17&gt;=6000,80,IF(AA17&gt;=3000,0,0))))</f>
        <v>200</v>
      </c>
      <c r="AH17" s="178"/>
      <c r="AI17" s="80">
        <v>0</v>
      </c>
      <c r="AJ17" s="24">
        <v>0</v>
      </c>
      <c r="AK17" s="24">
        <v>0</v>
      </c>
      <c r="AL17" s="24">
        <v>0</v>
      </c>
      <c r="AM17" s="23">
        <f>SUM(AI17:AL17)</f>
        <v>0</v>
      </c>
      <c r="AN17" s="60">
        <f>+AA17-(AC17+AE17+AG17+AH17+AI17+AJ17+AK17+AL17)</f>
        <v>24354.712</v>
      </c>
      <c r="AO17" s="99"/>
      <c r="AP17" s="27"/>
      <c r="AQ17" s="60" t="s">
        <v>342</v>
      </c>
      <c r="AR17" s="28"/>
      <c r="AS17" s="28"/>
      <c r="AT17" s="28"/>
      <c r="AU17" s="29"/>
      <c r="AV17" s="20"/>
      <c r="AW17" s="30"/>
      <c r="AX17" s="30"/>
      <c r="AY17" s="30"/>
      <c r="AZ17" s="44"/>
      <c r="BA17" s="30"/>
      <c r="BC17" s="152">
        <f>AC17+AE17+AG17+AN17</f>
        <v>26000</v>
      </c>
      <c r="BD17" s="31"/>
    </row>
    <row r="18" spans="2:56" ht="16.5" thickBot="1" x14ac:dyDescent="0.25">
      <c r="B18" s="102"/>
      <c r="C18" s="34">
        <f>SUM(C11:C17)</f>
        <v>177760</v>
      </c>
      <c r="D18" s="34">
        <f>SUM(D11:D17)</f>
        <v>154995</v>
      </c>
      <c r="E18" s="227"/>
      <c r="F18" s="163"/>
      <c r="G18" s="145"/>
      <c r="H18" s="35"/>
      <c r="I18" s="36"/>
      <c r="J18" s="37"/>
      <c r="K18" s="87"/>
      <c r="L18" s="38"/>
      <c r="M18" s="34">
        <f>SUM(M11:M17)</f>
        <v>198000</v>
      </c>
      <c r="N18" s="34">
        <f>SUM(N11:N17)</f>
        <v>104338</v>
      </c>
      <c r="O18" s="34">
        <f>SUM(O11:O17)</f>
        <v>46833</v>
      </c>
      <c r="P18" s="34">
        <f>SUM(P11:P17)</f>
        <v>23417</v>
      </c>
      <c r="Q18" s="34">
        <f>SUM(Q11:Q17)</f>
        <v>23417</v>
      </c>
      <c r="R18" s="34">
        <f t="shared" ref="R18:AL18" si="24">SUM(R11:R17)</f>
        <v>0</v>
      </c>
      <c r="S18" s="34">
        <f t="shared" si="24"/>
        <v>198005</v>
      </c>
      <c r="T18" s="34">
        <f t="shared" si="24"/>
        <v>105000</v>
      </c>
      <c r="U18" s="34">
        <f t="shared" si="24"/>
        <v>181</v>
      </c>
      <c r="V18" s="34">
        <f t="shared" si="24"/>
        <v>28</v>
      </c>
      <c r="W18" s="34">
        <f t="shared" si="24"/>
        <v>0</v>
      </c>
      <c r="X18" s="34">
        <f t="shared" si="24"/>
        <v>209</v>
      </c>
      <c r="Y18" s="34">
        <f t="shared" si="24"/>
        <v>197216.66666666669</v>
      </c>
      <c r="Z18" s="34">
        <f t="shared" si="24"/>
        <v>5185</v>
      </c>
      <c r="AA18" s="34">
        <f t="shared" si="24"/>
        <v>202401.66666666669</v>
      </c>
      <c r="AB18" s="34">
        <f t="shared" si="24"/>
        <v>89963.03333333334</v>
      </c>
      <c r="AC18" s="34">
        <f t="shared" si="24"/>
        <v>10795.564</v>
      </c>
      <c r="AD18" s="34">
        <f t="shared" si="24"/>
        <v>11695.194333333333</v>
      </c>
      <c r="AE18" s="34">
        <f>SUM(AE11:AE17)</f>
        <v>227</v>
      </c>
      <c r="AF18" s="34">
        <f>SUM(AF11:AF17)</f>
        <v>982</v>
      </c>
      <c r="AG18" s="34">
        <f>SUM(AG11:AG17)</f>
        <v>1400</v>
      </c>
      <c r="AH18" s="34">
        <f>SUM(AH11:AH17)</f>
        <v>0</v>
      </c>
      <c r="AI18" s="34">
        <f>SUM(AI11:AI17)</f>
        <v>18000</v>
      </c>
      <c r="AJ18" s="34">
        <f t="shared" si="24"/>
        <v>0</v>
      </c>
      <c r="AK18" s="34">
        <f t="shared" si="24"/>
        <v>0</v>
      </c>
      <c r="AL18" s="34">
        <f t="shared" si="24"/>
        <v>0</v>
      </c>
      <c r="AM18" s="34">
        <f>SUM(AM11:AM17)</f>
        <v>18000</v>
      </c>
      <c r="AN18" s="34">
        <f>SUM(AN11:AN17)</f>
        <v>171979.10266666667</v>
      </c>
      <c r="AO18" s="45">
        <f t="shared" ref="AO18:AT18" si="25">SUM(AO11:AO17)</f>
        <v>-13370.5</v>
      </c>
      <c r="AP18" s="46">
        <f t="shared" si="25"/>
        <v>-43016</v>
      </c>
      <c r="AQ18" s="46"/>
      <c r="AR18" s="46">
        <f t="shared" si="25"/>
        <v>-16300.333333333332</v>
      </c>
      <c r="AS18" s="46">
        <f t="shared" si="25"/>
        <v>11628.5</v>
      </c>
      <c r="AT18" s="47">
        <f t="shared" si="25"/>
        <v>41128.833333333328</v>
      </c>
      <c r="AU18" s="29"/>
      <c r="AV18" s="30"/>
      <c r="AW18" s="30"/>
      <c r="AX18" s="30"/>
      <c r="AY18" s="30"/>
      <c r="AZ18" s="30"/>
      <c r="BA18" s="30"/>
      <c r="BB18" s="34">
        <f>SUM(BB11:BB17)</f>
        <v>135632.33333333331</v>
      </c>
      <c r="BC18" s="34">
        <f>SUM(BC11:BC17)</f>
        <v>184401.66666666669</v>
      </c>
    </row>
    <row r="19" spans="2:56" ht="15.75" x14ac:dyDescent="0.25">
      <c r="B19" s="157">
        <v>70400</v>
      </c>
      <c r="C19" s="157">
        <v>64000</v>
      </c>
      <c r="D19" s="78">
        <v>60000</v>
      </c>
      <c r="E19" s="30" t="s">
        <v>71</v>
      </c>
      <c r="F19" s="104" t="s">
        <v>149</v>
      </c>
      <c r="G19" s="21" t="s">
        <v>55</v>
      </c>
      <c r="H19" s="17"/>
      <c r="I19" s="17"/>
      <c r="J19" s="41">
        <v>1</v>
      </c>
      <c r="K19" s="86" t="s">
        <v>59</v>
      </c>
      <c r="L19" s="18" t="s">
        <v>72</v>
      </c>
      <c r="M19" s="19">
        <v>70400</v>
      </c>
      <c r="N19" s="20">
        <f>ROUND(IF((M19*50%)&lt;13897,13897,(M19*50/100)),)</f>
        <v>35200</v>
      </c>
      <c r="O19" s="20">
        <f t="shared" ref="O19:O67" si="26">ROUND((M19-N19)/2,)</f>
        <v>17600</v>
      </c>
      <c r="P19" s="20">
        <f t="shared" ref="P19:P67" si="27">ROUND(O19*50%,)</f>
        <v>8800</v>
      </c>
      <c r="Q19" s="20">
        <f t="shared" ref="Q19:Q67" si="28">ROUND(O19*50/100,)</f>
        <v>8800</v>
      </c>
      <c r="R19" s="20">
        <v>0</v>
      </c>
      <c r="S19" s="20">
        <f t="shared" ref="S19:S67" si="29">N19+O19+P19+Q19+R19</f>
        <v>70400</v>
      </c>
      <c r="T19" s="20">
        <v>0</v>
      </c>
      <c r="U19" s="22">
        <v>26</v>
      </c>
      <c r="V19" s="22">
        <v>4</v>
      </c>
      <c r="W19" s="22">
        <v>0</v>
      </c>
      <c r="X19" s="22">
        <f t="shared" ref="X19:X67" si="30">+U19+V19+W19</f>
        <v>30</v>
      </c>
      <c r="Y19" s="20">
        <f>+M19/30*X19</f>
        <v>70400</v>
      </c>
      <c r="Z19" s="20">
        <v>0</v>
      </c>
      <c r="AA19" s="20">
        <f t="shared" ref="AA19:AA67" si="31">+Y19+Z19</f>
        <v>70400</v>
      </c>
      <c r="AB19" s="20">
        <f>+(N19/30)*U19</f>
        <v>30506.666666666664</v>
      </c>
      <c r="AC19" s="42">
        <v>0</v>
      </c>
      <c r="AD19" s="42">
        <v>0</v>
      </c>
      <c r="AE19" s="42">
        <v>0</v>
      </c>
      <c r="AF19" s="42">
        <v>0</v>
      </c>
      <c r="AG19" s="79">
        <f t="shared" ref="AG19:AG67" si="32">IF(AA19&gt;=12000,200,IF(AA19&gt;=9000,150,IF(AA19&gt;=6000,80,IF(AA19&gt;=3000,0,0))))</f>
        <v>200</v>
      </c>
      <c r="AH19" s="122"/>
      <c r="AI19" s="80">
        <v>0</v>
      </c>
      <c r="AJ19" s="24">
        <v>0</v>
      </c>
      <c r="AK19" s="24">
        <v>0</v>
      </c>
      <c r="AL19" s="24">
        <v>0</v>
      </c>
      <c r="AM19" s="23">
        <f t="shared" ref="AM19:AM67" si="33">SUM(AI19:AL19)</f>
        <v>0</v>
      </c>
      <c r="AN19" s="60">
        <f t="shared" ref="AN19:AN67" si="34">+AA19-(AC19+AE19+AG19+AH19+AI19+AJ19+AK19+AL19)</f>
        <v>70200</v>
      </c>
      <c r="AO19" s="99"/>
      <c r="AP19" s="27"/>
      <c r="AQ19" s="60" t="s">
        <v>323</v>
      </c>
      <c r="AR19" s="28"/>
      <c r="AS19" s="28"/>
      <c r="AT19" s="28"/>
      <c r="AU19" s="29"/>
      <c r="AV19" s="30"/>
      <c r="AW19" s="30"/>
      <c r="AX19" s="30"/>
      <c r="AY19" s="30"/>
      <c r="AZ19" s="30"/>
      <c r="BA19" s="30"/>
      <c r="BC19" s="152">
        <f t="shared" ref="BC19:BC29" si="35">AC19+AE19+AG19+AN19</f>
        <v>70400</v>
      </c>
    </row>
    <row r="20" spans="2:56" ht="15.75" x14ac:dyDescent="0.25">
      <c r="B20" s="155">
        <v>79000</v>
      </c>
      <c r="C20" s="155">
        <v>71500</v>
      </c>
      <c r="D20" s="15">
        <v>65000</v>
      </c>
      <c r="E20" s="30" t="s">
        <v>426</v>
      </c>
      <c r="F20" s="104" t="s">
        <v>155</v>
      </c>
      <c r="G20" s="112">
        <v>43556</v>
      </c>
      <c r="H20" s="17"/>
      <c r="I20" s="17"/>
      <c r="J20" s="41">
        <f>J19+1</f>
        <v>2</v>
      </c>
      <c r="K20" s="86" t="s">
        <v>59</v>
      </c>
      <c r="L20" s="18" t="s">
        <v>73</v>
      </c>
      <c r="M20" s="19">
        <v>79000</v>
      </c>
      <c r="N20" s="20">
        <f t="shared" ref="N20:N83" si="36">ROUND(IF((M20*50%)&lt;13897,13897,(M20*50/100)),)</f>
        <v>39500</v>
      </c>
      <c r="O20" s="20">
        <f t="shared" si="26"/>
        <v>19750</v>
      </c>
      <c r="P20" s="20">
        <f t="shared" si="27"/>
        <v>9875</v>
      </c>
      <c r="Q20" s="20">
        <f t="shared" si="28"/>
        <v>9875</v>
      </c>
      <c r="R20" s="20">
        <v>0</v>
      </c>
      <c r="S20" s="20">
        <f t="shared" si="29"/>
        <v>79000</v>
      </c>
      <c r="T20" s="20">
        <v>0</v>
      </c>
      <c r="U20" s="22">
        <v>26</v>
      </c>
      <c r="V20" s="22">
        <v>4</v>
      </c>
      <c r="W20" s="22">
        <v>0</v>
      </c>
      <c r="X20" s="22">
        <f t="shared" si="30"/>
        <v>30</v>
      </c>
      <c r="Y20" s="20">
        <f t="shared" ref="Y20:Y83" si="37">+M20/30*X20</f>
        <v>79000</v>
      </c>
      <c r="Z20" s="20">
        <v>0</v>
      </c>
      <c r="AA20" s="20">
        <f t="shared" si="31"/>
        <v>79000</v>
      </c>
      <c r="AB20" s="20">
        <f t="shared" ref="AB20:AB83" si="38">+(N20/30)*U20</f>
        <v>34233.333333333336</v>
      </c>
      <c r="AC20" s="42">
        <v>0</v>
      </c>
      <c r="AD20" s="42">
        <v>0</v>
      </c>
      <c r="AE20" s="42">
        <v>0</v>
      </c>
      <c r="AF20" s="42">
        <v>0</v>
      </c>
      <c r="AG20" s="20">
        <f t="shared" si="32"/>
        <v>200</v>
      </c>
      <c r="AH20" s="24">
        <v>0</v>
      </c>
      <c r="AI20" s="80">
        <v>0</v>
      </c>
      <c r="AJ20" s="24">
        <v>0</v>
      </c>
      <c r="AK20" s="24">
        <v>0</v>
      </c>
      <c r="AL20" s="24">
        <v>0</v>
      </c>
      <c r="AM20" s="25">
        <f t="shared" si="33"/>
        <v>0</v>
      </c>
      <c r="AN20" s="26">
        <f t="shared" si="34"/>
        <v>78800</v>
      </c>
      <c r="AO20" s="15"/>
      <c r="AP20" s="27"/>
      <c r="AQ20" s="168" t="s">
        <v>307</v>
      </c>
      <c r="AR20" s="28"/>
      <c r="AS20" s="28"/>
      <c r="AT20" s="28"/>
      <c r="AU20" s="29"/>
      <c r="AV20" s="30"/>
      <c r="AW20" s="30"/>
      <c r="AX20" s="30"/>
      <c r="AY20" s="30"/>
      <c r="AZ20" s="30"/>
      <c r="BA20" s="30"/>
      <c r="BC20" s="152">
        <f t="shared" si="35"/>
        <v>79000</v>
      </c>
    </row>
    <row r="21" spans="2:56" ht="15.75" x14ac:dyDescent="0.25">
      <c r="B21" s="219">
        <v>50000</v>
      </c>
      <c r="C21" s="155">
        <v>44000</v>
      </c>
      <c r="D21" s="15">
        <v>40200</v>
      </c>
      <c r="E21" s="30" t="s">
        <v>426</v>
      </c>
      <c r="F21" s="104" t="s">
        <v>145</v>
      </c>
      <c r="G21" s="112">
        <v>43556</v>
      </c>
      <c r="H21" s="17"/>
      <c r="I21" s="17"/>
      <c r="J21" s="41">
        <f t="shared" ref="J21:J84" si="39">J20+1</f>
        <v>3</v>
      </c>
      <c r="K21" s="86" t="s">
        <v>59</v>
      </c>
      <c r="L21" s="18" t="s">
        <v>75</v>
      </c>
      <c r="M21" s="19">
        <v>50000</v>
      </c>
      <c r="N21" s="20">
        <f t="shared" si="36"/>
        <v>25000</v>
      </c>
      <c r="O21" s="20">
        <f t="shared" si="26"/>
        <v>12500</v>
      </c>
      <c r="P21" s="20">
        <f t="shared" si="27"/>
        <v>6250</v>
      </c>
      <c r="Q21" s="20">
        <f t="shared" si="28"/>
        <v>6250</v>
      </c>
      <c r="R21" s="20">
        <v>0</v>
      </c>
      <c r="S21" s="20">
        <f t="shared" si="29"/>
        <v>50000</v>
      </c>
      <c r="T21" s="20">
        <v>0</v>
      </c>
      <c r="U21" s="22">
        <v>26</v>
      </c>
      <c r="V21" s="22">
        <v>4</v>
      </c>
      <c r="W21" s="22">
        <v>0</v>
      </c>
      <c r="X21" s="22">
        <f t="shared" si="30"/>
        <v>30</v>
      </c>
      <c r="Y21" s="20">
        <f t="shared" si="37"/>
        <v>50000</v>
      </c>
      <c r="Z21" s="20">
        <v>0</v>
      </c>
      <c r="AA21" s="20">
        <f t="shared" si="31"/>
        <v>50000</v>
      </c>
      <c r="AB21" s="20">
        <f t="shared" si="38"/>
        <v>21666.666666666668</v>
      </c>
      <c r="AC21" s="42">
        <v>0</v>
      </c>
      <c r="AD21" s="42">
        <v>0</v>
      </c>
      <c r="AE21" s="42">
        <v>0</v>
      </c>
      <c r="AF21" s="42">
        <v>0</v>
      </c>
      <c r="AG21" s="20">
        <f t="shared" si="32"/>
        <v>200</v>
      </c>
      <c r="AH21" s="24"/>
      <c r="AI21" s="80">
        <v>0</v>
      </c>
      <c r="AJ21" s="24">
        <v>0</v>
      </c>
      <c r="AK21" s="24">
        <v>0</v>
      </c>
      <c r="AL21" s="24">
        <v>0</v>
      </c>
      <c r="AM21" s="25">
        <f t="shared" si="33"/>
        <v>0</v>
      </c>
      <c r="AN21" s="26">
        <f t="shared" si="34"/>
        <v>49800</v>
      </c>
      <c r="AO21" s="15"/>
      <c r="AP21" s="27"/>
      <c r="AQ21" s="168" t="s">
        <v>318</v>
      </c>
      <c r="AR21" s="28"/>
      <c r="AS21" s="28"/>
      <c r="AT21" s="28"/>
      <c r="AU21" s="29"/>
      <c r="AV21" s="49" t="e">
        <f>+#REF!-AN21</f>
        <v>#REF!</v>
      </c>
      <c r="AW21" s="30"/>
      <c r="AX21" s="30"/>
      <c r="AY21" s="30"/>
      <c r="AZ21" s="30"/>
      <c r="BA21" s="30"/>
      <c r="BC21" s="152">
        <f t="shared" si="35"/>
        <v>50000</v>
      </c>
    </row>
    <row r="22" spans="2:56" ht="15.75" x14ac:dyDescent="0.25">
      <c r="B22" s="197"/>
      <c r="C22" s="103"/>
      <c r="D22" s="15">
        <v>150000</v>
      </c>
      <c r="E22" s="48" t="s">
        <v>212</v>
      </c>
      <c r="F22" s="113" t="s">
        <v>210</v>
      </c>
      <c r="G22" s="112">
        <v>43556</v>
      </c>
      <c r="H22" s="17"/>
      <c r="I22" s="17"/>
      <c r="J22" s="41">
        <f t="shared" si="39"/>
        <v>4</v>
      </c>
      <c r="K22" s="86" t="s">
        <v>59</v>
      </c>
      <c r="L22" s="18" t="s">
        <v>76</v>
      </c>
      <c r="M22" s="19">
        <v>150200</v>
      </c>
      <c r="N22" s="20">
        <f t="shared" si="36"/>
        <v>75100</v>
      </c>
      <c r="O22" s="20">
        <f t="shared" si="26"/>
        <v>37550</v>
      </c>
      <c r="P22" s="20">
        <f t="shared" si="27"/>
        <v>18775</v>
      </c>
      <c r="Q22" s="20">
        <f t="shared" si="28"/>
        <v>18775</v>
      </c>
      <c r="R22" s="20">
        <v>0</v>
      </c>
      <c r="S22" s="20">
        <f t="shared" si="29"/>
        <v>150200</v>
      </c>
      <c r="T22" s="20">
        <v>0</v>
      </c>
      <c r="U22" s="22">
        <v>26</v>
      </c>
      <c r="V22" s="22">
        <v>4</v>
      </c>
      <c r="W22" s="22">
        <v>0</v>
      </c>
      <c r="X22" s="22">
        <f t="shared" si="30"/>
        <v>30</v>
      </c>
      <c r="Y22" s="20">
        <f t="shared" si="37"/>
        <v>150200</v>
      </c>
      <c r="Z22" s="20">
        <v>0</v>
      </c>
      <c r="AA22" s="20">
        <f t="shared" si="31"/>
        <v>150200</v>
      </c>
      <c r="AB22" s="20">
        <f t="shared" si="38"/>
        <v>65086.666666666672</v>
      </c>
      <c r="AC22" s="42">
        <v>0</v>
      </c>
      <c r="AD22" s="42">
        <v>0</v>
      </c>
      <c r="AE22" s="42">
        <v>0</v>
      </c>
      <c r="AF22" s="98">
        <v>0</v>
      </c>
      <c r="AG22" s="20">
        <f t="shared" si="32"/>
        <v>200</v>
      </c>
      <c r="AH22" s="24">
        <v>12000</v>
      </c>
      <c r="AI22" s="80">
        <v>0</v>
      </c>
      <c r="AJ22" s="24">
        <v>0</v>
      </c>
      <c r="AK22" s="24">
        <v>0</v>
      </c>
      <c r="AL22" s="24">
        <v>0</v>
      </c>
      <c r="AM22" s="23">
        <f t="shared" si="33"/>
        <v>0</v>
      </c>
      <c r="AN22" s="60">
        <f t="shared" si="34"/>
        <v>138000</v>
      </c>
      <c r="AO22" s="99"/>
      <c r="AP22" s="27"/>
      <c r="AQ22" s="166" t="s">
        <v>290</v>
      </c>
      <c r="AR22" s="28"/>
      <c r="AS22" s="28"/>
      <c r="AT22" s="28"/>
      <c r="AU22" s="29"/>
      <c r="AV22" s="49" t="e">
        <f>+#REF!-AN22</f>
        <v>#REF!</v>
      </c>
      <c r="AW22" s="30"/>
      <c r="AX22" s="30"/>
      <c r="AY22" s="30"/>
      <c r="AZ22" s="30"/>
      <c r="BA22" s="30"/>
      <c r="BB22" s="14">
        <v>10000</v>
      </c>
      <c r="BC22" s="152">
        <f t="shared" si="35"/>
        <v>138200</v>
      </c>
    </row>
    <row r="23" spans="2:56" ht="15.75" x14ac:dyDescent="0.25">
      <c r="B23" s="196"/>
      <c r="C23" s="103">
        <v>90000</v>
      </c>
      <c r="D23" s="120">
        <v>90000</v>
      </c>
      <c r="E23" s="30" t="s">
        <v>426</v>
      </c>
      <c r="F23" s="104" t="s">
        <v>242</v>
      </c>
      <c r="G23" s="112">
        <v>43556</v>
      </c>
      <c r="H23" s="17"/>
      <c r="I23" s="17"/>
      <c r="J23" s="41">
        <f t="shared" si="39"/>
        <v>5</v>
      </c>
      <c r="K23" s="86" t="s">
        <v>59</v>
      </c>
      <c r="L23" s="18" t="s">
        <v>77</v>
      </c>
      <c r="M23" s="19">
        <v>95200</v>
      </c>
      <c r="N23" s="20">
        <f t="shared" si="36"/>
        <v>47600</v>
      </c>
      <c r="O23" s="20">
        <f t="shared" si="26"/>
        <v>23800</v>
      </c>
      <c r="P23" s="20">
        <f t="shared" si="27"/>
        <v>11900</v>
      </c>
      <c r="Q23" s="20">
        <f t="shared" si="28"/>
        <v>11900</v>
      </c>
      <c r="R23" s="20">
        <v>0</v>
      </c>
      <c r="S23" s="20">
        <f t="shared" si="29"/>
        <v>95200</v>
      </c>
      <c r="T23" s="20">
        <v>0</v>
      </c>
      <c r="U23" s="22">
        <v>26</v>
      </c>
      <c r="V23" s="22">
        <v>4</v>
      </c>
      <c r="W23" s="22">
        <v>0</v>
      </c>
      <c r="X23" s="22">
        <f t="shared" si="30"/>
        <v>30</v>
      </c>
      <c r="Y23" s="20">
        <f t="shared" si="37"/>
        <v>95200</v>
      </c>
      <c r="Z23" s="20">
        <v>0</v>
      </c>
      <c r="AA23" s="20">
        <f t="shared" si="31"/>
        <v>95200</v>
      </c>
      <c r="AB23" s="20">
        <f t="shared" si="38"/>
        <v>41253.333333333336</v>
      </c>
      <c r="AC23" s="42">
        <v>0</v>
      </c>
      <c r="AD23" s="42">
        <v>0</v>
      </c>
      <c r="AE23" s="42">
        <v>0</v>
      </c>
      <c r="AF23" s="42">
        <v>0</v>
      </c>
      <c r="AG23" s="20">
        <f t="shared" si="32"/>
        <v>200</v>
      </c>
      <c r="AH23" s="24"/>
      <c r="AI23" s="80">
        <v>0</v>
      </c>
      <c r="AJ23" s="24">
        <v>0</v>
      </c>
      <c r="AK23" s="24">
        <v>0</v>
      </c>
      <c r="AL23" s="24">
        <v>0</v>
      </c>
      <c r="AM23" s="25">
        <f t="shared" si="33"/>
        <v>0</v>
      </c>
      <c r="AN23" s="26">
        <f t="shared" si="34"/>
        <v>95000</v>
      </c>
      <c r="AO23" s="15"/>
      <c r="AP23" s="27"/>
      <c r="AQ23" s="60" t="s">
        <v>317</v>
      </c>
      <c r="AR23" s="28"/>
      <c r="AS23" s="28"/>
      <c r="AT23" s="28"/>
      <c r="AU23" s="29"/>
      <c r="AV23" s="30"/>
      <c r="AW23" s="30"/>
      <c r="AX23" s="30"/>
      <c r="AY23" s="30"/>
      <c r="AZ23" s="30"/>
      <c r="BA23" s="30"/>
      <c r="BC23" s="152">
        <f t="shared" si="35"/>
        <v>95200</v>
      </c>
    </row>
    <row r="24" spans="2:56" ht="15.75" x14ac:dyDescent="0.25">
      <c r="B24" s="155">
        <v>79000</v>
      </c>
      <c r="C24" s="155">
        <v>65000</v>
      </c>
      <c r="D24" s="15">
        <v>54000</v>
      </c>
      <c r="E24" s="30" t="s">
        <v>426</v>
      </c>
      <c r="F24" s="104" t="s">
        <v>145</v>
      </c>
      <c r="G24" s="112">
        <v>43556</v>
      </c>
      <c r="H24" s="17"/>
      <c r="I24" s="17"/>
      <c r="J24" s="41">
        <f t="shared" si="39"/>
        <v>6</v>
      </c>
      <c r="K24" s="86" t="s">
        <v>59</v>
      </c>
      <c r="L24" s="18" t="s">
        <v>78</v>
      </c>
      <c r="M24" s="19">
        <v>79000</v>
      </c>
      <c r="N24" s="20">
        <f t="shared" si="36"/>
        <v>39500</v>
      </c>
      <c r="O24" s="20">
        <f t="shared" si="26"/>
        <v>19750</v>
      </c>
      <c r="P24" s="20">
        <f t="shared" si="27"/>
        <v>9875</v>
      </c>
      <c r="Q24" s="20">
        <f t="shared" si="28"/>
        <v>9875</v>
      </c>
      <c r="R24" s="20">
        <v>0</v>
      </c>
      <c r="S24" s="20">
        <f t="shared" si="29"/>
        <v>79000</v>
      </c>
      <c r="T24" s="20">
        <v>0</v>
      </c>
      <c r="U24" s="22">
        <v>26</v>
      </c>
      <c r="V24" s="22">
        <v>4</v>
      </c>
      <c r="W24" s="22">
        <v>0</v>
      </c>
      <c r="X24" s="22">
        <f t="shared" si="30"/>
        <v>30</v>
      </c>
      <c r="Y24" s="20">
        <f t="shared" si="37"/>
        <v>79000</v>
      </c>
      <c r="Z24" s="20">
        <v>15000</v>
      </c>
      <c r="AA24" s="20">
        <f t="shared" si="31"/>
        <v>94000</v>
      </c>
      <c r="AB24" s="20">
        <f t="shared" si="38"/>
        <v>34233.333333333336</v>
      </c>
      <c r="AC24" s="42">
        <v>0</v>
      </c>
      <c r="AD24" s="42">
        <v>0</v>
      </c>
      <c r="AE24" s="42">
        <v>0</v>
      </c>
      <c r="AF24" s="42">
        <v>0</v>
      </c>
      <c r="AG24" s="20">
        <f t="shared" si="32"/>
        <v>200</v>
      </c>
      <c r="AH24" s="24"/>
      <c r="AI24" s="80">
        <v>0</v>
      </c>
      <c r="AJ24" s="24">
        <v>0</v>
      </c>
      <c r="AK24" s="24">
        <v>0</v>
      </c>
      <c r="AL24" s="24">
        <v>0</v>
      </c>
      <c r="AM24" s="25">
        <f t="shared" si="33"/>
        <v>0</v>
      </c>
      <c r="AN24" s="26">
        <f t="shared" si="34"/>
        <v>93800</v>
      </c>
      <c r="AO24" s="15"/>
      <c r="AP24" s="27"/>
      <c r="AQ24" s="60" t="s">
        <v>296</v>
      </c>
      <c r="AR24" s="28"/>
      <c r="AS24" s="28"/>
      <c r="AT24" s="28"/>
      <c r="AU24" s="29"/>
      <c r="AV24" s="30"/>
      <c r="AW24" s="30"/>
      <c r="AX24" s="30"/>
      <c r="AY24" s="30"/>
      <c r="AZ24" s="30"/>
      <c r="BA24" s="30"/>
      <c r="BC24" s="152">
        <f t="shared" si="35"/>
        <v>94000</v>
      </c>
    </row>
    <row r="25" spans="2:56" ht="15.75" x14ac:dyDescent="0.25">
      <c r="B25" s="155">
        <v>75000</v>
      </c>
      <c r="C25" s="155">
        <v>68000</v>
      </c>
      <c r="D25" s="120">
        <v>65000</v>
      </c>
      <c r="E25" s="30" t="s">
        <v>426</v>
      </c>
      <c r="F25" s="104" t="s">
        <v>162</v>
      </c>
      <c r="G25" s="112">
        <v>43556</v>
      </c>
      <c r="H25" s="15"/>
      <c r="I25" s="15"/>
      <c r="J25" s="41">
        <f t="shared" si="39"/>
        <v>7</v>
      </c>
      <c r="K25" s="86" t="s">
        <v>59</v>
      </c>
      <c r="L25" s="18" t="s">
        <v>79</v>
      </c>
      <c r="M25" s="19">
        <v>75200</v>
      </c>
      <c r="N25" s="20">
        <f t="shared" si="36"/>
        <v>37600</v>
      </c>
      <c r="O25" s="20">
        <f t="shared" si="26"/>
        <v>18800</v>
      </c>
      <c r="P25" s="20">
        <f t="shared" si="27"/>
        <v>9400</v>
      </c>
      <c r="Q25" s="20">
        <f t="shared" si="28"/>
        <v>9400</v>
      </c>
      <c r="R25" s="20">
        <v>0</v>
      </c>
      <c r="S25" s="20">
        <f t="shared" si="29"/>
        <v>75200</v>
      </c>
      <c r="T25" s="20">
        <v>0</v>
      </c>
      <c r="U25" s="22">
        <v>26</v>
      </c>
      <c r="V25" s="22">
        <v>4</v>
      </c>
      <c r="W25" s="22">
        <v>0</v>
      </c>
      <c r="X25" s="22">
        <f t="shared" si="30"/>
        <v>30</v>
      </c>
      <c r="Y25" s="20">
        <f t="shared" si="37"/>
        <v>75200</v>
      </c>
      <c r="Z25" s="20">
        <v>0</v>
      </c>
      <c r="AA25" s="20">
        <f t="shared" si="31"/>
        <v>75200</v>
      </c>
      <c r="AB25" s="20">
        <f t="shared" si="38"/>
        <v>32586.666666666664</v>
      </c>
      <c r="AC25" s="42">
        <v>0</v>
      </c>
      <c r="AD25" s="42">
        <v>0</v>
      </c>
      <c r="AE25" s="42">
        <v>0</v>
      </c>
      <c r="AF25" s="42">
        <v>0</v>
      </c>
      <c r="AG25" s="20">
        <f t="shared" si="32"/>
        <v>200</v>
      </c>
      <c r="AH25" s="24"/>
      <c r="AI25" s="80">
        <v>0</v>
      </c>
      <c r="AJ25" s="24">
        <v>0</v>
      </c>
      <c r="AK25" s="24">
        <v>0</v>
      </c>
      <c r="AL25" s="24">
        <v>0</v>
      </c>
      <c r="AM25" s="25">
        <f t="shared" si="33"/>
        <v>0</v>
      </c>
      <c r="AN25" s="26">
        <f t="shared" si="34"/>
        <v>75000</v>
      </c>
      <c r="AO25" s="15"/>
      <c r="AP25" s="27"/>
      <c r="AQ25" s="60" t="s">
        <v>297</v>
      </c>
      <c r="AR25" s="15"/>
      <c r="AS25" s="15"/>
      <c r="AT25" s="15"/>
      <c r="AU25" s="29"/>
      <c r="AV25" s="30"/>
      <c r="AW25" s="30"/>
      <c r="AX25" s="30"/>
      <c r="AY25" s="30"/>
      <c r="AZ25" s="30"/>
      <c r="BA25" s="30"/>
      <c r="BC25" s="152">
        <f t="shared" si="35"/>
        <v>75200</v>
      </c>
    </row>
    <row r="26" spans="2:56" ht="15.75" x14ac:dyDescent="0.25">
      <c r="B26" s="196"/>
      <c r="C26" s="103"/>
      <c r="D26" s="15">
        <v>100000</v>
      </c>
      <c r="E26" s="30" t="s">
        <v>74</v>
      </c>
      <c r="F26" s="104" t="s">
        <v>151</v>
      </c>
      <c r="G26" s="112">
        <v>43617</v>
      </c>
      <c r="H26" s="15"/>
      <c r="I26" s="15"/>
      <c r="J26" s="41">
        <f t="shared" si="39"/>
        <v>8</v>
      </c>
      <c r="K26" s="86" t="s">
        <v>61</v>
      </c>
      <c r="L26" s="18" t="s">
        <v>80</v>
      </c>
      <c r="M26" s="19">
        <v>100200</v>
      </c>
      <c r="N26" s="20">
        <f t="shared" si="36"/>
        <v>50100</v>
      </c>
      <c r="O26" s="20">
        <f t="shared" si="26"/>
        <v>25050</v>
      </c>
      <c r="P26" s="20">
        <f t="shared" si="27"/>
        <v>12525</v>
      </c>
      <c r="Q26" s="20">
        <f t="shared" si="28"/>
        <v>12525</v>
      </c>
      <c r="R26" s="20">
        <v>0</v>
      </c>
      <c r="S26" s="20">
        <f t="shared" si="29"/>
        <v>100200</v>
      </c>
      <c r="T26" s="20">
        <v>0</v>
      </c>
      <c r="U26" s="22">
        <v>26</v>
      </c>
      <c r="V26" s="22">
        <v>4</v>
      </c>
      <c r="W26" s="22">
        <v>0</v>
      </c>
      <c r="X26" s="22">
        <f t="shared" si="30"/>
        <v>30</v>
      </c>
      <c r="Y26" s="20">
        <f t="shared" si="37"/>
        <v>100200</v>
      </c>
      <c r="Z26" s="20">
        <v>0</v>
      </c>
      <c r="AA26" s="20">
        <f t="shared" si="31"/>
        <v>100200</v>
      </c>
      <c r="AB26" s="20">
        <f t="shared" si="38"/>
        <v>43420</v>
      </c>
      <c r="AC26" s="42">
        <v>0</v>
      </c>
      <c r="AD26" s="42">
        <v>0</v>
      </c>
      <c r="AE26" s="42">
        <v>0</v>
      </c>
      <c r="AF26" s="42">
        <v>0</v>
      </c>
      <c r="AG26" s="20">
        <f t="shared" si="32"/>
        <v>200</v>
      </c>
      <c r="AH26" s="24">
        <v>0</v>
      </c>
      <c r="AI26" s="80">
        <v>0</v>
      </c>
      <c r="AJ26" s="24">
        <v>0</v>
      </c>
      <c r="AK26" s="24">
        <v>0</v>
      </c>
      <c r="AL26" s="24">
        <v>0</v>
      </c>
      <c r="AM26" s="25">
        <f t="shared" si="33"/>
        <v>0</v>
      </c>
      <c r="AN26" s="26">
        <f t="shared" si="34"/>
        <v>100000</v>
      </c>
      <c r="AO26" s="15"/>
      <c r="AP26" s="27"/>
      <c r="AQ26" s="166" t="s">
        <v>291</v>
      </c>
      <c r="AR26" s="15"/>
      <c r="AS26" s="15"/>
      <c r="AT26" s="15"/>
      <c r="AU26" s="29"/>
      <c r="AV26" s="30"/>
      <c r="AW26" s="30"/>
      <c r="AX26" s="30"/>
      <c r="AY26" s="30"/>
      <c r="AZ26" s="30"/>
      <c r="BA26" s="30"/>
      <c r="BB26" s="14">
        <v>0</v>
      </c>
      <c r="BC26" s="152">
        <f t="shared" si="35"/>
        <v>100200</v>
      </c>
    </row>
    <row r="27" spans="2:56" ht="15.75" x14ac:dyDescent="0.25">
      <c r="B27" s="155">
        <v>59000</v>
      </c>
      <c r="C27" s="198">
        <f>51425+3000</f>
        <v>54425</v>
      </c>
      <c r="D27" s="120">
        <v>46750</v>
      </c>
      <c r="E27" s="16" t="s">
        <v>438</v>
      </c>
      <c r="F27" s="104" t="s">
        <v>147</v>
      </c>
      <c r="G27" s="21" t="s">
        <v>55</v>
      </c>
      <c r="H27" s="15"/>
      <c r="I27" s="17"/>
      <c r="J27" s="41">
        <f t="shared" si="39"/>
        <v>9</v>
      </c>
      <c r="K27" s="86" t="s">
        <v>61</v>
      </c>
      <c r="L27" s="18" t="s">
        <v>81</v>
      </c>
      <c r="M27" s="19">
        <v>59000</v>
      </c>
      <c r="N27" s="20">
        <f t="shared" si="36"/>
        <v>29500</v>
      </c>
      <c r="O27" s="20">
        <f t="shared" si="26"/>
        <v>14750</v>
      </c>
      <c r="P27" s="20">
        <f t="shared" si="27"/>
        <v>7375</v>
      </c>
      <c r="Q27" s="20">
        <f t="shared" si="28"/>
        <v>7375</v>
      </c>
      <c r="R27" s="20">
        <v>0</v>
      </c>
      <c r="S27" s="20">
        <f t="shared" si="29"/>
        <v>59000</v>
      </c>
      <c r="T27" s="20">
        <v>0</v>
      </c>
      <c r="U27" s="22">
        <v>26</v>
      </c>
      <c r="V27" s="22">
        <v>4</v>
      </c>
      <c r="W27" s="22">
        <v>0</v>
      </c>
      <c r="X27" s="22">
        <f t="shared" si="30"/>
        <v>30</v>
      </c>
      <c r="Y27" s="20">
        <f t="shared" si="37"/>
        <v>59000</v>
      </c>
      <c r="Z27" s="20">
        <v>0</v>
      </c>
      <c r="AA27" s="20">
        <f t="shared" si="31"/>
        <v>59000</v>
      </c>
      <c r="AB27" s="20">
        <f t="shared" si="38"/>
        <v>25566.666666666668</v>
      </c>
      <c r="AC27" s="42">
        <v>0</v>
      </c>
      <c r="AD27" s="42">
        <v>0</v>
      </c>
      <c r="AE27" s="42">
        <v>0</v>
      </c>
      <c r="AF27" s="42">
        <v>0</v>
      </c>
      <c r="AG27" s="20">
        <f t="shared" si="32"/>
        <v>200</v>
      </c>
      <c r="AH27" s="24"/>
      <c r="AI27" s="80">
        <v>0</v>
      </c>
      <c r="AJ27" s="24">
        <v>0</v>
      </c>
      <c r="AK27" s="24">
        <v>0</v>
      </c>
      <c r="AL27" s="24">
        <v>0</v>
      </c>
      <c r="AM27" s="25">
        <f t="shared" si="33"/>
        <v>0</v>
      </c>
      <c r="AN27" s="82">
        <f t="shared" si="34"/>
        <v>58800</v>
      </c>
      <c r="AO27" s="15"/>
      <c r="AP27" s="27"/>
      <c r="AQ27" s="60" t="s">
        <v>298</v>
      </c>
      <c r="AR27" s="28"/>
      <c r="AS27" s="28"/>
      <c r="AT27" s="28"/>
      <c r="AU27" s="29"/>
      <c r="AV27" s="30"/>
      <c r="AW27" s="30"/>
      <c r="AX27" s="30"/>
      <c r="AY27" s="30"/>
      <c r="AZ27" s="30"/>
      <c r="BA27" s="30"/>
      <c r="BC27" s="152">
        <f t="shared" si="35"/>
        <v>59000</v>
      </c>
    </row>
    <row r="28" spans="2:56" ht="15.75" x14ac:dyDescent="0.25">
      <c r="B28" s="155">
        <v>23500</v>
      </c>
      <c r="C28" s="198">
        <v>20500</v>
      </c>
      <c r="D28" s="15">
        <v>15000</v>
      </c>
      <c r="E28" s="16" t="s">
        <v>438</v>
      </c>
      <c r="F28" s="104" t="s">
        <v>150</v>
      </c>
      <c r="G28" s="21" t="s">
        <v>55</v>
      </c>
      <c r="H28" s="15"/>
      <c r="I28" s="17"/>
      <c r="J28" s="41">
        <f t="shared" si="39"/>
        <v>10</v>
      </c>
      <c r="K28" s="86" t="s">
        <v>61</v>
      </c>
      <c r="L28" s="18" t="s">
        <v>82</v>
      </c>
      <c r="M28" s="19">
        <v>48500</v>
      </c>
      <c r="N28" s="20">
        <f t="shared" si="36"/>
        <v>24250</v>
      </c>
      <c r="O28" s="20">
        <f t="shared" si="26"/>
        <v>12125</v>
      </c>
      <c r="P28" s="20">
        <f t="shared" si="27"/>
        <v>6063</v>
      </c>
      <c r="Q28" s="20">
        <f t="shared" si="28"/>
        <v>6063</v>
      </c>
      <c r="R28" s="20">
        <v>0</v>
      </c>
      <c r="S28" s="20">
        <f t="shared" si="29"/>
        <v>48501</v>
      </c>
      <c r="T28" s="20">
        <v>0</v>
      </c>
      <c r="U28" s="22">
        <v>26</v>
      </c>
      <c r="V28" s="22">
        <v>4</v>
      </c>
      <c r="W28" s="22">
        <v>0</v>
      </c>
      <c r="X28" s="22">
        <f t="shared" si="30"/>
        <v>30</v>
      </c>
      <c r="Y28" s="20">
        <f t="shared" si="37"/>
        <v>48500</v>
      </c>
      <c r="Z28" s="20">
        <v>0</v>
      </c>
      <c r="AA28" s="20">
        <f t="shared" si="31"/>
        <v>48500</v>
      </c>
      <c r="AB28" s="20">
        <f t="shared" si="38"/>
        <v>21016.666666666668</v>
      </c>
      <c r="AC28" s="42">
        <v>0</v>
      </c>
      <c r="AD28" s="42">
        <v>0</v>
      </c>
      <c r="AE28" s="42">
        <v>0</v>
      </c>
      <c r="AF28" s="42">
        <v>0</v>
      </c>
      <c r="AG28" s="20">
        <f t="shared" si="32"/>
        <v>200</v>
      </c>
      <c r="AH28" s="24"/>
      <c r="AI28" s="80">
        <v>0</v>
      </c>
      <c r="AJ28" s="24">
        <v>0</v>
      </c>
      <c r="AK28" s="24">
        <v>0</v>
      </c>
      <c r="AL28" s="24">
        <v>0</v>
      </c>
      <c r="AM28" s="25">
        <f t="shared" si="33"/>
        <v>0</v>
      </c>
      <c r="AN28" s="26">
        <f t="shared" si="34"/>
        <v>48300</v>
      </c>
      <c r="AO28" s="15"/>
      <c r="AP28" s="27"/>
      <c r="AQ28" s="168" t="s">
        <v>303</v>
      </c>
      <c r="AR28" s="28"/>
      <c r="AS28" s="28"/>
      <c r="AT28" s="28"/>
      <c r="AU28" s="29"/>
      <c r="AV28" s="49" t="e">
        <f>+#REF!-AN28</f>
        <v>#REF!</v>
      </c>
      <c r="AW28" s="30"/>
      <c r="AX28" s="30"/>
      <c r="AY28" s="30"/>
      <c r="AZ28" s="30"/>
      <c r="BA28" s="30"/>
      <c r="BC28" s="152">
        <f t="shared" si="35"/>
        <v>48500</v>
      </c>
    </row>
    <row r="29" spans="2:56" ht="15.75" x14ac:dyDescent="0.25">
      <c r="B29" s="199">
        <v>53000</v>
      </c>
      <c r="C29" s="157">
        <v>50500</v>
      </c>
      <c r="D29" s="78">
        <v>48000</v>
      </c>
      <c r="E29" s="16" t="s">
        <v>54</v>
      </c>
      <c r="F29" s="104" t="s">
        <v>147</v>
      </c>
      <c r="G29" s="21" t="s">
        <v>55</v>
      </c>
      <c r="H29" s="15"/>
      <c r="I29" s="17"/>
      <c r="J29" s="41">
        <f t="shared" si="39"/>
        <v>11</v>
      </c>
      <c r="K29" s="86" t="s">
        <v>61</v>
      </c>
      <c r="L29" s="43" t="s">
        <v>83</v>
      </c>
      <c r="M29" s="19">
        <v>53000</v>
      </c>
      <c r="N29" s="20">
        <f t="shared" si="36"/>
        <v>26500</v>
      </c>
      <c r="O29" s="20">
        <f t="shared" si="26"/>
        <v>13250</v>
      </c>
      <c r="P29" s="20">
        <f t="shared" si="27"/>
        <v>6625</v>
      </c>
      <c r="Q29" s="20">
        <f t="shared" si="28"/>
        <v>6625</v>
      </c>
      <c r="R29" s="20"/>
      <c r="S29" s="20">
        <f t="shared" si="29"/>
        <v>53000</v>
      </c>
      <c r="T29" s="20"/>
      <c r="U29" s="22">
        <v>26</v>
      </c>
      <c r="V29" s="22">
        <v>4</v>
      </c>
      <c r="W29" s="22">
        <v>0</v>
      </c>
      <c r="X29" s="22">
        <f t="shared" si="30"/>
        <v>30</v>
      </c>
      <c r="Y29" s="20">
        <f t="shared" si="37"/>
        <v>53000</v>
      </c>
      <c r="Z29" s="20">
        <v>0</v>
      </c>
      <c r="AA29" s="20">
        <f t="shared" si="31"/>
        <v>53000</v>
      </c>
      <c r="AB29" s="20">
        <f t="shared" si="38"/>
        <v>22966.666666666668</v>
      </c>
      <c r="AC29" s="42">
        <v>0</v>
      </c>
      <c r="AD29" s="42">
        <v>0</v>
      </c>
      <c r="AE29" s="42">
        <v>0</v>
      </c>
      <c r="AF29" s="42">
        <v>0</v>
      </c>
      <c r="AG29" s="20">
        <f t="shared" si="32"/>
        <v>200</v>
      </c>
      <c r="AH29" s="24"/>
      <c r="AI29" s="80">
        <v>0</v>
      </c>
      <c r="AJ29" s="24">
        <v>0</v>
      </c>
      <c r="AK29" s="24">
        <v>0</v>
      </c>
      <c r="AL29" s="24">
        <v>0</v>
      </c>
      <c r="AM29" s="23">
        <f t="shared" si="33"/>
        <v>0</v>
      </c>
      <c r="AN29" s="60">
        <f t="shared" si="34"/>
        <v>52800</v>
      </c>
      <c r="AO29" s="15"/>
      <c r="AP29" s="27"/>
      <c r="AQ29" s="60" t="s">
        <v>326</v>
      </c>
      <c r="AR29" s="28"/>
      <c r="AS29" s="28"/>
      <c r="AT29" s="28"/>
      <c r="AU29" s="29"/>
      <c r="AV29" s="30"/>
      <c r="AW29" s="30"/>
      <c r="AX29" s="30"/>
      <c r="AY29" s="30"/>
      <c r="AZ29" s="30"/>
      <c r="BA29" s="30"/>
      <c r="BC29" s="152">
        <f t="shared" si="35"/>
        <v>53000</v>
      </c>
      <c r="BD29" s="31"/>
    </row>
    <row r="30" spans="2:56" ht="15.75" x14ac:dyDescent="0.25">
      <c r="B30" s="196"/>
      <c r="C30" s="103"/>
      <c r="D30" s="15">
        <v>120000</v>
      </c>
      <c r="E30" s="16" t="s">
        <v>182</v>
      </c>
      <c r="F30" s="104" t="s">
        <v>155</v>
      </c>
      <c r="G30" s="112">
        <v>43709</v>
      </c>
      <c r="H30" s="30"/>
      <c r="I30" s="30"/>
      <c r="J30" s="41">
        <f t="shared" si="39"/>
        <v>12</v>
      </c>
      <c r="K30" s="86" t="s">
        <v>61</v>
      </c>
      <c r="L30" s="30" t="s">
        <v>84</v>
      </c>
      <c r="M30" s="19">
        <v>100200</v>
      </c>
      <c r="N30" s="20">
        <f t="shared" si="36"/>
        <v>50100</v>
      </c>
      <c r="O30" s="20">
        <f t="shared" si="26"/>
        <v>25050</v>
      </c>
      <c r="P30" s="20">
        <f t="shared" si="27"/>
        <v>12525</v>
      </c>
      <c r="Q30" s="20">
        <f t="shared" si="28"/>
        <v>12525</v>
      </c>
      <c r="R30" s="20">
        <v>0</v>
      </c>
      <c r="S30" s="20">
        <f t="shared" si="29"/>
        <v>100200</v>
      </c>
      <c r="T30" s="20">
        <v>0</v>
      </c>
      <c r="U30" s="22">
        <v>26</v>
      </c>
      <c r="V30" s="22">
        <v>4</v>
      </c>
      <c r="W30" s="22">
        <v>0</v>
      </c>
      <c r="X30" s="22">
        <f t="shared" si="30"/>
        <v>30</v>
      </c>
      <c r="Y30" s="20">
        <f t="shared" si="37"/>
        <v>100200</v>
      </c>
      <c r="Z30" s="20">
        <v>0</v>
      </c>
      <c r="AA30" s="20">
        <f t="shared" si="31"/>
        <v>100200</v>
      </c>
      <c r="AB30" s="20">
        <f t="shared" si="38"/>
        <v>43420</v>
      </c>
      <c r="AC30" s="42">
        <v>0</v>
      </c>
      <c r="AD30" s="42">
        <v>0</v>
      </c>
      <c r="AE30" s="42">
        <v>0</v>
      </c>
      <c r="AF30" s="42">
        <v>0</v>
      </c>
      <c r="AG30" s="20">
        <f t="shared" si="32"/>
        <v>200</v>
      </c>
      <c r="AH30" s="24">
        <v>0</v>
      </c>
      <c r="AI30" s="80">
        <v>0</v>
      </c>
      <c r="AJ30" s="24">
        <v>0</v>
      </c>
      <c r="AK30" s="24">
        <v>0</v>
      </c>
      <c r="AL30" s="24">
        <v>0</v>
      </c>
      <c r="AM30" s="25">
        <f t="shared" si="33"/>
        <v>0</v>
      </c>
      <c r="AN30" s="26">
        <f t="shared" si="34"/>
        <v>100000</v>
      </c>
      <c r="AO30" s="15"/>
      <c r="AP30" s="27"/>
      <c r="AQ30" s="168" t="s">
        <v>315</v>
      </c>
      <c r="AR30" s="28"/>
      <c r="AS30" s="28"/>
      <c r="AT30" s="28"/>
      <c r="AU30" s="29"/>
      <c r="AV30" s="30"/>
      <c r="AW30" s="30"/>
      <c r="AX30" s="30"/>
      <c r="AY30" s="30"/>
      <c r="AZ30" s="30"/>
      <c r="BA30" s="30"/>
      <c r="BB30" s="14">
        <v>0</v>
      </c>
      <c r="BC30" s="152">
        <f>AC30+AE30+AG30+AN30+AH30</f>
        <v>100200</v>
      </c>
    </row>
    <row r="31" spans="2:56" s="50" customFormat="1" ht="15.75" x14ac:dyDescent="0.25">
      <c r="B31" s="196"/>
      <c r="C31" s="103"/>
      <c r="D31" s="78">
        <v>85200</v>
      </c>
      <c r="E31" s="16" t="s">
        <v>135</v>
      </c>
      <c r="F31" s="104" t="s">
        <v>153</v>
      </c>
      <c r="G31" s="112">
        <v>43862</v>
      </c>
      <c r="H31" s="51"/>
      <c r="I31" s="51"/>
      <c r="J31" s="41">
        <f t="shared" si="39"/>
        <v>13</v>
      </c>
      <c r="K31" s="86" t="s">
        <v>85</v>
      </c>
      <c r="L31" s="221" t="s">
        <v>86</v>
      </c>
      <c r="M31" s="33">
        <v>100200</v>
      </c>
      <c r="N31" s="20">
        <f t="shared" si="36"/>
        <v>50100</v>
      </c>
      <c r="O31" s="20">
        <f t="shared" si="26"/>
        <v>25050</v>
      </c>
      <c r="P31" s="20">
        <f t="shared" si="27"/>
        <v>12525</v>
      </c>
      <c r="Q31" s="20">
        <f t="shared" si="28"/>
        <v>12525</v>
      </c>
      <c r="R31" s="20">
        <v>0</v>
      </c>
      <c r="S31" s="20">
        <f t="shared" si="29"/>
        <v>100200</v>
      </c>
      <c r="T31" s="20">
        <v>0</v>
      </c>
      <c r="U31" s="22">
        <v>26</v>
      </c>
      <c r="V31" s="22">
        <v>4</v>
      </c>
      <c r="W31" s="22">
        <v>0</v>
      </c>
      <c r="X31" s="22">
        <f t="shared" si="30"/>
        <v>30</v>
      </c>
      <c r="Y31" s="20">
        <f t="shared" si="37"/>
        <v>100200</v>
      </c>
      <c r="Z31" s="20">
        <v>0</v>
      </c>
      <c r="AA31" s="20">
        <f t="shared" si="31"/>
        <v>100200</v>
      </c>
      <c r="AB31" s="20">
        <f t="shared" si="38"/>
        <v>43420</v>
      </c>
      <c r="AC31" s="20">
        <v>0</v>
      </c>
      <c r="AD31" s="20">
        <v>0</v>
      </c>
      <c r="AE31" s="20">
        <v>0</v>
      </c>
      <c r="AF31" s="79">
        <v>0</v>
      </c>
      <c r="AG31" s="20">
        <f t="shared" si="32"/>
        <v>200</v>
      </c>
      <c r="AH31" s="24">
        <v>0</v>
      </c>
      <c r="AI31" s="80">
        <v>0</v>
      </c>
      <c r="AJ31" s="24">
        <v>0</v>
      </c>
      <c r="AK31" s="24">
        <v>0</v>
      </c>
      <c r="AL31" s="24">
        <v>0</v>
      </c>
      <c r="AM31" s="23">
        <f t="shared" si="33"/>
        <v>0</v>
      </c>
      <c r="AN31" s="60">
        <f t="shared" si="34"/>
        <v>100000</v>
      </c>
      <c r="AO31" s="51"/>
      <c r="AP31" s="51"/>
      <c r="AQ31" s="51" t="s">
        <v>362</v>
      </c>
      <c r="AR31" s="51"/>
      <c r="AS31" s="51"/>
      <c r="AT31" s="51"/>
      <c r="AU31" s="58"/>
      <c r="AV31" s="53"/>
      <c r="AW31" s="54"/>
      <c r="AX31" s="51"/>
      <c r="AY31" s="51"/>
      <c r="AZ31" s="51"/>
      <c r="BA31" s="51"/>
      <c r="BC31" s="152">
        <f t="shared" ref="BC31:BC51" si="40">AC31+AE31+AG31+AN31</f>
        <v>100200</v>
      </c>
    </row>
    <row r="32" spans="2:56" s="50" customFormat="1" ht="16.5" customHeight="1" x14ac:dyDescent="0.25">
      <c r="B32" s="155">
        <v>56000</v>
      </c>
      <c r="C32" s="198">
        <v>46600</v>
      </c>
      <c r="D32" s="15">
        <v>42350</v>
      </c>
      <c r="E32" s="16" t="s">
        <v>438</v>
      </c>
      <c r="F32" s="104" t="s">
        <v>160</v>
      </c>
      <c r="G32" s="112">
        <v>44105</v>
      </c>
      <c r="H32" s="51"/>
      <c r="I32" s="51"/>
      <c r="J32" s="41">
        <f t="shared" si="39"/>
        <v>14</v>
      </c>
      <c r="K32" s="86" t="s">
        <v>87</v>
      </c>
      <c r="L32" s="52" t="s">
        <v>88</v>
      </c>
      <c r="M32" s="33">
        <v>56000</v>
      </c>
      <c r="N32" s="20">
        <f t="shared" si="36"/>
        <v>28000</v>
      </c>
      <c r="O32" s="20">
        <f t="shared" si="26"/>
        <v>14000</v>
      </c>
      <c r="P32" s="20">
        <f t="shared" si="27"/>
        <v>7000</v>
      </c>
      <c r="Q32" s="20">
        <f t="shared" si="28"/>
        <v>7000</v>
      </c>
      <c r="R32" s="20">
        <v>0</v>
      </c>
      <c r="S32" s="20">
        <f t="shared" si="29"/>
        <v>56000</v>
      </c>
      <c r="T32" s="20">
        <v>0</v>
      </c>
      <c r="U32" s="22">
        <v>26</v>
      </c>
      <c r="V32" s="22">
        <v>4</v>
      </c>
      <c r="W32" s="22">
        <v>0</v>
      </c>
      <c r="X32" s="22">
        <f t="shared" si="30"/>
        <v>30</v>
      </c>
      <c r="Y32" s="20">
        <f t="shared" si="37"/>
        <v>56000</v>
      </c>
      <c r="Z32" s="42">
        <v>385</v>
      </c>
      <c r="AA32" s="20">
        <f t="shared" si="31"/>
        <v>56385</v>
      </c>
      <c r="AB32" s="20">
        <f t="shared" si="38"/>
        <v>24266.666666666668</v>
      </c>
      <c r="AC32" s="20">
        <v>0</v>
      </c>
      <c r="AD32" s="20">
        <v>0</v>
      </c>
      <c r="AE32" s="20">
        <v>0</v>
      </c>
      <c r="AF32" s="20">
        <v>0</v>
      </c>
      <c r="AG32" s="20">
        <f t="shared" si="32"/>
        <v>200</v>
      </c>
      <c r="AH32" s="24"/>
      <c r="AI32" s="80">
        <v>0</v>
      </c>
      <c r="AJ32" s="24">
        <v>0</v>
      </c>
      <c r="AK32" s="24">
        <v>0</v>
      </c>
      <c r="AL32" s="24">
        <v>0</v>
      </c>
      <c r="AM32" s="25">
        <f t="shared" si="33"/>
        <v>0</v>
      </c>
      <c r="AN32" s="26">
        <f t="shared" si="34"/>
        <v>56185</v>
      </c>
      <c r="AO32" s="109"/>
      <c r="AP32" s="109"/>
      <c r="AQ32" s="169" t="s">
        <v>319</v>
      </c>
      <c r="AR32" s="109"/>
      <c r="AS32" s="109"/>
      <c r="AT32" s="109"/>
      <c r="AU32" s="51"/>
      <c r="AV32" s="53"/>
      <c r="AW32" s="54"/>
      <c r="AX32" s="51"/>
      <c r="AY32" s="51"/>
      <c r="AZ32" s="51"/>
      <c r="BA32" s="51"/>
      <c r="BC32" s="153">
        <f t="shared" si="40"/>
        <v>56385</v>
      </c>
    </row>
    <row r="33" spans="2:55" s="50" customFormat="1" ht="15.75" x14ac:dyDescent="0.25">
      <c r="B33" s="155">
        <v>107200</v>
      </c>
      <c r="C33" s="198">
        <v>97400</v>
      </c>
      <c r="D33" s="15">
        <v>88550</v>
      </c>
      <c r="E33" s="16" t="s">
        <v>438</v>
      </c>
      <c r="F33" s="104" t="s">
        <v>161</v>
      </c>
      <c r="G33" s="112">
        <v>44105</v>
      </c>
      <c r="H33" s="51"/>
      <c r="I33" s="51"/>
      <c r="J33" s="41">
        <f t="shared" si="39"/>
        <v>15</v>
      </c>
      <c r="K33" s="86" t="s">
        <v>87</v>
      </c>
      <c r="L33" s="136" t="s">
        <v>89</v>
      </c>
      <c r="M33" s="33">
        <v>107200</v>
      </c>
      <c r="N33" s="20">
        <f t="shared" si="36"/>
        <v>53600</v>
      </c>
      <c r="O33" s="20">
        <f t="shared" si="26"/>
        <v>26800</v>
      </c>
      <c r="P33" s="20">
        <f t="shared" si="27"/>
        <v>13400</v>
      </c>
      <c r="Q33" s="20">
        <f t="shared" si="28"/>
        <v>13400</v>
      </c>
      <c r="R33" s="20">
        <v>0</v>
      </c>
      <c r="S33" s="20">
        <f t="shared" si="29"/>
        <v>107200</v>
      </c>
      <c r="T33" s="20">
        <v>0</v>
      </c>
      <c r="U33" s="22">
        <v>26</v>
      </c>
      <c r="V33" s="22">
        <v>4</v>
      </c>
      <c r="W33" s="22">
        <v>0</v>
      </c>
      <c r="X33" s="22">
        <f t="shared" si="30"/>
        <v>30</v>
      </c>
      <c r="Y33" s="20">
        <f t="shared" si="37"/>
        <v>107200</v>
      </c>
      <c r="Z33" s="42">
        <v>0</v>
      </c>
      <c r="AA33" s="20">
        <f t="shared" si="31"/>
        <v>107200</v>
      </c>
      <c r="AB33" s="20">
        <f t="shared" si="38"/>
        <v>46453.333333333336</v>
      </c>
      <c r="AC33" s="20">
        <v>0</v>
      </c>
      <c r="AD33" s="20">
        <v>0</v>
      </c>
      <c r="AE33" s="20">
        <v>0</v>
      </c>
      <c r="AF33" s="79">
        <v>0</v>
      </c>
      <c r="AG33" s="20">
        <f t="shared" si="32"/>
        <v>200</v>
      </c>
      <c r="AH33" s="24">
        <v>0</v>
      </c>
      <c r="AI33" s="80">
        <v>0</v>
      </c>
      <c r="AJ33" s="24">
        <v>0</v>
      </c>
      <c r="AK33" s="24">
        <v>0</v>
      </c>
      <c r="AL33" s="24">
        <v>0</v>
      </c>
      <c r="AM33" s="24">
        <f t="shared" si="33"/>
        <v>0</v>
      </c>
      <c r="AN33" s="60">
        <f t="shared" si="34"/>
        <v>107000</v>
      </c>
      <c r="AO33" s="58"/>
      <c r="AP33" s="51"/>
      <c r="AQ33" s="4" t="s">
        <v>356</v>
      </c>
      <c r="AR33" s="51"/>
      <c r="AS33" s="51"/>
      <c r="AT33" s="51"/>
      <c r="AU33" s="51"/>
      <c r="AV33" s="53"/>
      <c r="AW33" s="54"/>
      <c r="AX33" s="51"/>
      <c r="AY33" s="51"/>
      <c r="AZ33" s="51"/>
      <c r="BA33" s="51"/>
      <c r="BC33" s="153">
        <f t="shared" si="40"/>
        <v>107200</v>
      </c>
    </row>
    <row r="34" spans="2:55" s="50" customFormat="1" ht="15.75" x14ac:dyDescent="0.25">
      <c r="B34" s="196">
        <v>43000</v>
      </c>
      <c r="C34" s="155">
        <v>0</v>
      </c>
      <c r="D34" s="78">
        <v>39600</v>
      </c>
      <c r="E34" s="16" t="s">
        <v>90</v>
      </c>
      <c r="F34" s="104" t="s">
        <v>145</v>
      </c>
      <c r="G34" s="112">
        <v>44105</v>
      </c>
      <c r="H34" s="51"/>
      <c r="I34" s="51"/>
      <c r="J34" s="41">
        <f t="shared" si="39"/>
        <v>16</v>
      </c>
      <c r="K34" s="86" t="s">
        <v>87</v>
      </c>
      <c r="L34" s="55" t="s">
        <v>91</v>
      </c>
      <c r="M34" s="33">
        <v>43000</v>
      </c>
      <c r="N34" s="20">
        <f t="shared" si="36"/>
        <v>21500</v>
      </c>
      <c r="O34" s="20">
        <f t="shared" si="26"/>
        <v>10750</v>
      </c>
      <c r="P34" s="20">
        <f t="shared" si="27"/>
        <v>5375</v>
      </c>
      <c r="Q34" s="20">
        <f t="shared" si="28"/>
        <v>5375</v>
      </c>
      <c r="R34" s="20">
        <v>0</v>
      </c>
      <c r="S34" s="20">
        <f t="shared" si="29"/>
        <v>43000</v>
      </c>
      <c r="T34" s="20">
        <v>0</v>
      </c>
      <c r="U34" s="22">
        <v>26</v>
      </c>
      <c r="V34" s="22">
        <v>4</v>
      </c>
      <c r="W34" s="22">
        <v>0</v>
      </c>
      <c r="X34" s="22">
        <f t="shared" si="30"/>
        <v>30</v>
      </c>
      <c r="Y34" s="20">
        <f t="shared" si="37"/>
        <v>43000</v>
      </c>
      <c r="Z34" s="20">
        <v>0</v>
      </c>
      <c r="AA34" s="20">
        <f t="shared" si="31"/>
        <v>43000</v>
      </c>
      <c r="AB34" s="20">
        <f t="shared" si="38"/>
        <v>18633.333333333332</v>
      </c>
      <c r="AC34" s="20">
        <v>0</v>
      </c>
      <c r="AD34" s="20">
        <v>0</v>
      </c>
      <c r="AE34" s="20">
        <v>0</v>
      </c>
      <c r="AF34" s="20">
        <v>0</v>
      </c>
      <c r="AG34" s="79">
        <f t="shared" si="32"/>
        <v>200</v>
      </c>
      <c r="AH34" s="24"/>
      <c r="AI34" s="80">
        <v>0</v>
      </c>
      <c r="AJ34" s="24">
        <v>0</v>
      </c>
      <c r="AK34" s="24">
        <v>0</v>
      </c>
      <c r="AL34" s="24">
        <v>0</v>
      </c>
      <c r="AM34" s="23">
        <f t="shared" si="33"/>
        <v>0</v>
      </c>
      <c r="AN34" s="60">
        <f t="shared" si="34"/>
        <v>42800</v>
      </c>
      <c r="AO34" s="81"/>
      <c r="AP34" s="56"/>
      <c r="AQ34" s="51" t="s">
        <v>364</v>
      </c>
      <c r="AR34" s="56"/>
      <c r="AS34" s="56"/>
      <c r="AT34" s="57"/>
      <c r="AU34" s="58"/>
      <c r="AV34" s="53"/>
      <c r="AW34" s="54"/>
      <c r="AX34" s="51"/>
      <c r="AY34" s="51"/>
      <c r="AZ34" s="51"/>
      <c r="BA34" s="51"/>
      <c r="BC34" s="152">
        <f t="shared" si="40"/>
        <v>43000</v>
      </c>
    </row>
    <row r="35" spans="2:55" s="50" customFormat="1" ht="15.75" x14ac:dyDescent="0.25">
      <c r="B35" s="198">
        <v>95000</v>
      </c>
      <c r="C35" s="103">
        <v>0</v>
      </c>
      <c r="D35" s="120">
        <v>85000</v>
      </c>
      <c r="E35" s="30" t="s">
        <v>226</v>
      </c>
      <c r="F35" s="104" t="s">
        <v>149</v>
      </c>
      <c r="G35" s="112">
        <v>44105</v>
      </c>
      <c r="H35" s="51"/>
      <c r="I35" s="51"/>
      <c r="J35" s="41">
        <f t="shared" si="39"/>
        <v>17</v>
      </c>
      <c r="K35" s="86" t="s">
        <v>87</v>
      </c>
      <c r="L35" s="44" t="s">
        <v>92</v>
      </c>
      <c r="M35" s="33">
        <v>95000</v>
      </c>
      <c r="N35" s="20">
        <f t="shared" si="36"/>
        <v>47500</v>
      </c>
      <c r="O35" s="20">
        <f t="shared" si="26"/>
        <v>23750</v>
      </c>
      <c r="P35" s="20">
        <f t="shared" si="27"/>
        <v>11875</v>
      </c>
      <c r="Q35" s="20">
        <f t="shared" si="28"/>
        <v>11875</v>
      </c>
      <c r="R35" s="20">
        <v>0</v>
      </c>
      <c r="S35" s="20">
        <f t="shared" si="29"/>
        <v>95000</v>
      </c>
      <c r="T35" s="20">
        <v>0</v>
      </c>
      <c r="U35" s="22">
        <v>26</v>
      </c>
      <c r="V35" s="22">
        <v>4</v>
      </c>
      <c r="W35" s="22">
        <v>0</v>
      </c>
      <c r="X35" s="22">
        <f t="shared" si="30"/>
        <v>30</v>
      </c>
      <c r="Y35" s="20">
        <f t="shared" si="37"/>
        <v>95000</v>
      </c>
      <c r="Z35" s="20">
        <v>0</v>
      </c>
      <c r="AA35" s="20">
        <f t="shared" si="31"/>
        <v>95000</v>
      </c>
      <c r="AB35" s="20">
        <f t="shared" si="38"/>
        <v>41166.666666666664</v>
      </c>
      <c r="AC35" s="20">
        <v>0</v>
      </c>
      <c r="AD35" s="20">
        <v>0</v>
      </c>
      <c r="AE35" s="20">
        <v>0</v>
      </c>
      <c r="AF35" s="79">
        <v>0</v>
      </c>
      <c r="AG35" s="20">
        <f t="shared" si="32"/>
        <v>200</v>
      </c>
      <c r="AH35" s="24">
        <v>0</v>
      </c>
      <c r="AI35" s="80">
        <v>0</v>
      </c>
      <c r="AJ35" s="24">
        <v>0</v>
      </c>
      <c r="AK35" s="24">
        <v>0</v>
      </c>
      <c r="AL35" s="24">
        <v>0</v>
      </c>
      <c r="AM35" s="23">
        <f t="shared" si="33"/>
        <v>0</v>
      </c>
      <c r="AN35" s="60">
        <f t="shared" si="34"/>
        <v>94800</v>
      </c>
      <c r="AO35" s="81"/>
      <c r="AP35" s="56"/>
      <c r="AQ35" s="51" t="s">
        <v>359</v>
      </c>
      <c r="AR35" s="56"/>
      <c r="AS35" s="56"/>
      <c r="AT35" s="57"/>
      <c r="AU35" s="58"/>
      <c r="AV35" s="53"/>
      <c r="AW35" s="54"/>
      <c r="AX35" s="51"/>
      <c r="AY35" s="51"/>
      <c r="AZ35" s="51"/>
      <c r="BA35" s="51"/>
      <c r="BC35" s="152">
        <f>AC35+AE35+AG35+AN35+AH35</f>
        <v>95000</v>
      </c>
    </row>
    <row r="36" spans="2:55" s="50" customFormat="1" ht="15.75" x14ac:dyDescent="0.25">
      <c r="B36" s="198">
        <v>75900</v>
      </c>
      <c r="C36" s="155">
        <v>69000</v>
      </c>
      <c r="D36" s="78">
        <v>58000</v>
      </c>
      <c r="E36" s="16" t="s">
        <v>114</v>
      </c>
      <c r="F36" s="104" t="s">
        <v>149</v>
      </c>
      <c r="G36" s="112">
        <v>44166</v>
      </c>
      <c r="H36" s="51"/>
      <c r="I36" s="51"/>
      <c r="J36" s="41">
        <f t="shared" si="39"/>
        <v>18</v>
      </c>
      <c r="K36" s="86" t="s">
        <v>93</v>
      </c>
      <c r="L36" s="55" t="s">
        <v>94</v>
      </c>
      <c r="M36" s="33">
        <v>75900</v>
      </c>
      <c r="N36" s="20">
        <f t="shared" si="36"/>
        <v>37950</v>
      </c>
      <c r="O36" s="20">
        <f t="shared" si="26"/>
        <v>18975</v>
      </c>
      <c r="P36" s="20">
        <f t="shared" si="27"/>
        <v>9488</v>
      </c>
      <c r="Q36" s="20">
        <f t="shared" si="28"/>
        <v>9488</v>
      </c>
      <c r="R36" s="20">
        <v>0</v>
      </c>
      <c r="S36" s="20">
        <f t="shared" si="29"/>
        <v>75901</v>
      </c>
      <c r="T36" s="20">
        <v>0</v>
      </c>
      <c r="U36" s="22">
        <v>26</v>
      </c>
      <c r="V36" s="22">
        <v>4</v>
      </c>
      <c r="W36" s="22">
        <v>0</v>
      </c>
      <c r="X36" s="22">
        <f t="shared" si="30"/>
        <v>30</v>
      </c>
      <c r="Y36" s="20">
        <f t="shared" si="37"/>
        <v>75900</v>
      </c>
      <c r="Z36" s="20">
        <v>0</v>
      </c>
      <c r="AA36" s="20">
        <f t="shared" si="31"/>
        <v>75900</v>
      </c>
      <c r="AB36" s="20">
        <f t="shared" si="38"/>
        <v>32890</v>
      </c>
      <c r="AC36" s="20">
        <v>0</v>
      </c>
      <c r="AD36" s="20">
        <v>0</v>
      </c>
      <c r="AE36" s="20">
        <v>0</v>
      </c>
      <c r="AF36" s="79">
        <v>0</v>
      </c>
      <c r="AG36" s="20">
        <f t="shared" si="32"/>
        <v>200</v>
      </c>
      <c r="AH36" s="24">
        <v>0</v>
      </c>
      <c r="AI36" s="80">
        <v>0</v>
      </c>
      <c r="AJ36" s="24">
        <v>0</v>
      </c>
      <c r="AK36" s="24">
        <v>0</v>
      </c>
      <c r="AL36" s="24">
        <v>0</v>
      </c>
      <c r="AM36" s="23">
        <f t="shared" si="33"/>
        <v>0</v>
      </c>
      <c r="AN36" s="60">
        <f t="shared" si="34"/>
        <v>75700</v>
      </c>
      <c r="AO36" s="56"/>
      <c r="AP36" s="56"/>
      <c r="AQ36" s="165" t="s">
        <v>335</v>
      </c>
      <c r="AR36" s="56"/>
      <c r="AS36" s="56"/>
      <c r="AT36" s="57"/>
      <c r="AU36" s="58"/>
      <c r="AV36" s="53"/>
      <c r="AW36" s="54"/>
      <c r="AX36" s="51"/>
      <c r="AY36" s="51"/>
      <c r="AZ36" s="51"/>
      <c r="BA36" s="51"/>
      <c r="BC36" s="152">
        <f t="shared" si="40"/>
        <v>75900</v>
      </c>
    </row>
    <row r="37" spans="2:55" s="50" customFormat="1" ht="15.75" x14ac:dyDescent="0.25">
      <c r="B37" s="196"/>
      <c r="C37" s="103">
        <v>48000</v>
      </c>
      <c r="D37" s="15">
        <v>40200</v>
      </c>
      <c r="E37" s="16" t="s">
        <v>135</v>
      </c>
      <c r="F37" s="104" t="s">
        <v>150</v>
      </c>
      <c r="G37" s="112">
        <v>44501</v>
      </c>
      <c r="H37" s="51"/>
      <c r="I37" s="51"/>
      <c r="J37" s="41">
        <f t="shared" si="39"/>
        <v>19</v>
      </c>
      <c r="K37" s="86" t="s">
        <v>95</v>
      </c>
      <c r="L37" s="59" t="s">
        <v>96</v>
      </c>
      <c r="M37" s="33">
        <v>50200</v>
      </c>
      <c r="N37" s="20">
        <f t="shared" si="36"/>
        <v>25100</v>
      </c>
      <c r="O37" s="20">
        <f t="shared" si="26"/>
        <v>12550</v>
      </c>
      <c r="P37" s="20">
        <f t="shared" si="27"/>
        <v>6275</v>
      </c>
      <c r="Q37" s="20">
        <f t="shared" si="28"/>
        <v>6275</v>
      </c>
      <c r="R37" s="20">
        <v>0</v>
      </c>
      <c r="S37" s="20">
        <f t="shared" si="29"/>
        <v>50200</v>
      </c>
      <c r="T37" s="20">
        <v>0</v>
      </c>
      <c r="U37" s="22">
        <v>26</v>
      </c>
      <c r="V37" s="22">
        <v>4</v>
      </c>
      <c r="W37" s="22">
        <v>0</v>
      </c>
      <c r="X37" s="22">
        <f t="shared" si="30"/>
        <v>30</v>
      </c>
      <c r="Y37" s="20">
        <f t="shared" si="37"/>
        <v>50200</v>
      </c>
      <c r="Z37" s="20">
        <v>0</v>
      </c>
      <c r="AA37" s="20">
        <f t="shared" si="31"/>
        <v>50200</v>
      </c>
      <c r="AB37" s="20">
        <f t="shared" si="38"/>
        <v>21753.333333333332</v>
      </c>
      <c r="AC37" s="20">
        <v>0</v>
      </c>
      <c r="AD37" s="20">
        <v>0</v>
      </c>
      <c r="AE37" s="20">
        <v>0</v>
      </c>
      <c r="AF37" s="20">
        <v>0</v>
      </c>
      <c r="AG37" s="20">
        <f t="shared" si="32"/>
        <v>200</v>
      </c>
      <c r="AH37" s="24"/>
      <c r="AI37" s="80">
        <v>0</v>
      </c>
      <c r="AJ37" s="24">
        <v>0</v>
      </c>
      <c r="AK37" s="24">
        <v>0</v>
      </c>
      <c r="AL37" s="24">
        <v>0</v>
      </c>
      <c r="AM37" s="25">
        <f t="shared" si="33"/>
        <v>0</v>
      </c>
      <c r="AN37" s="26">
        <f t="shared" si="34"/>
        <v>50000</v>
      </c>
      <c r="AO37" s="51"/>
      <c r="AP37" s="51"/>
      <c r="AQ37" s="165" t="s">
        <v>345</v>
      </c>
      <c r="AR37" s="51"/>
      <c r="AS37" s="51"/>
      <c r="AT37" s="51"/>
      <c r="AU37" s="58"/>
      <c r="AV37" s="53"/>
      <c r="AW37" s="54"/>
      <c r="AX37" s="51"/>
      <c r="AY37" s="51"/>
      <c r="AZ37" s="51"/>
      <c r="BA37" s="51"/>
      <c r="BC37" s="152">
        <f t="shared" si="40"/>
        <v>50200</v>
      </c>
    </row>
    <row r="38" spans="2:55" s="50" customFormat="1" ht="15.75" x14ac:dyDescent="0.25">
      <c r="B38" s="196"/>
      <c r="C38" s="103"/>
      <c r="D38" s="15">
        <v>40200</v>
      </c>
      <c r="E38" s="16" t="s">
        <v>97</v>
      </c>
      <c r="F38" s="104" t="s">
        <v>151</v>
      </c>
      <c r="G38" s="112">
        <v>44501</v>
      </c>
      <c r="H38" s="51"/>
      <c r="I38" s="51"/>
      <c r="J38" s="41">
        <f t="shared" si="39"/>
        <v>20</v>
      </c>
      <c r="K38" s="86" t="s">
        <v>95</v>
      </c>
      <c r="L38" s="59" t="s">
        <v>98</v>
      </c>
      <c r="M38" s="33">
        <v>40200</v>
      </c>
      <c r="N38" s="20">
        <f t="shared" si="36"/>
        <v>20100</v>
      </c>
      <c r="O38" s="20">
        <f t="shared" si="26"/>
        <v>10050</v>
      </c>
      <c r="P38" s="20">
        <f t="shared" si="27"/>
        <v>5025</v>
      </c>
      <c r="Q38" s="20">
        <f t="shared" si="28"/>
        <v>5025</v>
      </c>
      <c r="R38" s="20">
        <v>0</v>
      </c>
      <c r="S38" s="20">
        <f t="shared" si="29"/>
        <v>40200</v>
      </c>
      <c r="T38" s="20">
        <v>0</v>
      </c>
      <c r="U38" s="22">
        <v>26</v>
      </c>
      <c r="V38" s="22">
        <v>4</v>
      </c>
      <c r="W38" s="22">
        <v>0</v>
      </c>
      <c r="X38" s="22">
        <f t="shared" si="30"/>
        <v>30</v>
      </c>
      <c r="Y38" s="20">
        <f t="shared" si="37"/>
        <v>40200</v>
      </c>
      <c r="Z38" s="20">
        <v>0</v>
      </c>
      <c r="AA38" s="20">
        <f t="shared" si="31"/>
        <v>40200</v>
      </c>
      <c r="AB38" s="20">
        <f t="shared" si="38"/>
        <v>17420</v>
      </c>
      <c r="AC38" s="20">
        <v>0</v>
      </c>
      <c r="AD38" s="20">
        <v>0</v>
      </c>
      <c r="AE38" s="20">
        <v>0</v>
      </c>
      <c r="AF38" s="20">
        <v>0</v>
      </c>
      <c r="AG38" s="20">
        <f t="shared" si="32"/>
        <v>200</v>
      </c>
      <c r="AH38" s="24"/>
      <c r="AI38" s="80">
        <v>0</v>
      </c>
      <c r="AJ38" s="24">
        <v>0</v>
      </c>
      <c r="AK38" s="24">
        <v>0</v>
      </c>
      <c r="AL38" s="24">
        <v>0</v>
      </c>
      <c r="AM38" s="25">
        <f t="shared" si="33"/>
        <v>0</v>
      </c>
      <c r="AN38" s="26">
        <f t="shared" si="34"/>
        <v>40000</v>
      </c>
      <c r="AO38" s="56"/>
      <c r="AP38" s="56"/>
      <c r="AQ38" s="51" t="s">
        <v>308</v>
      </c>
      <c r="AR38" s="56"/>
      <c r="AS38" s="56"/>
      <c r="AT38" s="57"/>
      <c r="AU38" s="58"/>
      <c r="AV38" s="53"/>
      <c r="AW38" s="54"/>
      <c r="AX38" s="51"/>
      <c r="AY38" s="51"/>
      <c r="AZ38" s="51"/>
      <c r="BA38" s="51"/>
      <c r="BC38" s="152">
        <f t="shared" si="40"/>
        <v>40200</v>
      </c>
    </row>
    <row r="39" spans="2:55" s="50" customFormat="1" ht="15.75" x14ac:dyDescent="0.25">
      <c r="B39" s="198">
        <v>31030</v>
      </c>
      <c r="C39" s="155">
        <v>29000</v>
      </c>
      <c r="D39" s="78">
        <v>27500</v>
      </c>
      <c r="E39" s="30" t="s">
        <v>71</v>
      </c>
      <c r="F39" s="104" t="s">
        <v>150</v>
      </c>
      <c r="G39" s="112">
        <v>44652</v>
      </c>
      <c r="H39" s="51"/>
      <c r="I39" s="51"/>
      <c r="J39" s="41">
        <f t="shared" si="39"/>
        <v>21</v>
      </c>
      <c r="K39" s="86" t="s">
        <v>99</v>
      </c>
      <c r="L39" s="52" t="s">
        <v>100</v>
      </c>
      <c r="M39" s="33">
        <v>31030</v>
      </c>
      <c r="N39" s="20">
        <f t="shared" si="36"/>
        <v>15515</v>
      </c>
      <c r="O39" s="20">
        <f t="shared" si="26"/>
        <v>7758</v>
      </c>
      <c r="P39" s="20">
        <f t="shared" si="27"/>
        <v>3879</v>
      </c>
      <c r="Q39" s="20">
        <f t="shared" si="28"/>
        <v>3879</v>
      </c>
      <c r="R39" s="20">
        <v>0</v>
      </c>
      <c r="S39" s="20">
        <f t="shared" si="29"/>
        <v>31031</v>
      </c>
      <c r="T39" s="20">
        <v>0</v>
      </c>
      <c r="U39" s="22">
        <v>26</v>
      </c>
      <c r="V39" s="22">
        <v>4</v>
      </c>
      <c r="W39" s="22">
        <v>0</v>
      </c>
      <c r="X39" s="22">
        <f t="shared" si="30"/>
        <v>30</v>
      </c>
      <c r="Y39" s="20">
        <f t="shared" si="37"/>
        <v>31029.999999999996</v>
      </c>
      <c r="Z39" s="20">
        <v>0</v>
      </c>
      <c r="AA39" s="20">
        <f t="shared" si="31"/>
        <v>31029.999999999996</v>
      </c>
      <c r="AB39" s="20">
        <f t="shared" si="38"/>
        <v>13446.333333333332</v>
      </c>
      <c r="AC39" s="20">
        <v>0</v>
      </c>
      <c r="AD39" s="20">
        <v>0</v>
      </c>
      <c r="AE39" s="20">
        <v>0</v>
      </c>
      <c r="AF39" s="20">
        <v>0</v>
      </c>
      <c r="AG39" s="20">
        <f t="shared" si="32"/>
        <v>200</v>
      </c>
      <c r="AH39" s="24"/>
      <c r="AI39" s="80">
        <v>0</v>
      </c>
      <c r="AJ39" s="24">
        <v>0</v>
      </c>
      <c r="AK39" s="24">
        <v>0</v>
      </c>
      <c r="AL39" s="24">
        <v>0</v>
      </c>
      <c r="AM39" s="25">
        <f t="shared" si="33"/>
        <v>0</v>
      </c>
      <c r="AN39" s="26">
        <f t="shared" si="34"/>
        <v>30829.999999999996</v>
      </c>
      <c r="AO39" s="56"/>
      <c r="AP39" s="56"/>
      <c r="AQ39" s="51" t="s">
        <v>347</v>
      </c>
      <c r="AR39" s="56"/>
      <c r="AS39" s="56"/>
      <c r="AT39" s="57"/>
      <c r="AU39" s="58"/>
      <c r="AV39" s="53"/>
      <c r="AW39" s="54"/>
      <c r="AX39" s="51"/>
      <c r="AY39" s="51"/>
      <c r="AZ39" s="51"/>
      <c r="BA39" s="51"/>
      <c r="BC39" s="152">
        <f t="shared" si="40"/>
        <v>31029.999999999996</v>
      </c>
    </row>
    <row r="40" spans="2:55" s="50" customFormat="1" ht="17.25" customHeight="1" x14ac:dyDescent="0.25">
      <c r="B40" s="196">
        <v>35800</v>
      </c>
      <c r="C40" s="198">
        <v>32670</v>
      </c>
      <c r="D40" s="15">
        <v>29700</v>
      </c>
      <c r="E40" s="16" t="s">
        <v>438</v>
      </c>
      <c r="F40" s="104" t="s">
        <v>157</v>
      </c>
      <c r="G40" s="112">
        <v>44682</v>
      </c>
      <c r="H40" s="51"/>
      <c r="I40" s="51"/>
      <c r="J40" s="41">
        <f t="shared" si="39"/>
        <v>22</v>
      </c>
      <c r="K40" s="86" t="s">
        <v>103</v>
      </c>
      <c r="L40" s="52" t="s">
        <v>102</v>
      </c>
      <c r="M40" s="33">
        <v>35800</v>
      </c>
      <c r="N40" s="20">
        <f t="shared" si="36"/>
        <v>17900</v>
      </c>
      <c r="O40" s="20">
        <f t="shared" si="26"/>
        <v>8950</v>
      </c>
      <c r="P40" s="20">
        <f t="shared" si="27"/>
        <v>4475</v>
      </c>
      <c r="Q40" s="20">
        <f t="shared" si="28"/>
        <v>4475</v>
      </c>
      <c r="R40" s="20">
        <v>0</v>
      </c>
      <c r="S40" s="20">
        <f t="shared" si="29"/>
        <v>35800</v>
      </c>
      <c r="T40" s="20">
        <v>0</v>
      </c>
      <c r="U40" s="22">
        <v>25</v>
      </c>
      <c r="V40" s="22">
        <v>4</v>
      </c>
      <c r="W40" s="22">
        <v>0</v>
      </c>
      <c r="X40" s="22">
        <f t="shared" si="30"/>
        <v>29</v>
      </c>
      <c r="Y40" s="20">
        <f t="shared" si="37"/>
        <v>34606.666666666664</v>
      </c>
      <c r="Z40" s="42">
        <v>265</v>
      </c>
      <c r="AA40" s="20">
        <f t="shared" si="31"/>
        <v>34871.666666666664</v>
      </c>
      <c r="AB40" s="20">
        <f t="shared" si="38"/>
        <v>14916.666666666666</v>
      </c>
      <c r="AC40" s="20">
        <v>0</v>
      </c>
      <c r="AD40" s="20">
        <v>0</v>
      </c>
      <c r="AE40" s="20">
        <v>0</v>
      </c>
      <c r="AF40" s="20">
        <v>0</v>
      </c>
      <c r="AG40" s="20">
        <f t="shared" si="32"/>
        <v>200</v>
      </c>
      <c r="AH40" s="24">
        <v>0</v>
      </c>
      <c r="AI40" s="80">
        <v>0</v>
      </c>
      <c r="AJ40" s="24">
        <v>0</v>
      </c>
      <c r="AK40" s="24">
        <v>0</v>
      </c>
      <c r="AL40" s="24">
        <v>0</v>
      </c>
      <c r="AM40" s="25">
        <f t="shared" si="33"/>
        <v>0</v>
      </c>
      <c r="AN40" s="26">
        <f t="shared" si="34"/>
        <v>34671.666666666664</v>
      </c>
      <c r="AO40" s="56"/>
      <c r="AP40" s="56"/>
      <c r="AQ40" s="170" t="s">
        <v>300</v>
      </c>
      <c r="AR40" s="56"/>
      <c r="AS40" s="56"/>
      <c r="AT40" s="57"/>
      <c r="AU40" s="58"/>
      <c r="AV40" s="53"/>
      <c r="AW40" s="54"/>
      <c r="AX40" s="51"/>
      <c r="AY40" s="51"/>
      <c r="AZ40" s="51"/>
      <c r="BA40" s="51"/>
      <c r="BC40" s="153">
        <f t="shared" si="40"/>
        <v>34871.666666666664</v>
      </c>
    </row>
    <row r="41" spans="2:55" s="50" customFormat="1" ht="15.75" x14ac:dyDescent="0.25">
      <c r="B41" s="196">
        <v>31000</v>
      </c>
      <c r="C41" s="198">
        <v>28050</v>
      </c>
      <c r="D41" s="15">
        <v>25500</v>
      </c>
      <c r="E41" s="16" t="s">
        <v>438</v>
      </c>
      <c r="F41" s="104" t="s">
        <v>158</v>
      </c>
      <c r="G41" s="112">
        <v>44805</v>
      </c>
      <c r="H41" s="51"/>
      <c r="I41" s="51"/>
      <c r="J41" s="41">
        <f t="shared" si="39"/>
        <v>23</v>
      </c>
      <c r="K41" s="86" t="s">
        <v>112</v>
      </c>
      <c r="L41" s="52" t="s">
        <v>115</v>
      </c>
      <c r="M41" s="33">
        <v>31000</v>
      </c>
      <c r="N41" s="20">
        <f t="shared" si="36"/>
        <v>15500</v>
      </c>
      <c r="O41" s="20">
        <f t="shared" si="26"/>
        <v>7750</v>
      </c>
      <c r="P41" s="20">
        <f t="shared" si="27"/>
        <v>3875</v>
      </c>
      <c r="Q41" s="20">
        <f t="shared" si="28"/>
        <v>3875</v>
      </c>
      <c r="R41" s="20">
        <v>0</v>
      </c>
      <c r="S41" s="20">
        <f t="shared" si="29"/>
        <v>31000</v>
      </c>
      <c r="T41" s="20">
        <v>0</v>
      </c>
      <c r="U41" s="22">
        <v>25</v>
      </c>
      <c r="V41" s="22">
        <v>4</v>
      </c>
      <c r="W41" s="22">
        <v>0</v>
      </c>
      <c r="X41" s="22">
        <f t="shared" si="30"/>
        <v>29</v>
      </c>
      <c r="Y41" s="20">
        <f t="shared" si="37"/>
        <v>29966.666666666664</v>
      </c>
      <c r="Z41" s="42">
        <v>230</v>
      </c>
      <c r="AA41" s="20">
        <f t="shared" si="31"/>
        <v>30196.666666666664</v>
      </c>
      <c r="AB41" s="20">
        <f t="shared" si="38"/>
        <v>12916.666666666666</v>
      </c>
      <c r="AC41" s="20">
        <v>0</v>
      </c>
      <c r="AD41" s="20">
        <v>0</v>
      </c>
      <c r="AE41" s="20">
        <v>0</v>
      </c>
      <c r="AF41" s="20">
        <v>0</v>
      </c>
      <c r="AG41" s="20">
        <f t="shared" si="32"/>
        <v>200</v>
      </c>
      <c r="AH41" s="24"/>
      <c r="AI41" s="80">
        <v>2000</v>
      </c>
      <c r="AJ41" s="24">
        <v>0</v>
      </c>
      <c r="AK41" s="24">
        <v>0</v>
      </c>
      <c r="AL41" s="24">
        <v>0</v>
      </c>
      <c r="AM41" s="25">
        <f t="shared" si="33"/>
        <v>2000</v>
      </c>
      <c r="AN41" s="26">
        <f t="shared" si="34"/>
        <v>27996.666666666664</v>
      </c>
      <c r="AO41" s="56"/>
      <c r="AP41" s="56"/>
      <c r="AQ41" s="170" t="s">
        <v>301</v>
      </c>
      <c r="AR41" s="56"/>
      <c r="AS41" s="56"/>
      <c r="AT41" s="57"/>
      <c r="AU41" s="58"/>
      <c r="AV41" s="53"/>
      <c r="AW41" s="54"/>
      <c r="AX41" s="51"/>
      <c r="AY41" s="51"/>
      <c r="AZ41" s="51"/>
      <c r="BA41" s="51"/>
      <c r="BC41" s="153">
        <f t="shared" si="40"/>
        <v>28196.666666666664</v>
      </c>
    </row>
    <row r="42" spans="2:55" s="50" customFormat="1" ht="15.75" x14ac:dyDescent="0.25">
      <c r="B42" s="198">
        <v>28000</v>
      </c>
      <c r="C42" s="155">
        <v>0</v>
      </c>
      <c r="D42" s="78">
        <v>26400</v>
      </c>
      <c r="E42" s="16" t="s">
        <v>187</v>
      </c>
      <c r="F42" s="104" t="s">
        <v>150</v>
      </c>
      <c r="G42" s="112">
        <v>44805</v>
      </c>
      <c r="H42" s="51"/>
      <c r="I42" s="51"/>
      <c r="J42" s="41">
        <f t="shared" si="39"/>
        <v>24</v>
      </c>
      <c r="K42" s="86" t="s">
        <v>112</v>
      </c>
      <c r="L42" s="132" t="s">
        <v>113</v>
      </c>
      <c r="M42" s="33">
        <v>28000</v>
      </c>
      <c r="N42" s="20">
        <f t="shared" si="36"/>
        <v>14000</v>
      </c>
      <c r="O42" s="20">
        <f t="shared" si="26"/>
        <v>7000</v>
      </c>
      <c r="P42" s="20">
        <f t="shared" si="27"/>
        <v>3500</v>
      </c>
      <c r="Q42" s="20">
        <f t="shared" si="28"/>
        <v>3500</v>
      </c>
      <c r="R42" s="20">
        <v>0</v>
      </c>
      <c r="S42" s="20">
        <f t="shared" si="29"/>
        <v>28000</v>
      </c>
      <c r="T42" s="20">
        <v>0</v>
      </c>
      <c r="U42" s="22">
        <v>26</v>
      </c>
      <c r="V42" s="22">
        <v>4</v>
      </c>
      <c r="W42" s="22">
        <v>0</v>
      </c>
      <c r="X42" s="22">
        <f t="shared" si="30"/>
        <v>30</v>
      </c>
      <c r="Y42" s="20">
        <f t="shared" si="37"/>
        <v>28000</v>
      </c>
      <c r="Z42" s="20">
        <v>0</v>
      </c>
      <c r="AA42" s="20">
        <f t="shared" si="31"/>
        <v>28000</v>
      </c>
      <c r="AB42" s="20">
        <f t="shared" si="38"/>
        <v>12133.333333333334</v>
      </c>
      <c r="AC42" s="20">
        <v>0</v>
      </c>
      <c r="AD42" s="20">
        <v>0</v>
      </c>
      <c r="AE42" s="20">
        <v>0</v>
      </c>
      <c r="AF42" s="20">
        <v>0</v>
      </c>
      <c r="AG42" s="20">
        <f t="shared" si="32"/>
        <v>200</v>
      </c>
      <c r="AH42" s="24"/>
      <c r="AI42" s="80">
        <v>0</v>
      </c>
      <c r="AJ42" s="24">
        <v>0</v>
      </c>
      <c r="AK42" s="24">
        <v>0</v>
      </c>
      <c r="AL42" s="24">
        <v>0</v>
      </c>
      <c r="AM42" s="25">
        <f t="shared" si="33"/>
        <v>0</v>
      </c>
      <c r="AN42" s="26">
        <f t="shared" si="34"/>
        <v>27800</v>
      </c>
      <c r="AO42" s="56"/>
      <c r="AP42" s="56"/>
      <c r="AQ42" s="165" t="s">
        <v>332</v>
      </c>
      <c r="AR42" s="56"/>
      <c r="AS42" s="56"/>
      <c r="AT42" s="57"/>
      <c r="AU42" s="58"/>
      <c r="AV42" s="53"/>
      <c r="AW42" s="54"/>
      <c r="AX42" s="51"/>
      <c r="AY42" s="51"/>
      <c r="AZ42" s="51"/>
      <c r="BA42" s="51"/>
      <c r="BC42" s="152">
        <f t="shared" si="40"/>
        <v>28000</v>
      </c>
    </row>
    <row r="43" spans="2:55" s="50" customFormat="1" ht="15.75" x14ac:dyDescent="0.25">
      <c r="B43" s="196"/>
      <c r="C43" s="103"/>
      <c r="D43" s="15">
        <v>40200</v>
      </c>
      <c r="E43" s="16" t="s">
        <v>135</v>
      </c>
      <c r="F43" s="104" t="s">
        <v>150</v>
      </c>
      <c r="G43" s="112">
        <v>44866</v>
      </c>
      <c r="H43" s="51"/>
      <c r="I43" s="51"/>
      <c r="J43" s="41">
        <f t="shared" si="39"/>
        <v>25</v>
      </c>
      <c r="K43" s="86" t="s">
        <v>121</v>
      </c>
      <c r="L43" s="52" t="s">
        <v>116</v>
      </c>
      <c r="M43" s="33">
        <v>40200</v>
      </c>
      <c r="N43" s="20">
        <f t="shared" si="36"/>
        <v>20100</v>
      </c>
      <c r="O43" s="20">
        <f t="shared" si="26"/>
        <v>10050</v>
      </c>
      <c r="P43" s="20">
        <f t="shared" si="27"/>
        <v>5025</v>
      </c>
      <c r="Q43" s="20">
        <f t="shared" si="28"/>
        <v>5025</v>
      </c>
      <c r="R43" s="20">
        <v>0</v>
      </c>
      <c r="S43" s="20">
        <f t="shared" si="29"/>
        <v>40200</v>
      </c>
      <c r="T43" s="20">
        <v>0</v>
      </c>
      <c r="U43" s="22">
        <v>26</v>
      </c>
      <c r="V43" s="22">
        <v>4</v>
      </c>
      <c r="W43" s="22">
        <v>0</v>
      </c>
      <c r="X43" s="22">
        <f t="shared" si="30"/>
        <v>30</v>
      </c>
      <c r="Y43" s="20">
        <f t="shared" si="37"/>
        <v>40200</v>
      </c>
      <c r="Z43" s="20">
        <v>0</v>
      </c>
      <c r="AA43" s="20">
        <f t="shared" si="31"/>
        <v>40200</v>
      </c>
      <c r="AB43" s="20">
        <f t="shared" si="38"/>
        <v>17420</v>
      </c>
      <c r="AC43" s="20">
        <v>0</v>
      </c>
      <c r="AD43" s="20">
        <v>0</v>
      </c>
      <c r="AE43" s="20">
        <v>0</v>
      </c>
      <c r="AF43" s="20">
        <v>0</v>
      </c>
      <c r="AG43" s="20">
        <f t="shared" si="32"/>
        <v>200</v>
      </c>
      <c r="AH43" s="24"/>
      <c r="AI43" s="80">
        <v>0</v>
      </c>
      <c r="AJ43" s="24">
        <v>0</v>
      </c>
      <c r="AK43" s="24">
        <v>0</v>
      </c>
      <c r="AL43" s="24">
        <v>0</v>
      </c>
      <c r="AM43" s="25">
        <f t="shared" si="33"/>
        <v>0</v>
      </c>
      <c r="AN43" s="26">
        <f t="shared" si="34"/>
        <v>40000</v>
      </c>
      <c r="AO43" s="51"/>
      <c r="AP43" s="51"/>
      <c r="AQ43" s="165" t="s">
        <v>344</v>
      </c>
      <c r="AR43" s="51"/>
      <c r="AS43" s="51"/>
      <c r="AT43" s="51"/>
      <c r="AU43" s="58"/>
      <c r="AV43" s="53"/>
      <c r="AW43" s="54"/>
      <c r="AX43" s="51"/>
      <c r="AY43" s="51"/>
      <c r="AZ43" s="51"/>
      <c r="BA43" s="51"/>
      <c r="BC43" s="152">
        <f t="shared" si="40"/>
        <v>40200</v>
      </c>
    </row>
    <row r="44" spans="2:55" s="50" customFormat="1" ht="15.75" x14ac:dyDescent="0.25">
      <c r="B44" s="162"/>
      <c r="C44" s="198">
        <v>0</v>
      </c>
      <c r="D44" s="140">
        <v>13200</v>
      </c>
      <c r="E44" s="16" t="s">
        <v>438</v>
      </c>
      <c r="F44" s="104" t="s">
        <v>159</v>
      </c>
      <c r="G44" s="112">
        <v>45047</v>
      </c>
      <c r="H44" s="51"/>
      <c r="I44" s="51"/>
      <c r="J44" s="41">
        <f t="shared" si="39"/>
        <v>26</v>
      </c>
      <c r="K44" s="86" t="s">
        <v>172</v>
      </c>
      <c r="L44" s="84" t="s">
        <v>168</v>
      </c>
      <c r="M44" s="33">
        <v>26800</v>
      </c>
      <c r="N44" s="20">
        <f t="shared" si="36"/>
        <v>13897</v>
      </c>
      <c r="O44" s="20">
        <f t="shared" si="26"/>
        <v>6452</v>
      </c>
      <c r="P44" s="20">
        <f t="shared" si="27"/>
        <v>3226</v>
      </c>
      <c r="Q44" s="20">
        <f t="shared" si="28"/>
        <v>3226</v>
      </c>
      <c r="R44" s="20">
        <v>0</v>
      </c>
      <c r="S44" s="20">
        <f t="shared" si="29"/>
        <v>26801</v>
      </c>
      <c r="T44" s="20">
        <v>0</v>
      </c>
      <c r="U44" s="22">
        <v>13</v>
      </c>
      <c r="V44" s="22">
        <v>2</v>
      </c>
      <c r="W44" s="22">
        <v>0</v>
      </c>
      <c r="X44" s="22">
        <f t="shared" si="30"/>
        <v>15</v>
      </c>
      <c r="Y44" s="20">
        <f t="shared" si="37"/>
        <v>13400</v>
      </c>
      <c r="Z44" s="42">
        <v>0</v>
      </c>
      <c r="AA44" s="20">
        <f t="shared" si="31"/>
        <v>13400</v>
      </c>
      <c r="AB44" s="20">
        <f t="shared" si="38"/>
        <v>6022.0333333333338</v>
      </c>
      <c r="AC44" s="20">
        <v>0</v>
      </c>
      <c r="AD44" s="20">
        <v>0</v>
      </c>
      <c r="AE44" s="20">
        <v>0</v>
      </c>
      <c r="AF44" s="20">
        <v>0</v>
      </c>
      <c r="AG44" s="20">
        <f t="shared" si="32"/>
        <v>200</v>
      </c>
      <c r="AH44" s="24"/>
      <c r="AI44" s="80">
        <v>0</v>
      </c>
      <c r="AJ44" s="24">
        <v>0</v>
      </c>
      <c r="AK44" s="24">
        <v>0</v>
      </c>
      <c r="AL44" s="24">
        <v>0</v>
      </c>
      <c r="AM44" s="25">
        <f t="shared" si="33"/>
        <v>0</v>
      </c>
      <c r="AN44" s="26">
        <f t="shared" si="34"/>
        <v>13200</v>
      </c>
      <c r="AO44" s="56"/>
      <c r="AP44" s="56"/>
      <c r="AQ44" s="171" t="s">
        <v>398</v>
      </c>
      <c r="AR44" s="56"/>
      <c r="AS44" s="56"/>
      <c r="AT44" s="57"/>
      <c r="AU44" s="58"/>
      <c r="AV44" s="53"/>
      <c r="AW44" s="54"/>
      <c r="AX44" s="51"/>
      <c r="AY44" s="51"/>
      <c r="AZ44" s="51"/>
      <c r="BA44" s="51"/>
      <c r="BC44" s="152">
        <f t="shared" si="40"/>
        <v>13400</v>
      </c>
    </row>
    <row r="45" spans="2:55" s="50" customFormat="1" ht="15.75" x14ac:dyDescent="0.25">
      <c r="B45" s="198">
        <v>48400</v>
      </c>
      <c r="C45" s="155">
        <v>44000</v>
      </c>
      <c r="D45" s="78">
        <v>40000</v>
      </c>
      <c r="E45" s="30" t="s">
        <v>232</v>
      </c>
      <c r="F45" s="104" t="s">
        <v>145</v>
      </c>
      <c r="G45" s="112">
        <v>44866</v>
      </c>
      <c r="H45" s="51"/>
      <c r="I45" s="51"/>
      <c r="J45" s="41">
        <f t="shared" si="39"/>
        <v>27</v>
      </c>
      <c r="K45" s="86" t="s">
        <v>121</v>
      </c>
      <c r="L45" s="52" t="s">
        <v>118</v>
      </c>
      <c r="M45" s="33">
        <v>48400</v>
      </c>
      <c r="N45" s="20">
        <f t="shared" si="36"/>
        <v>24200</v>
      </c>
      <c r="O45" s="20">
        <f t="shared" si="26"/>
        <v>12100</v>
      </c>
      <c r="P45" s="20">
        <f t="shared" si="27"/>
        <v>6050</v>
      </c>
      <c r="Q45" s="20">
        <f t="shared" si="28"/>
        <v>6050</v>
      </c>
      <c r="R45" s="20">
        <v>0</v>
      </c>
      <c r="S45" s="20">
        <f t="shared" si="29"/>
        <v>48400</v>
      </c>
      <c r="T45" s="20">
        <v>0</v>
      </c>
      <c r="U45" s="22">
        <v>26</v>
      </c>
      <c r="V45" s="22">
        <v>4</v>
      </c>
      <c r="W45" s="22">
        <v>0</v>
      </c>
      <c r="X45" s="22">
        <f t="shared" si="30"/>
        <v>30</v>
      </c>
      <c r="Y45" s="20">
        <f t="shared" si="37"/>
        <v>48400</v>
      </c>
      <c r="Z45" s="20">
        <v>0</v>
      </c>
      <c r="AA45" s="20">
        <f t="shared" si="31"/>
        <v>48400</v>
      </c>
      <c r="AB45" s="20">
        <f t="shared" si="38"/>
        <v>20973.333333333332</v>
      </c>
      <c r="AC45" s="20">
        <v>0</v>
      </c>
      <c r="AD45" s="20">
        <v>0</v>
      </c>
      <c r="AE45" s="20">
        <v>0</v>
      </c>
      <c r="AF45" s="20">
        <v>0</v>
      </c>
      <c r="AG45" s="20">
        <f t="shared" si="32"/>
        <v>200</v>
      </c>
      <c r="AH45" s="24"/>
      <c r="AI45" s="80">
        <v>0</v>
      </c>
      <c r="AJ45" s="24">
        <v>0</v>
      </c>
      <c r="AK45" s="24">
        <v>0</v>
      </c>
      <c r="AL45" s="24">
        <v>0</v>
      </c>
      <c r="AM45" s="25">
        <f t="shared" si="33"/>
        <v>0</v>
      </c>
      <c r="AN45" s="26">
        <f t="shared" si="34"/>
        <v>48200</v>
      </c>
      <c r="AO45" s="56"/>
      <c r="AP45" s="56"/>
      <c r="AQ45" s="51" t="s">
        <v>375</v>
      </c>
      <c r="AR45" s="56"/>
      <c r="AS45" s="56"/>
      <c r="AT45" s="57"/>
      <c r="AU45" s="58"/>
      <c r="AV45" s="53"/>
      <c r="AW45" s="54"/>
      <c r="AX45" s="51"/>
      <c r="AY45" s="51"/>
      <c r="AZ45" s="51"/>
      <c r="BA45" s="51"/>
      <c r="BC45" s="152">
        <f t="shared" si="40"/>
        <v>48400</v>
      </c>
    </row>
    <row r="46" spans="2:55" s="50" customFormat="1" ht="15.75" x14ac:dyDescent="0.25">
      <c r="B46" s="198">
        <v>28875</v>
      </c>
      <c r="C46" s="155">
        <v>27500</v>
      </c>
      <c r="D46" s="15">
        <v>26500</v>
      </c>
      <c r="E46" s="30" t="s">
        <v>233</v>
      </c>
      <c r="F46" s="104" t="s">
        <v>146</v>
      </c>
      <c r="G46" s="112">
        <v>44866</v>
      </c>
      <c r="H46" s="51"/>
      <c r="I46" s="51"/>
      <c r="J46" s="41">
        <f t="shared" si="39"/>
        <v>28</v>
      </c>
      <c r="K46" s="86" t="s">
        <v>121</v>
      </c>
      <c r="L46" s="52" t="s">
        <v>119</v>
      </c>
      <c r="M46" s="33">
        <v>28875</v>
      </c>
      <c r="N46" s="20">
        <f t="shared" si="36"/>
        <v>14438</v>
      </c>
      <c r="O46" s="20">
        <f t="shared" si="26"/>
        <v>7219</v>
      </c>
      <c r="P46" s="20">
        <f t="shared" si="27"/>
        <v>3610</v>
      </c>
      <c r="Q46" s="20">
        <f t="shared" si="28"/>
        <v>3610</v>
      </c>
      <c r="R46" s="20">
        <v>0</v>
      </c>
      <c r="S46" s="20">
        <f t="shared" si="29"/>
        <v>28877</v>
      </c>
      <c r="T46" s="20">
        <v>0</v>
      </c>
      <c r="U46" s="22">
        <v>24</v>
      </c>
      <c r="V46" s="22">
        <v>3</v>
      </c>
      <c r="W46" s="22">
        <v>0</v>
      </c>
      <c r="X46" s="22">
        <f t="shared" si="30"/>
        <v>27</v>
      </c>
      <c r="Y46" s="20">
        <f t="shared" si="37"/>
        <v>25987.5</v>
      </c>
      <c r="Z46" s="20">
        <v>0</v>
      </c>
      <c r="AA46" s="20">
        <f t="shared" si="31"/>
        <v>25987.5</v>
      </c>
      <c r="AB46" s="20">
        <f t="shared" si="38"/>
        <v>11550.4</v>
      </c>
      <c r="AC46" s="20">
        <v>0</v>
      </c>
      <c r="AD46" s="20">
        <v>0</v>
      </c>
      <c r="AE46" s="20">
        <v>0</v>
      </c>
      <c r="AF46" s="20">
        <v>0</v>
      </c>
      <c r="AG46" s="20">
        <f t="shared" si="32"/>
        <v>200</v>
      </c>
      <c r="AH46" s="24"/>
      <c r="AI46" s="80">
        <v>0</v>
      </c>
      <c r="AJ46" s="24">
        <v>0</v>
      </c>
      <c r="AK46" s="24">
        <v>0</v>
      </c>
      <c r="AL46" s="24">
        <v>0</v>
      </c>
      <c r="AM46" s="25">
        <f t="shared" si="33"/>
        <v>0</v>
      </c>
      <c r="AN46" s="26">
        <f t="shared" si="34"/>
        <v>25787.5</v>
      </c>
      <c r="AO46" s="56"/>
      <c r="AP46" s="56"/>
      <c r="AQ46" s="172" t="s">
        <v>388</v>
      </c>
      <c r="AR46" s="56"/>
      <c r="AS46" s="56"/>
      <c r="AT46" s="57"/>
      <c r="AU46" s="58"/>
      <c r="AV46" s="53"/>
      <c r="AW46" s="54"/>
      <c r="AX46" s="51"/>
      <c r="AY46" s="51"/>
      <c r="AZ46" s="51"/>
      <c r="BA46" s="51"/>
      <c r="BC46" s="152">
        <f t="shared" si="40"/>
        <v>25987.5</v>
      </c>
    </row>
    <row r="47" spans="2:55" s="50" customFormat="1" ht="15.75" x14ac:dyDescent="0.25">
      <c r="B47" s="198">
        <v>46200</v>
      </c>
      <c r="C47" s="155">
        <v>44000</v>
      </c>
      <c r="D47" s="15">
        <v>40000</v>
      </c>
      <c r="E47" s="30" t="s">
        <v>233</v>
      </c>
      <c r="F47" s="104" t="s">
        <v>145</v>
      </c>
      <c r="G47" s="112">
        <v>44866</v>
      </c>
      <c r="H47" s="51"/>
      <c r="I47" s="51"/>
      <c r="J47" s="41">
        <f t="shared" si="39"/>
        <v>29</v>
      </c>
      <c r="K47" s="86" t="s">
        <v>121</v>
      </c>
      <c r="L47" s="52" t="s">
        <v>120</v>
      </c>
      <c r="M47" s="33">
        <v>46200</v>
      </c>
      <c r="N47" s="20">
        <f t="shared" si="36"/>
        <v>23100</v>
      </c>
      <c r="O47" s="20">
        <f t="shared" si="26"/>
        <v>11550</v>
      </c>
      <c r="P47" s="20">
        <f t="shared" si="27"/>
        <v>5775</v>
      </c>
      <c r="Q47" s="20">
        <f t="shared" si="28"/>
        <v>5775</v>
      </c>
      <c r="R47" s="20">
        <v>0</v>
      </c>
      <c r="S47" s="20">
        <f t="shared" si="29"/>
        <v>46200</v>
      </c>
      <c r="T47" s="20">
        <v>0</v>
      </c>
      <c r="U47" s="22">
        <v>25</v>
      </c>
      <c r="V47" s="22">
        <v>4</v>
      </c>
      <c r="W47" s="22">
        <v>0</v>
      </c>
      <c r="X47" s="22">
        <f t="shared" si="30"/>
        <v>29</v>
      </c>
      <c r="Y47" s="20">
        <f t="shared" si="37"/>
        <v>44660</v>
      </c>
      <c r="Z47" s="20">
        <v>0</v>
      </c>
      <c r="AA47" s="20">
        <f t="shared" si="31"/>
        <v>44660</v>
      </c>
      <c r="AB47" s="20">
        <f t="shared" si="38"/>
        <v>19250</v>
      </c>
      <c r="AC47" s="20">
        <v>0</v>
      </c>
      <c r="AD47" s="20">
        <v>0</v>
      </c>
      <c r="AE47" s="20">
        <v>0</v>
      </c>
      <c r="AF47" s="20">
        <v>0</v>
      </c>
      <c r="AG47" s="20">
        <f t="shared" si="32"/>
        <v>200</v>
      </c>
      <c r="AH47" s="24"/>
      <c r="AI47" s="80">
        <v>0</v>
      </c>
      <c r="AJ47" s="24">
        <v>0</v>
      </c>
      <c r="AK47" s="24">
        <v>0</v>
      </c>
      <c r="AL47" s="24">
        <v>0</v>
      </c>
      <c r="AM47" s="25">
        <f t="shared" si="33"/>
        <v>0</v>
      </c>
      <c r="AN47" s="26">
        <f t="shared" si="34"/>
        <v>44460</v>
      </c>
      <c r="AO47" s="56"/>
      <c r="AP47" s="56"/>
      <c r="AQ47" s="51" t="s">
        <v>376</v>
      </c>
      <c r="AR47" s="56"/>
      <c r="AS47" s="56"/>
      <c r="AT47" s="57"/>
      <c r="AU47" s="58"/>
      <c r="AV47" s="53"/>
      <c r="AW47" s="54"/>
      <c r="AX47" s="51"/>
      <c r="AY47" s="51"/>
      <c r="AZ47" s="51"/>
      <c r="BA47" s="51"/>
      <c r="BC47" s="152">
        <f t="shared" si="40"/>
        <v>44660</v>
      </c>
    </row>
    <row r="48" spans="2:55" s="50" customFormat="1" ht="15.75" x14ac:dyDescent="0.25">
      <c r="B48" s="196"/>
      <c r="C48" s="103"/>
      <c r="D48" s="15">
        <v>55000</v>
      </c>
      <c r="E48" s="16" t="s">
        <v>135</v>
      </c>
      <c r="F48" s="104" t="s">
        <v>153</v>
      </c>
      <c r="G48" s="112">
        <v>44896</v>
      </c>
      <c r="H48" s="51"/>
      <c r="I48" s="51"/>
      <c r="J48" s="41">
        <f t="shared" si="39"/>
        <v>30</v>
      </c>
      <c r="K48" s="86" t="s">
        <v>122</v>
      </c>
      <c r="L48" s="52" t="s">
        <v>123</v>
      </c>
      <c r="M48" s="33">
        <v>55200</v>
      </c>
      <c r="N48" s="20">
        <f t="shared" si="36"/>
        <v>27600</v>
      </c>
      <c r="O48" s="20">
        <f t="shared" si="26"/>
        <v>13800</v>
      </c>
      <c r="P48" s="20">
        <f t="shared" si="27"/>
        <v>6900</v>
      </c>
      <c r="Q48" s="20">
        <f t="shared" si="28"/>
        <v>6900</v>
      </c>
      <c r="R48" s="20">
        <v>0</v>
      </c>
      <c r="S48" s="20">
        <f t="shared" si="29"/>
        <v>55200</v>
      </c>
      <c r="T48" s="20">
        <v>0</v>
      </c>
      <c r="U48" s="22">
        <v>26</v>
      </c>
      <c r="V48" s="22">
        <v>4</v>
      </c>
      <c r="W48" s="22">
        <v>0</v>
      </c>
      <c r="X48" s="22">
        <f t="shared" si="30"/>
        <v>30</v>
      </c>
      <c r="Y48" s="20">
        <f t="shared" si="37"/>
        <v>55200</v>
      </c>
      <c r="Z48" s="20">
        <v>0</v>
      </c>
      <c r="AA48" s="20">
        <f t="shared" si="31"/>
        <v>55200</v>
      </c>
      <c r="AB48" s="20">
        <f t="shared" si="38"/>
        <v>23920</v>
      </c>
      <c r="AC48" s="20">
        <v>0</v>
      </c>
      <c r="AD48" s="20">
        <v>0</v>
      </c>
      <c r="AE48" s="20">
        <v>0</v>
      </c>
      <c r="AF48" s="20">
        <v>0</v>
      </c>
      <c r="AG48" s="20">
        <f t="shared" si="32"/>
        <v>200</v>
      </c>
      <c r="AH48" s="24"/>
      <c r="AI48" s="80">
        <v>0</v>
      </c>
      <c r="AJ48" s="24">
        <v>0</v>
      </c>
      <c r="AK48" s="24">
        <v>0</v>
      </c>
      <c r="AL48" s="24">
        <v>0</v>
      </c>
      <c r="AM48" s="25">
        <f t="shared" si="33"/>
        <v>0</v>
      </c>
      <c r="AN48" s="26">
        <f t="shared" si="34"/>
        <v>55000</v>
      </c>
      <c r="AO48" s="51"/>
      <c r="AP48" s="51"/>
      <c r="AQ48" s="51" t="s">
        <v>320</v>
      </c>
      <c r="AR48" s="51"/>
      <c r="AS48" s="51"/>
      <c r="AT48" s="51"/>
      <c r="AU48" s="58"/>
      <c r="AV48" s="53"/>
      <c r="AW48" s="54"/>
      <c r="AX48" s="51"/>
      <c r="AY48" s="51"/>
      <c r="AZ48" s="51"/>
      <c r="BA48" s="51"/>
      <c r="BC48" s="152">
        <f t="shared" si="40"/>
        <v>55200</v>
      </c>
    </row>
    <row r="49" spans="2:55" s="50" customFormat="1" ht="15.75" x14ac:dyDescent="0.25">
      <c r="B49" s="196"/>
      <c r="C49" s="103"/>
      <c r="D49" s="15">
        <v>50200</v>
      </c>
      <c r="E49" s="16" t="s">
        <v>135</v>
      </c>
      <c r="F49" s="104" t="s">
        <v>150</v>
      </c>
      <c r="G49" s="112">
        <v>44896</v>
      </c>
      <c r="H49" s="51"/>
      <c r="I49" s="51"/>
      <c r="J49" s="41">
        <f t="shared" si="39"/>
        <v>31</v>
      </c>
      <c r="K49" s="86" t="s">
        <v>122</v>
      </c>
      <c r="L49" s="52" t="s">
        <v>126</v>
      </c>
      <c r="M49" s="33">
        <v>50000</v>
      </c>
      <c r="N49" s="20">
        <f t="shared" si="36"/>
        <v>25000</v>
      </c>
      <c r="O49" s="20">
        <f t="shared" si="26"/>
        <v>12500</v>
      </c>
      <c r="P49" s="20">
        <f t="shared" si="27"/>
        <v>6250</v>
      </c>
      <c r="Q49" s="20">
        <f t="shared" si="28"/>
        <v>6250</v>
      </c>
      <c r="R49" s="20">
        <v>0</v>
      </c>
      <c r="S49" s="20">
        <f t="shared" si="29"/>
        <v>50000</v>
      </c>
      <c r="T49" s="20">
        <v>0</v>
      </c>
      <c r="U49" s="22">
        <v>26</v>
      </c>
      <c r="V49" s="22">
        <v>4</v>
      </c>
      <c r="W49" s="22">
        <v>0</v>
      </c>
      <c r="X49" s="22">
        <f t="shared" si="30"/>
        <v>30</v>
      </c>
      <c r="Y49" s="20">
        <f t="shared" si="37"/>
        <v>50000</v>
      </c>
      <c r="Z49" s="20">
        <v>0</v>
      </c>
      <c r="AA49" s="20">
        <f t="shared" si="31"/>
        <v>50000</v>
      </c>
      <c r="AB49" s="20">
        <f t="shared" si="38"/>
        <v>21666.666666666668</v>
      </c>
      <c r="AC49" s="20">
        <v>0</v>
      </c>
      <c r="AD49" s="20">
        <v>0</v>
      </c>
      <c r="AE49" s="20">
        <v>0</v>
      </c>
      <c r="AF49" s="20">
        <v>0</v>
      </c>
      <c r="AG49" s="20">
        <f t="shared" si="32"/>
        <v>200</v>
      </c>
      <c r="AH49" s="24"/>
      <c r="AI49" s="80">
        <v>0</v>
      </c>
      <c r="AJ49" s="24">
        <v>0</v>
      </c>
      <c r="AK49" s="24">
        <v>0</v>
      </c>
      <c r="AL49" s="24">
        <v>0</v>
      </c>
      <c r="AM49" s="25">
        <f t="shared" si="33"/>
        <v>0</v>
      </c>
      <c r="AN49" s="26">
        <f t="shared" si="34"/>
        <v>49800</v>
      </c>
      <c r="AO49" s="51"/>
      <c r="AP49" s="51"/>
      <c r="AQ49" s="172" t="s">
        <v>389</v>
      </c>
      <c r="AR49" s="51"/>
      <c r="AS49" s="51"/>
      <c r="AT49" s="51"/>
      <c r="AU49" s="58"/>
      <c r="AV49" s="53"/>
      <c r="AW49" s="54"/>
      <c r="AX49" s="51"/>
      <c r="AY49" s="51"/>
      <c r="AZ49" s="51"/>
      <c r="BA49" s="51"/>
      <c r="BC49" s="152">
        <f t="shared" si="40"/>
        <v>50000</v>
      </c>
    </row>
    <row r="50" spans="2:55" s="50" customFormat="1" ht="15.75" x14ac:dyDescent="0.25">
      <c r="B50" s="196"/>
      <c r="C50" s="103"/>
      <c r="D50" s="15">
        <v>55200</v>
      </c>
      <c r="E50" s="16" t="s">
        <v>135</v>
      </c>
      <c r="F50" s="104" t="s">
        <v>150</v>
      </c>
      <c r="G50" s="112">
        <v>44896</v>
      </c>
      <c r="H50" s="51"/>
      <c r="I50" s="51"/>
      <c r="J50" s="41">
        <f t="shared" si="39"/>
        <v>32</v>
      </c>
      <c r="K50" s="86" t="s">
        <v>122</v>
      </c>
      <c r="L50" s="52" t="s">
        <v>124</v>
      </c>
      <c r="M50" s="33">
        <v>55200</v>
      </c>
      <c r="N50" s="20">
        <f t="shared" si="36"/>
        <v>27600</v>
      </c>
      <c r="O50" s="20">
        <f t="shared" si="26"/>
        <v>13800</v>
      </c>
      <c r="P50" s="20">
        <f t="shared" si="27"/>
        <v>6900</v>
      </c>
      <c r="Q50" s="20">
        <f t="shared" si="28"/>
        <v>6900</v>
      </c>
      <c r="R50" s="20">
        <v>0</v>
      </c>
      <c r="S50" s="20">
        <f t="shared" si="29"/>
        <v>55200</v>
      </c>
      <c r="T50" s="20">
        <v>0</v>
      </c>
      <c r="U50" s="22">
        <v>26</v>
      </c>
      <c r="V50" s="22">
        <v>4</v>
      </c>
      <c r="W50" s="22">
        <v>0</v>
      </c>
      <c r="X50" s="22">
        <f t="shared" si="30"/>
        <v>30</v>
      </c>
      <c r="Y50" s="20">
        <f t="shared" si="37"/>
        <v>55200</v>
      </c>
      <c r="Z50" s="20">
        <v>0</v>
      </c>
      <c r="AA50" s="20">
        <f t="shared" si="31"/>
        <v>55200</v>
      </c>
      <c r="AB50" s="20">
        <f t="shared" si="38"/>
        <v>23920</v>
      </c>
      <c r="AC50" s="20">
        <v>0</v>
      </c>
      <c r="AD50" s="20">
        <v>0</v>
      </c>
      <c r="AE50" s="20">
        <v>0</v>
      </c>
      <c r="AF50" s="20">
        <v>0</v>
      </c>
      <c r="AG50" s="20">
        <f t="shared" si="32"/>
        <v>200</v>
      </c>
      <c r="AH50" s="24"/>
      <c r="AI50" s="80">
        <v>0</v>
      </c>
      <c r="AJ50" s="24">
        <v>0</v>
      </c>
      <c r="AK50" s="24">
        <v>0</v>
      </c>
      <c r="AL50" s="24">
        <v>0</v>
      </c>
      <c r="AM50" s="25">
        <f t="shared" si="33"/>
        <v>0</v>
      </c>
      <c r="AN50" s="26">
        <f t="shared" si="34"/>
        <v>55000</v>
      </c>
      <c r="AO50" s="51"/>
      <c r="AP50" s="51"/>
      <c r="AQ50" s="172" t="s">
        <v>384</v>
      </c>
      <c r="AR50" s="51"/>
      <c r="AS50" s="51"/>
      <c r="AT50" s="51"/>
      <c r="AU50" s="58"/>
      <c r="AV50" s="53"/>
      <c r="AW50" s="54"/>
      <c r="AX50" s="51"/>
      <c r="AY50" s="51"/>
      <c r="AZ50" s="51"/>
      <c r="BA50" s="51"/>
      <c r="BC50" s="152">
        <f t="shared" si="40"/>
        <v>55200</v>
      </c>
    </row>
    <row r="51" spans="2:55" s="50" customFormat="1" ht="15.75" x14ac:dyDescent="0.25">
      <c r="B51" s="196">
        <v>28500</v>
      </c>
      <c r="C51" s="198">
        <v>26620</v>
      </c>
      <c r="D51" s="15">
        <v>24200</v>
      </c>
      <c r="E51" s="16" t="s">
        <v>438</v>
      </c>
      <c r="F51" s="104" t="s">
        <v>154</v>
      </c>
      <c r="G51" s="112">
        <v>44866</v>
      </c>
      <c r="H51" s="51"/>
      <c r="I51" s="51"/>
      <c r="J51" s="41">
        <f t="shared" si="39"/>
        <v>33</v>
      </c>
      <c r="K51" s="86" t="s">
        <v>121</v>
      </c>
      <c r="L51" s="141" t="s">
        <v>117</v>
      </c>
      <c r="M51" s="33">
        <v>28500</v>
      </c>
      <c r="N51" s="20">
        <f t="shared" si="36"/>
        <v>14250</v>
      </c>
      <c r="O51" s="20">
        <f t="shared" si="26"/>
        <v>7125</v>
      </c>
      <c r="P51" s="20">
        <f t="shared" si="27"/>
        <v>3563</v>
      </c>
      <c r="Q51" s="20">
        <f t="shared" si="28"/>
        <v>3563</v>
      </c>
      <c r="R51" s="20">
        <v>0</v>
      </c>
      <c r="S51" s="20">
        <f t="shared" si="29"/>
        <v>28501</v>
      </c>
      <c r="T51" s="20">
        <v>0</v>
      </c>
      <c r="U51" s="22">
        <v>25</v>
      </c>
      <c r="V51" s="22">
        <v>4</v>
      </c>
      <c r="W51" s="22">
        <v>0</v>
      </c>
      <c r="X51" s="22">
        <f t="shared" si="30"/>
        <v>29</v>
      </c>
      <c r="Y51" s="20">
        <f t="shared" si="37"/>
        <v>27550</v>
      </c>
      <c r="Z51" s="42">
        <v>0</v>
      </c>
      <c r="AA51" s="20">
        <f t="shared" si="31"/>
        <v>27550</v>
      </c>
      <c r="AB51" s="20">
        <f t="shared" si="38"/>
        <v>11875</v>
      </c>
      <c r="AC51" s="20">
        <v>0</v>
      </c>
      <c r="AD51" s="20">
        <v>0</v>
      </c>
      <c r="AE51" s="20">
        <v>0</v>
      </c>
      <c r="AF51" s="20">
        <v>0</v>
      </c>
      <c r="AG51" s="20">
        <f t="shared" si="32"/>
        <v>200</v>
      </c>
      <c r="AH51" s="24"/>
      <c r="AI51" s="80">
        <v>0</v>
      </c>
      <c r="AJ51" s="24">
        <v>0</v>
      </c>
      <c r="AK51" s="24">
        <v>0</v>
      </c>
      <c r="AL51" s="24">
        <v>0</v>
      </c>
      <c r="AM51" s="25">
        <f t="shared" si="33"/>
        <v>0</v>
      </c>
      <c r="AN51" s="26">
        <f t="shared" si="34"/>
        <v>27350</v>
      </c>
      <c r="AO51" s="56"/>
      <c r="AP51" s="56"/>
      <c r="AQ51" s="4" t="s">
        <v>304</v>
      </c>
      <c r="AR51" s="56"/>
      <c r="AS51" s="56"/>
      <c r="AT51" s="57"/>
      <c r="AU51" s="58"/>
      <c r="AV51" s="53"/>
      <c r="AW51" s="54"/>
      <c r="AX51" s="51"/>
      <c r="AY51" s="51"/>
      <c r="AZ51" s="51"/>
      <c r="BA51" s="51"/>
      <c r="BC51" s="153">
        <f t="shared" si="40"/>
        <v>27550</v>
      </c>
    </row>
    <row r="52" spans="2:55" s="50" customFormat="1" ht="15.75" x14ac:dyDescent="0.25">
      <c r="B52" s="197"/>
      <c r="C52" s="103"/>
      <c r="D52" s="15">
        <v>192000</v>
      </c>
      <c r="E52" s="48" t="s">
        <v>212</v>
      </c>
      <c r="F52" s="113" t="s">
        <v>210</v>
      </c>
      <c r="G52" s="112">
        <v>44896</v>
      </c>
      <c r="H52" s="51"/>
      <c r="I52" s="51"/>
      <c r="J52" s="41">
        <f t="shared" si="39"/>
        <v>34</v>
      </c>
      <c r="K52" s="86" t="s">
        <v>122</v>
      </c>
      <c r="L52" s="88" t="s">
        <v>127</v>
      </c>
      <c r="M52" s="33">
        <v>175200</v>
      </c>
      <c r="N52" s="20">
        <f t="shared" si="36"/>
        <v>87600</v>
      </c>
      <c r="O52" s="20">
        <f t="shared" si="26"/>
        <v>43800</v>
      </c>
      <c r="P52" s="20">
        <f t="shared" si="27"/>
        <v>21900</v>
      </c>
      <c r="Q52" s="20">
        <f t="shared" si="28"/>
        <v>21900</v>
      </c>
      <c r="R52" s="20">
        <v>0</v>
      </c>
      <c r="S52" s="20">
        <f t="shared" si="29"/>
        <v>175200</v>
      </c>
      <c r="T52" s="20">
        <v>0</v>
      </c>
      <c r="U52" s="22">
        <v>26</v>
      </c>
      <c r="V52" s="22">
        <v>4</v>
      </c>
      <c r="W52" s="22">
        <v>0</v>
      </c>
      <c r="X52" s="22">
        <f t="shared" si="30"/>
        <v>30</v>
      </c>
      <c r="Y52" s="20">
        <f t="shared" si="37"/>
        <v>175200</v>
      </c>
      <c r="Z52" s="20">
        <v>0</v>
      </c>
      <c r="AA52" s="20">
        <f t="shared" si="31"/>
        <v>175200</v>
      </c>
      <c r="AB52" s="20">
        <f t="shared" si="38"/>
        <v>75920</v>
      </c>
      <c r="AC52" s="20">
        <v>0</v>
      </c>
      <c r="AD52" s="20">
        <v>0</v>
      </c>
      <c r="AE52" s="20">
        <v>0</v>
      </c>
      <c r="AF52" s="20">
        <v>0</v>
      </c>
      <c r="AG52" s="20">
        <f t="shared" si="32"/>
        <v>200</v>
      </c>
      <c r="AH52" s="24">
        <v>17000</v>
      </c>
      <c r="AI52" s="80">
        <v>0</v>
      </c>
      <c r="AJ52" s="24">
        <v>0</v>
      </c>
      <c r="AK52" s="24">
        <v>0</v>
      </c>
      <c r="AL52" s="24">
        <v>0</v>
      </c>
      <c r="AM52" s="25">
        <f t="shared" si="33"/>
        <v>0</v>
      </c>
      <c r="AN52" s="26">
        <f t="shared" si="34"/>
        <v>158000</v>
      </c>
      <c r="AO52" s="51"/>
      <c r="AP52" s="51"/>
      <c r="AQ52" s="172" t="s">
        <v>394</v>
      </c>
      <c r="AR52" s="51"/>
      <c r="AS52" s="51"/>
      <c r="AT52" s="51"/>
      <c r="AU52" s="58"/>
      <c r="AV52" s="53"/>
      <c r="AW52" s="54"/>
      <c r="AX52" s="51"/>
      <c r="AY52" s="51"/>
      <c r="AZ52" s="51"/>
      <c r="BA52" s="51"/>
      <c r="BC52" s="152">
        <f>AC52+AE52+AG52+AN52+AH52</f>
        <v>175200</v>
      </c>
    </row>
    <row r="53" spans="2:55" s="50" customFormat="1" ht="15.75" x14ac:dyDescent="0.25">
      <c r="B53" s="196"/>
      <c r="C53" s="103">
        <v>48000</v>
      </c>
      <c r="D53" s="15">
        <v>35200</v>
      </c>
      <c r="E53" s="16" t="s">
        <v>135</v>
      </c>
      <c r="F53" s="104" t="s">
        <v>150</v>
      </c>
      <c r="G53" s="112">
        <v>44927</v>
      </c>
      <c r="H53" s="51"/>
      <c r="I53" s="51"/>
      <c r="J53" s="41">
        <f t="shared" si="39"/>
        <v>35</v>
      </c>
      <c r="K53" s="86" t="s">
        <v>131</v>
      </c>
      <c r="L53" s="88" t="s">
        <v>152</v>
      </c>
      <c r="M53" s="33">
        <v>50200</v>
      </c>
      <c r="N53" s="20">
        <f t="shared" si="36"/>
        <v>25100</v>
      </c>
      <c r="O53" s="20">
        <f t="shared" si="26"/>
        <v>12550</v>
      </c>
      <c r="P53" s="20">
        <f t="shared" si="27"/>
        <v>6275</v>
      </c>
      <c r="Q53" s="20">
        <f t="shared" si="28"/>
        <v>6275</v>
      </c>
      <c r="R53" s="20">
        <v>0</v>
      </c>
      <c r="S53" s="20">
        <f t="shared" si="29"/>
        <v>50200</v>
      </c>
      <c r="T53" s="20">
        <v>0</v>
      </c>
      <c r="U53" s="22">
        <v>26</v>
      </c>
      <c r="V53" s="22">
        <v>4</v>
      </c>
      <c r="W53" s="22">
        <v>0</v>
      </c>
      <c r="X53" s="22">
        <f t="shared" si="30"/>
        <v>30</v>
      </c>
      <c r="Y53" s="20">
        <f t="shared" si="37"/>
        <v>50200</v>
      </c>
      <c r="Z53" s="20">
        <v>0</v>
      </c>
      <c r="AA53" s="20">
        <f t="shared" si="31"/>
        <v>50200</v>
      </c>
      <c r="AB53" s="20">
        <f t="shared" si="38"/>
        <v>21753.333333333332</v>
      </c>
      <c r="AC53" s="20">
        <v>0</v>
      </c>
      <c r="AD53" s="20">
        <v>0</v>
      </c>
      <c r="AE53" s="20">
        <v>0</v>
      </c>
      <c r="AF53" s="20">
        <v>0</v>
      </c>
      <c r="AG53" s="20">
        <f t="shared" si="32"/>
        <v>200</v>
      </c>
      <c r="AH53" s="24"/>
      <c r="AI53" s="80">
        <v>0</v>
      </c>
      <c r="AJ53" s="24">
        <v>0</v>
      </c>
      <c r="AK53" s="24">
        <v>0</v>
      </c>
      <c r="AL53" s="24">
        <v>0</v>
      </c>
      <c r="AM53" s="25">
        <f t="shared" si="33"/>
        <v>0</v>
      </c>
      <c r="AN53" s="26">
        <f t="shared" si="34"/>
        <v>50000</v>
      </c>
      <c r="AO53" s="51"/>
      <c r="AP53" s="51"/>
      <c r="AQ53" s="172" t="s">
        <v>401</v>
      </c>
      <c r="AR53" s="51"/>
      <c r="AS53" s="51"/>
      <c r="AT53" s="51"/>
      <c r="AU53" s="58"/>
      <c r="AV53" s="53"/>
      <c r="AW53" s="54"/>
      <c r="AX53" s="51"/>
      <c r="AY53" s="51"/>
      <c r="AZ53" s="51"/>
      <c r="BA53" s="51"/>
      <c r="BC53" s="152">
        <f t="shared" ref="BC53:BC67" si="41">AC53+AE53+AG53+AN53</f>
        <v>50200</v>
      </c>
    </row>
    <row r="54" spans="2:55" s="50" customFormat="1" ht="15.75" x14ac:dyDescent="0.25">
      <c r="B54" s="196"/>
      <c r="C54" s="103"/>
      <c r="D54" s="15">
        <v>35200</v>
      </c>
      <c r="E54" s="16" t="s">
        <v>135</v>
      </c>
      <c r="F54" s="104" t="s">
        <v>150</v>
      </c>
      <c r="G54" s="112">
        <v>44927</v>
      </c>
      <c r="H54" s="51"/>
      <c r="I54" s="51"/>
      <c r="J54" s="41">
        <f t="shared" si="39"/>
        <v>36</v>
      </c>
      <c r="K54" s="86" t="s">
        <v>131</v>
      </c>
      <c r="L54" s="88" t="s">
        <v>129</v>
      </c>
      <c r="M54" s="33">
        <v>50200</v>
      </c>
      <c r="N54" s="20">
        <f t="shared" si="36"/>
        <v>25100</v>
      </c>
      <c r="O54" s="20">
        <f t="shared" si="26"/>
        <v>12550</v>
      </c>
      <c r="P54" s="20">
        <f t="shared" si="27"/>
        <v>6275</v>
      </c>
      <c r="Q54" s="20">
        <f t="shared" si="28"/>
        <v>6275</v>
      </c>
      <c r="R54" s="20">
        <v>0</v>
      </c>
      <c r="S54" s="20">
        <f t="shared" si="29"/>
        <v>50200</v>
      </c>
      <c r="T54" s="20">
        <v>0</v>
      </c>
      <c r="U54" s="22">
        <v>26</v>
      </c>
      <c r="V54" s="22">
        <v>4</v>
      </c>
      <c r="W54" s="22">
        <v>0</v>
      </c>
      <c r="X54" s="22">
        <f t="shared" si="30"/>
        <v>30</v>
      </c>
      <c r="Y54" s="20">
        <f t="shared" si="37"/>
        <v>50200</v>
      </c>
      <c r="Z54" s="20">
        <v>0</v>
      </c>
      <c r="AA54" s="20">
        <f t="shared" si="31"/>
        <v>50200</v>
      </c>
      <c r="AB54" s="20">
        <f t="shared" si="38"/>
        <v>21753.333333333332</v>
      </c>
      <c r="AC54" s="20">
        <v>0</v>
      </c>
      <c r="AD54" s="20">
        <v>0</v>
      </c>
      <c r="AE54" s="20">
        <v>0</v>
      </c>
      <c r="AF54" s="20">
        <v>0</v>
      </c>
      <c r="AG54" s="20">
        <f t="shared" si="32"/>
        <v>200</v>
      </c>
      <c r="AH54" s="24"/>
      <c r="AI54" s="80">
        <v>0</v>
      </c>
      <c r="AJ54" s="24">
        <v>0</v>
      </c>
      <c r="AK54" s="24">
        <v>0</v>
      </c>
      <c r="AL54" s="24">
        <v>0</v>
      </c>
      <c r="AM54" s="25">
        <f t="shared" si="33"/>
        <v>0</v>
      </c>
      <c r="AN54" s="26">
        <f t="shared" si="34"/>
        <v>50000</v>
      </c>
      <c r="AO54" s="51"/>
      <c r="AP54" s="51"/>
      <c r="AQ54" s="165" t="s">
        <v>346</v>
      </c>
      <c r="AR54" s="51"/>
      <c r="AS54" s="51"/>
      <c r="AT54" s="51"/>
      <c r="AU54" s="58"/>
      <c r="AV54" s="53"/>
      <c r="AW54" s="54"/>
      <c r="AX54" s="51"/>
      <c r="AY54" s="51"/>
      <c r="AZ54" s="51"/>
      <c r="BA54" s="51"/>
      <c r="BC54" s="152">
        <f t="shared" si="41"/>
        <v>50200</v>
      </c>
    </row>
    <row r="55" spans="2:55" s="50" customFormat="1" ht="15.75" x14ac:dyDescent="0.25">
      <c r="B55" s="196"/>
      <c r="C55" s="103">
        <v>50000</v>
      </c>
      <c r="D55" s="15">
        <v>48000</v>
      </c>
      <c r="E55" s="16" t="s">
        <v>135</v>
      </c>
      <c r="F55" s="104" t="s">
        <v>150</v>
      </c>
      <c r="G55" s="112">
        <v>44927</v>
      </c>
      <c r="H55" s="51"/>
      <c r="I55" s="51"/>
      <c r="J55" s="41">
        <f t="shared" si="39"/>
        <v>37</v>
      </c>
      <c r="K55" s="86" t="s">
        <v>131</v>
      </c>
      <c r="L55" s="88" t="s">
        <v>130</v>
      </c>
      <c r="M55" s="33">
        <v>50000</v>
      </c>
      <c r="N55" s="20">
        <f t="shared" si="36"/>
        <v>25000</v>
      </c>
      <c r="O55" s="20">
        <f t="shared" si="26"/>
        <v>12500</v>
      </c>
      <c r="P55" s="20">
        <f t="shared" si="27"/>
        <v>6250</v>
      </c>
      <c r="Q55" s="20">
        <f t="shared" si="28"/>
        <v>6250</v>
      </c>
      <c r="R55" s="20">
        <v>0</v>
      </c>
      <c r="S55" s="20">
        <f t="shared" si="29"/>
        <v>50000</v>
      </c>
      <c r="T55" s="20">
        <v>0</v>
      </c>
      <c r="U55" s="22">
        <v>26</v>
      </c>
      <c r="V55" s="22">
        <v>4</v>
      </c>
      <c r="W55" s="22">
        <v>0</v>
      </c>
      <c r="X55" s="22">
        <f t="shared" si="30"/>
        <v>30</v>
      </c>
      <c r="Y55" s="20">
        <f t="shared" si="37"/>
        <v>50000</v>
      </c>
      <c r="Z55" s="20">
        <v>0</v>
      </c>
      <c r="AA55" s="20">
        <f t="shared" si="31"/>
        <v>50000</v>
      </c>
      <c r="AB55" s="20">
        <f t="shared" si="38"/>
        <v>21666.666666666668</v>
      </c>
      <c r="AC55" s="20">
        <v>0</v>
      </c>
      <c r="AD55" s="20">
        <v>0</v>
      </c>
      <c r="AE55" s="20">
        <v>0</v>
      </c>
      <c r="AF55" s="20">
        <v>0</v>
      </c>
      <c r="AG55" s="20">
        <f t="shared" si="32"/>
        <v>200</v>
      </c>
      <c r="AH55" s="24"/>
      <c r="AI55" s="80">
        <v>0</v>
      </c>
      <c r="AJ55" s="24">
        <v>0</v>
      </c>
      <c r="AK55" s="24">
        <v>0</v>
      </c>
      <c r="AL55" s="24">
        <v>0</v>
      </c>
      <c r="AM55" s="25">
        <f t="shared" si="33"/>
        <v>0</v>
      </c>
      <c r="AN55" s="26">
        <f t="shared" si="34"/>
        <v>49800</v>
      </c>
      <c r="AO55" s="51"/>
      <c r="AP55" s="51"/>
      <c r="AQ55" s="165" t="s">
        <v>316</v>
      </c>
      <c r="AR55" s="51"/>
      <c r="AS55" s="51"/>
      <c r="AT55" s="51"/>
      <c r="AU55" s="58"/>
      <c r="AV55" s="53"/>
      <c r="AW55" s="54"/>
      <c r="AX55" s="51"/>
      <c r="AY55" s="51"/>
      <c r="AZ55" s="51"/>
      <c r="BA55" s="51"/>
      <c r="BC55" s="152">
        <f t="shared" si="41"/>
        <v>50000</v>
      </c>
    </row>
    <row r="56" spans="2:55" s="50" customFormat="1" ht="15.75" x14ac:dyDescent="0.25">
      <c r="B56" s="196"/>
      <c r="C56" s="103"/>
      <c r="D56" s="77">
        <v>50200</v>
      </c>
      <c r="E56" s="16" t="s">
        <v>135</v>
      </c>
      <c r="F56" s="224" t="s">
        <v>181</v>
      </c>
      <c r="G56" s="112">
        <v>44927</v>
      </c>
      <c r="H56" s="51"/>
      <c r="I56" s="51"/>
      <c r="J56" s="41">
        <f t="shared" si="39"/>
        <v>38</v>
      </c>
      <c r="K56" s="86" t="s">
        <v>131</v>
      </c>
      <c r="L56" s="88" t="s">
        <v>132</v>
      </c>
      <c r="M56" s="33">
        <v>50200</v>
      </c>
      <c r="N56" s="20">
        <f t="shared" si="36"/>
        <v>25100</v>
      </c>
      <c r="O56" s="20">
        <f t="shared" si="26"/>
        <v>12550</v>
      </c>
      <c r="P56" s="20">
        <f t="shared" si="27"/>
        <v>6275</v>
      </c>
      <c r="Q56" s="20">
        <f t="shared" si="28"/>
        <v>6275</v>
      </c>
      <c r="R56" s="20">
        <v>0</v>
      </c>
      <c r="S56" s="20">
        <f t="shared" si="29"/>
        <v>50200</v>
      </c>
      <c r="T56" s="20">
        <v>0</v>
      </c>
      <c r="U56" s="22">
        <v>26</v>
      </c>
      <c r="V56" s="22">
        <v>4</v>
      </c>
      <c r="W56" s="22">
        <v>0</v>
      </c>
      <c r="X56" s="22">
        <f t="shared" si="30"/>
        <v>30</v>
      </c>
      <c r="Y56" s="20">
        <f t="shared" si="37"/>
        <v>50200</v>
      </c>
      <c r="Z56" s="20">
        <v>0</v>
      </c>
      <c r="AA56" s="20">
        <f t="shared" si="31"/>
        <v>50200</v>
      </c>
      <c r="AB56" s="20">
        <f t="shared" si="38"/>
        <v>21753.333333333332</v>
      </c>
      <c r="AC56" s="20">
        <v>0</v>
      </c>
      <c r="AD56" s="20">
        <v>0</v>
      </c>
      <c r="AE56" s="20">
        <v>0</v>
      </c>
      <c r="AF56" s="20">
        <v>0</v>
      </c>
      <c r="AG56" s="20">
        <f t="shared" si="32"/>
        <v>200</v>
      </c>
      <c r="AH56" s="24"/>
      <c r="AI56" s="80">
        <v>0</v>
      </c>
      <c r="AJ56" s="24">
        <v>0</v>
      </c>
      <c r="AK56" s="24">
        <v>0</v>
      </c>
      <c r="AL56" s="24">
        <v>0</v>
      </c>
      <c r="AM56" s="25">
        <f t="shared" si="33"/>
        <v>0</v>
      </c>
      <c r="AN56" s="26">
        <f t="shared" si="34"/>
        <v>50000</v>
      </c>
      <c r="AO56" s="51"/>
      <c r="AP56" s="51"/>
      <c r="AQ56" s="165" t="s">
        <v>322</v>
      </c>
      <c r="AR56" s="51"/>
      <c r="AS56" s="51"/>
      <c r="AT56" s="51"/>
      <c r="AU56" s="58"/>
      <c r="AV56" s="53"/>
      <c r="AW56" s="54"/>
      <c r="AX56" s="51"/>
      <c r="AY56" s="51"/>
      <c r="AZ56" s="51"/>
      <c r="BA56" s="51"/>
      <c r="BC56" s="152">
        <f t="shared" si="41"/>
        <v>50200</v>
      </c>
    </row>
    <row r="57" spans="2:55" s="50" customFormat="1" ht="15.75" x14ac:dyDescent="0.25">
      <c r="B57" s="196"/>
      <c r="C57" s="103"/>
      <c r="D57" s="15">
        <v>50200</v>
      </c>
      <c r="E57" s="16" t="s">
        <v>135</v>
      </c>
      <c r="F57" s="104" t="s">
        <v>150</v>
      </c>
      <c r="G57" s="112">
        <v>44927</v>
      </c>
      <c r="H57" s="51"/>
      <c r="I57" s="51"/>
      <c r="J57" s="41">
        <f t="shared" si="39"/>
        <v>39</v>
      </c>
      <c r="K57" s="86" t="s">
        <v>131</v>
      </c>
      <c r="L57" s="88" t="s">
        <v>133</v>
      </c>
      <c r="M57" s="33">
        <v>50200</v>
      </c>
      <c r="N57" s="20">
        <f t="shared" si="36"/>
        <v>25100</v>
      </c>
      <c r="O57" s="20">
        <f t="shared" si="26"/>
        <v>12550</v>
      </c>
      <c r="P57" s="20">
        <f t="shared" si="27"/>
        <v>6275</v>
      </c>
      <c r="Q57" s="20">
        <f t="shared" si="28"/>
        <v>6275</v>
      </c>
      <c r="R57" s="20">
        <v>0</v>
      </c>
      <c r="S57" s="20">
        <f t="shared" si="29"/>
        <v>50200</v>
      </c>
      <c r="T57" s="20">
        <v>0</v>
      </c>
      <c r="U57" s="22">
        <v>26</v>
      </c>
      <c r="V57" s="22">
        <v>4</v>
      </c>
      <c r="W57" s="22">
        <v>0</v>
      </c>
      <c r="X57" s="22">
        <f t="shared" si="30"/>
        <v>30</v>
      </c>
      <c r="Y57" s="20">
        <f t="shared" si="37"/>
        <v>50200</v>
      </c>
      <c r="Z57" s="20">
        <v>0</v>
      </c>
      <c r="AA57" s="20">
        <f t="shared" si="31"/>
        <v>50200</v>
      </c>
      <c r="AB57" s="20">
        <f t="shared" si="38"/>
        <v>21753.333333333332</v>
      </c>
      <c r="AC57" s="20">
        <v>0</v>
      </c>
      <c r="AD57" s="20">
        <v>0</v>
      </c>
      <c r="AE57" s="20">
        <v>0</v>
      </c>
      <c r="AF57" s="20">
        <v>0</v>
      </c>
      <c r="AG57" s="20">
        <f t="shared" si="32"/>
        <v>200</v>
      </c>
      <c r="AH57" s="24"/>
      <c r="AI57" s="80">
        <v>0</v>
      </c>
      <c r="AJ57" s="24">
        <v>0</v>
      </c>
      <c r="AK57" s="24">
        <v>0</v>
      </c>
      <c r="AL57" s="24">
        <v>0</v>
      </c>
      <c r="AM57" s="25">
        <f t="shared" si="33"/>
        <v>0</v>
      </c>
      <c r="AN57" s="26">
        <f t="shared" si="34"/>
        <v>50000</v>
      </c>
      <c r="AO57" s="51"/>
      <c r="AP57" s="51"/>
      <c r="AQ57" s="51" t="s">
        <v>340</v>
      </c>
      <c r="AR57" s="51"/>
      <c r="AS57" s="51"/>
      <c r="AT57" s="51"/>
      <c r="AU57" s="58"/>
      <c r="AV57" s="53"/>
      <c r="AW57" s="54"/>
      <c r="AX57" s="51"/>
      <c r="AY57" s="51"/>
      <c r="AZ57" s="51"/>
      <c r="BA57" s="51"/>
      <c r="BC57" s="152">
        <f t="shared" si="41"/>
        <v>50200</v>
      </c>
    </row>
    <row r="58" spans="2:55" s="50" customFormat="1" ht="15.75" x14ac:dyDescent="0.25">
      <c r="B58" s="198">
        <v>30800</v>
      </c>
      <c r="C58" s="155">
        <v>28000</v>
      </c>
      <c r="D58" s="78">
        <v>22000</v>
      </c>
      <c r="E58" s="30" t="s">
        <v>71</v>
      </c>
      <c r="F58" s="104" t="s">
        <v>150</v>
      </c>
      <c r="G58" s="112">
        <v>44927</v>
      </c>
      <c r="H58" s="51"/>
      <c r="I58" s="51"/>
      <c r="J58" s="41">
        <f t="shared" si="39"/>
        <v>40</v>
      </c>
      <c r="K58" s="86" t="s">
        <v>131</v>
      </c>
      <c r="L58" s="91" t="s">
        <v>134</v>
      </c>
      <c r="M58" s="33">
        <v>30800</v>
      </c>
      <c r="N58" s="20">
        <f t="shared" si="36"/>
        <v>15400</v>
      </c>
      <c r="O58" s="20">
        <f t="shared" si="26"/>
        <v>7700</v>
      </c>
      <c r="P58" s="20">
        <f t="shared" si="27"/>
        <v>3850</v>
      </c>
      <c r="Q58" s="20">
        <f t="shared" si="28"/>
        <v>3850</v>
      </c>
      <c r="R58" s="20">
        <v>0</v>
      </c>
      <c r="S58" s="20">
        <f t="shared" si="29"/>
        <v>30800</v>
      </c>
      <c r="T58" s="20">
        <v>0</v>
      </c>
      <c r="U58" s="22">
        <v>26</v>
      </c>
      <c r="V58" s="22">
        <v>4</v>
      </c>
      <c r="W58" s="22">
        <v>0</v>
      </c>
      <c r="X58" s="22">
        <f t="shared" si="30"/>
        <v>30</v>
      </c>
      <c r="Y58" s="20">
        <f t="shared" si="37"/>
        <v>30800.000000000004</v>
      </c>
      <c r="Z58" s="20">
        <v>0</v>
      </c>
      <c r="AA58" s="20">
        <f t="shared" si="31"/>
        <v>30800.000000000004</v>
      </c>
      <c r="AB58" s="20">
        <f t="shared" si="38"/>
        <v>13346.666666666668</v>
      </c>
      <c r="AC58" s="20">
        <v>0</v>
      </c>
      <c r="AD58" s="20">
        <v>0</v>
      </c>
      <c r="AE58" s="20">
        <v>0</v>
      </c>
      <c r="AF58" s="20">
        <v>0</v>
      </c>
      <c r="AG58" s="20">
        <f t="shared" si="32"/>
        <v>200</v>
      </c>
      <c r="AH58" s="24"/>
      <c r="AI58" s="80">
        <v>0</v>
      </c>
      <c r="AJ58" s="24">
        <v>0</v>
      </c>
      <c r="AK58" s="24">
        <v>0</v>
      </c>
      <c r="AL58" s="24">
        <v>0</v>
      </c>
      <c r="AM58" s="25">
        <f t="shared" si="33"/>
        <v>0</v>
      </c>
      <c r="AN58" s="26">
        <f t="shared" si="34"/>
        <v>30600.000000000004</v>
      </c>
      <c r="AO58" s="56"/>
      <c r="AP58" s="56"/>
      <c r="AQ58" s="51" t="s">
        <v>343</v>
      </c>
      <c r="AR58" s="56"/>
      <c r="AS58" s="56"/>
      <c r="AT58" s="57"/>
      <c r="AU58" s="58"/>
      <c r="AV58" s="53"/>
      <c r="AW58" s="54"/>
      <c r="AX58" s="51"/>
      <c r="AY58" s="51"/>
      <c r="AZ58" s="51"/>
      <c r="BA58" s="51"/>
      <c r="BC58" s="152">
        <f t="shared" si="41"/>
        <v>30800.000000000004</v>
      </c>
    </row>
    <row r="59" spans="2:55" s="50" customFormat="1" ht="15.75" x14ac:dyDescent="0.25">
      <c r="B59" s="198">
        <v>49000</v>
      </c>
      <c r="C59" s="155">
        <v>40000</v>
      </c>
      <c r="D59" s="78">
        <v>30000</v>
      </c>
      <c r="E59" s="16" t="s">
        <v>114</v>
      </c>
      <c r="F59" s="104" t="s">
        <v>148</v>
      </c>
      <c r="G59" s="112">
        <v>44958</v>
      </c>
      <c r="H59" s="51"/>
      <c r="I59" s="51"/>
      <c r="J59" s="41">
        <f t="shared" si="39"/>
        <v>41</v>
      </c>
      <c r="K59" s="86" t="s">
        <v>137</v>
      </c>
      <c r="L59" s="91" t="s">
        <v>136</v>
      </c>
      <c r="M59" s="33">
        <v>49000</v>
      </c>
      <c r="N59" s="20">
        <f t="shared" si="36"/>
        <v>24500</v>
      </c>
      <c r="O59" s="20">
        <f t="shared" si="26"/>
        <v>12250</v>
      </c>
      <c r="P59" s="20">
        <f t="shared" si="27"/>
        <v>6125</v>
      </c>
      <c r="Q59" s="20">
        <f t="shared" si="28"/>
        <v>6125</v>
      </c>
      <c r="R59" s="20">
        <v>0</v>
      </c>
      <c r="S59" s="20">
        <f t="shared" si="29"/>
        <v>49000</v>
      </c>
      <c r="T59" s="20">
        <v>0</v>
      </c>
      <c r="U59" s="22">
        <v>26</v>
      </c>
      <c r="V59" s="22">
        <v>4</v>
      </c>
      <c r="W59" s="22">
        <v>0</v>
      </c>
      <c r="X59" s="22">
        <f t="shared" si="30"/>
        <v>30</v>
      </c>
      <c r="Y59" s="20">
        <f t="shared" si="37"/>
        <v>49000</v>
      </c>
      <c r="Z59" s="20">
        <v>0</v>
      </c>
      <c r="AA59" s="20">
        <f t="shared" si="31"/>
        <v>49000</v>
      </c>
      <c r="AB59" s="20">
        <f t="shared" si="38"/>
        <v>21233.333333333332</v>
      </c>
      <c r="AC59" s="20">
        <v>0</v>
      </c>
      <c r="AD59" s="20">
        <v>0</v>
      </c>
      <c r="AE59" s="20">
        <v>0</v>
      </c>
      <c r="AF59" s="79">
        <v>0</v>
      </c>
      <c r="AG59" s="20">
        <f t="shared" si="32"/>
        <v>200</v>
      </c>
      <c r="AH59" s="24"/>
      <c r="AI59" s="80">
        <v>0</v>
      </c>
      <c r="AJ59" s="24">
        <v>0</v>
      </c>
      <c r="AK59" s="24">
        <v>0</v>
      </c>
      <c r="AL59" s="24">
        <v>0</v>
      </c>
      <c r="AM59" s="23">
        <f t="shared" si="33"/>
        <v>0</v>
      </c>
      <c r="AN59" s="60">
        <f t="shared" si="34"/>
        <v>48800</v>
      </c>
      <c r="AO59" s="56"/>
      <c r="AP59" s="56"/>
      <c r="AQ59" s="51" t="s">
        <v>352</v>
      </c>
      <c r="AR59" s="56"/>
      <c r="AS59" s="56"/>
      <c r="AT59" s="57"/>
      <c r="AU59" s="58"/>
      <c r="AV59" s="53"/>
      <c r="AW59" s="54"/>
      <c r="AX59" s="51"/>
      <c r="AY59" s="51"/>
      <c r="AZ59" s="51"/>
      <c r="BA59" s="51"/>
      <c r="BC59" s="152">
        <f t="shared" si="41"/>
        <v>49000</v>
      </c>
    </row>
    <row r="60" spans="2:55" s="50" customFormat="1" ht="15.75" x14ac:dyDescent="0.25">
      <c r="B60" s="196">
        <v>23000</v>
      </c>
      <c r="C60" s="155">
        <v>0</v>
      </c>
      <c r="D60" s="78">
        <v>21500</v>
      </c>
      <c r="E60" s="30" t="s">
        <v>90</v>
      </c>
      <c r="F60" s="104" t="s">
        <v>150</v>
      </c>
      <c r="G60" s="112">
        <v>44986</v>
      </c>
      <c r="H60" s="51"/>
      <c r="I60" s="51"/>
      <c r="J60" s="41">
        <f t="shared" si="39"/>
        <v>42</v>
      </c>
      <c r="K60" s="86" t="s">
        <v>138</v>
      </c>
      <c r="L60" s="91" t="s">
        <v>139</v>
      </c>
      <c r="M60" s="33">
        <v>23000</v>
      </c>
      <c r="N60" s="20">
        <f t="shared" si="36"/>
        <v>13897</v>
      </c>
      <c r="O60" s="20">
        <f t="shared" si="26"/>
        <v>4552</v>
      </c>
      <c r="P60" s="20">
        <f t="shared" si="27"/>
        <v>2276</v>
      </c>
      <c r="Q60" s="20">
        <f t="shared" si="28"/>
        <v>2276</v>
      </c>
      <c r="R60" s="20">
        <v>0</v>
      </c>
      <c r="S60" s="20">
        <f t="shared" si="29"/>
        <v>23001</v>
      </c>
      <c r="T60" s="20">
        <v>0</v>
      </c>
      <c r="U60" s="22">
        <v>26</v>
      </c>
      <c r="V60" s="22">
        <v>4</v>
      </c>
      <c r="W60" s="22">
        <v>0</v>
      </c>
      <c r="X60" s="22">
        <f t="shared" si="30"/>
        <v>30</v>
      </c>
      <c r="Y60" s="20">
        <f t="shared" si="37"/>
        <v>23000</v>
      </c>
      <c r="Z60" s="20">
        <v>0</v>
      </c>
      <c r="AA60" s="20">
        <f t="shared" si="31"/>
        <v>23000</v>
      </c>
      <c r="AB60" s="20">
        <f t="shared" si="38"/>
        <v>12044.066666666668</v>
      </c>
      <c r="AC60" s="20">
        <v>0</v>
      </c>
      <c r="AD60" s="20">
        <v>0</v>
      </c>
      <c r="AE60" s="20">
        <v>0</v>
      </c>
      <c r="AF60" s="20">
        <v>0</v>
      </c>
      <c r="AG60" s="20">
        <f t="shared" si="32"/>
        <v>200</v>
      </c>
      <c r="AH60" s="24"/>
      <c r="AI60" s="80">
        <v>0</v>
      </c>
      <c r="AJ60" s="24">
        <v>0</v>
      </c>
      <c r="AK60" s="24">
        <v>0</v>
      </c>
      <c r="AL60" s="24">
        <v>0</v>
      </c>
      <c r="AM60" s="25">
        <f t="shared" si="33"/>
        <v>0</v>
      </c>
      <c r="AN60" s="26">
        <f t="shared" si="34"/>
        <v>22800</v>
      </c>
      <c r="AO60" s="56"/>
      <c r="AP60" s="56"/>
      <c r="AQ60" s="51" t="s">
        <v>363</v>
      </c>
      <c r="AR60" s="56"/>
      <c r="AS60" s="56"/>
      <c r="AT60" s="57"/>
      <c r="AU60" s="58"/>
      <c r="AV60" s="53"/>
      <c r="AW60" s="54"/>
      <c r="AX60" s="51"/>
      <c r="AY60" s="51"/>
      <c r="AZ60" s="51"/>
      <c r="BA60" s="51"/>
      <c r="BC60" s="152">
        <f t="shared" si="41"/>
        <v>23000</v>
      </c>
    </row>
    <row r="61" spans="2:55" s="50" customFormat="1" ht="15.75" x14ac:dyDescent="0.25">
      <c r="B61" s="198">
        <v>42000</v>
      </c>
      <c r="C61" s="155">
        <v>35000</v>
      </c>
      <c r="D61" s="78">
        <v>30000</v>
      </c>
      <c r="E61" s="30" t="s">
        <v>421</v>
      </c>
      <c r="F61" s="104" t="s">
        <v>145</v>
      </c>
      <c r="G61" s="112">
        <v>45017</v>
      </c>
      <c r="H61" s="51"/>
      <c r="I61" s="51"/>
      <c r="J61" s="41">
        <f t="shared" si="39"/>
        <v>43</v>
      </c>
      <c r="K61" s="86" t="s">
        <v>143</v>
      </c>
      <c r="L61" s="91" t="s">
        <v>141</v>
      </c>
      <c r="M61" s="33">
        <v>42000</v>
      </c>
      <c r="N61" s="20">
        <f t="shared" si="36"/>
        <v>21000</v>
      </c>
      <c r="O61" s="20">
        <f t="shared" si="26"/>
        <v>10500</v>
      </c>
      <c r="P61" s="20">
        <f t="shared" si="27"/>
        <v>5250</v>
      </c>
      <c r="Q61" s="20">
        <f t="shared" si="28"/>
        <v>5250</v>
      </c>
      <c r="R61" s="20">
        <v>0</v>
      </c>
      <c r="S61" s="20">
        <f t="shared" si="29"/>
        <v>42000</v>
      </c>
      <c r="T61" s="20">
        <v>0</v>
      </c>
      <c r="U61" s="22">
        <v>26</v>
      </c>
      <c r="V61" s="22">
        <v>4</v>
      </c>
      <c r="W61" s="22">
        <v>0</v>
      </c>
      <c r="X61" s="22">
        <f t="shared" si="30"/>
        <v>30</v>
      </c>
      <c r="Y61" s="20">
        <f t="shared" si="37"/>
        <v>42000</v>
      </c>
      <c r="Z61" s="20">
        <v>0</v>
      </c>
      <c r="AA61" s="20">
        <f t="shared" si="31"/>
        <v>42000</v>
      </c>
      <c r="AB61" s="20">
        <f t="shared" si="38"/>
        <v>18200</v>
      </c>
      <c r="AC61" s="20">
        <v>0</v>
      </c>
      <c r="AD61" s="20">
        <v>0</v>
      </c>
      <c r="AE61" s="20">
        <v>0</v>
      </c>
      <c r="AF61" s="20">
        <v>0</v>
      </c>
      <c r="AG61" s="20">
        <f t="shared" si="32"/>
        <v>200</v>
      </c>
      <c r="AH61" s="24"/>
      <c r="AI61" s="80">
        <v>0</v>
      </c>
      <c r="AJ61" s="24">
        <v>0</v>
      </c>
      <c r="AK61" s="24">
        <v>0</v>
      </c>
      <c r="AL61" s="24">
        <v>0</v>
      </c>
      <c r="AM61" s="25">
        <f t="shared" si="33"/>
        <v>0</v>
      </c>
      <c r="AN61" s="26">
        <f t="shared" si="34"/>
        <v>41800</v>
      </c>
      <c r="AO61" s="56"/>
      <c r="AP61" s="56"/>
      <c r="AQ61" s="51" t="s">
        <v>366</v>
      </c>
      <c r="AR61" s="56"/>
      <c r="AS61" s="56"/>
      <c r="AT61" s="57"/>
      <c r="AU61" s="58"/>
      <c r="AV61" s="53"/>
      <c r="AW61" s="54"/>
      <c r="AX61" s="51"/>
      <c r="AY61" s="51"/>
      <c r="AZ61" s="51"/>
      <c r="BA61" s="51"/>
      <c r="BC61" s="152">
        <f t="shared" si="41"/>
        <v>42000</v>
      </c>
    </row>
    <row r="62" spans="2:55" s="50" customFormat="1" ht="15.75" x14ac:dyDescent="0.25">
      <c r="B62" s="196"/>
      <c r="C62" s="103"/>
      <c r="D62" s="15">
        <v>100000</v>
      </c>
      <c r="E62" s="16" t="s">
        <v>135</v>
      </c>
      <c r="F62" s="113" t="s">
        <v>238</v>
      </c>
      <c r="G62" s="112">
        <v>45017</v>
      </c>
      <c r="H62" s="51"/>
      <c r="I62" s="51"/>
      <c r="J62" s="41">
        <f t="shared" si="39"/>
        <v>44</v>
      </c>
      <c r="K62" s="86" t="s">
        <v>143</v>
      </c>
      <c r="L62" s="52" t="s">
        <v>142</v>
      </c>
      <c r="M62" s="33">
        <v>100200</v>
      </c>
      <c r="N62" s="20">
        <f t="shared" si="36"/>
        <v>50100</v>
      </c>
      <c r="O62" s="20">
        <f t="shared" si="26"/>
        <v>25050</v>
      </c>
      <c r="P62" s="20">
        <f t="shared" si="27"/>
        <v>12525</v>
      </c>
      <c r="Q62" s="20">
        <f t="shared" si="28"/>
        <v>12525</v>
      </c>
      <c r="R62" s="20">
        <v>0</v>
      </c>
      <c r="S62" s="20">
        <f t="shared" si="29"/>
        <v>100200</v>
      </c>
      <c r="T62" s="20">
        <v>0</v>
      </c>
      <c r="U62" s="22">
        <v>26</v>
      </c>
      <c r="V62" s="22">
        <v>4</v>
      </c>
      <c r="W62" s="22">
        <v>0</v>
      </c>
      <c r="X62" s="22">
        <f t="shared" si="30"/>
        <v>30</v>
      </c>
      <c r="Y62" s="20">
        <f t="shared" si="37"/>
        <v>100200</v>
      </c>
      <c r="Z62" s="20">
        <v>0</v>
      </c>
      <c r="AA62" s="20">
        <f t="shared" si="31"/>
        <v>100200</v>
      </c>
      <c r="AB62" s="20">
        <f t="shared" si="38"/>
        <v>43420</v>
      </c>
      <c r="AC62" s="20">
        <v>0</v>
      </c>
      <c r="AD62" s="20">
        <v>0</v>
      </c>
      <c r="AE62" s="20">
        <v>0</v>
      </c>
      <c r="AF62" s="20">
        <v>0</v>
      </c>
      <c r="AG62" s="20">
        <f t="shared" si="32"/>
        <v>200</v>
      </c>
      <c r="AH62" s="24">
        <v>0</v>
      </c>
      <c r="AI62" s="80">
        <v>0</v>
      </c>
      <c r="AJ62" s="24">
        <v>0</v>
      </c>
      <c r="AK62" s="24">
        <v>0</v>
      </c>
      <c r="AL62" s="24">
        <v>0</v>
      </c>
      <c r="AM62" s="25">
        <f t="shared" si="33"/>
        <v>0</v>
      </c>
      <c r="AN62" s="26">
        <f t="shared" si="34"/>
        <v>100000</v>
      </c>
      <c r="AO62" s="51"/>
      <c r="AP62" s="51"/>
      <c r="AQ62" s="51" t="s">
        <v>293</v>
      </c>
      <c r="AR62" s="51"/>
      <c r="AS62" s="51"/>
      <c r="AT62" s="51"/>
      <c r="AU62" s="58"/>
      <c r="AV62" s="53"/>
      <c r="AW62" s="54"/>
      <c r="AX62" s="51"/>
      <c r="AY62" s="51"/>
      <c r="AZ62" s="51"/>
      <c r="BA62" s="51"/>
      <c r="BC62" s="152">
        <f t="shared" si="41"/>
        <v>100200</v>
      </c>
    </row>
    <row r="63" spans="2:55" s="50" customFormat="1" ht="15.75" x14ac:dyDescent="0.25">
      <c r="B63" s="198">
        <v>38500</v>
      </c>
      <c r="C63" s="155">
        <v>0</v>
      </c>
      <c r="D63" s="78">
        <v>35000</v>
      </c>
      <c r="E63" s="16" t="s">
        <v>114</v>
      </c>
      <c r="F63" s="104" t="s">
        <v>146</v>
      </c>
      <c r="G63" s="112">
        <v>45047</v>
      </c>
      <c r="H63" s="51"/>
      <c r="I63" s="51"/>
      <c r="J63" s="41">
        <f t="shared" si="39"/>
        <v>45</v>
      </c>
      <c r="K63" s="86" t="s">
        <v>172</v>
      </c>
      <c r="L63" s="52" t="s">
        <v>166</v>
      </c>
      <c r="M63" s="33">
        <v>38500</v>
      </c>
      <c r="N63" s="20">
        <f t="shared" si="36"/>
        <v>19250</v>
      </c>
      <c r="O63" s="20">
        <f t="shared" si="26"/>
        <v>9625</v>
      </c>
      <c r="P63" s="20">
        <f t="shared" si="27"/>
        <v>4813</v>
      </c>
      <c r="Q63" s="20">
        <f t="shared" si="28"/>
        <v>4813</v>
      </c>
      <c r="R63" s="20">
        <v>0</v>
      </c>
      <c r="S63" s="20">
        <f t="shared" si="29"/>
        <v>38501</v>
      </c>
      <c r="T63" s="20">
        <v>0</v>
      </c>
      <c r="U63" s="22">
        <v>24</v>
      </c>
      <c r="V63" s="22">
        <v>3</v>
      </c>
      <c r="W63" s="22">
        <v>0</v>
      </c>
      <c r="X63" s="22">
        <f t="shared" si="30"/>
        <v>27</v>
      </c>
      <c r="Y63" s="20">
        <f t="shared" si="37"/>
        <v>34650</v>
      </c>
      <c r="Z63" s="20">
        <v>0</v>
      </c>
      <c r="AA63" s="20">
        <f t="shared" si="31"/>
        <v>34650</v>
      </c>
      <c r="AB63" s="20">
        <f t="shared" si="38"/>
        <v>15400</v>
      </c>
      <c r="AC63" s="20">
        <v>0</v>
      </c>
      <c r="AD63" s="20">
        <v>0</v>
      </c>
      <c r="AE63" s="20">
        <v>0</v>
      </c>
      <c r="AF63" s="79">
        <v>0</v>
      </c>
      <c r="AG63" s="20">
        <f t="shared" si="32"/>
        <v>200</v>
      </c>
      <c r="AH63" s="24"/>
      <c r="AI63" s="80">
        <v>0</v>
      </c>
      <c r="AJ63" s="24">
        <v>0</v>
      </c>
      <c r="AK63" s="24">
        <v>0</v>
      </c>
      <c r="AL63" s="24">
        <v>0</v>
      </c>
      <c r="AM63" s="23">
        <f t="shared" si="33"/>
        <v>0</v>
      </c>
      <c r="AN63" s="60">
        <f t="shared" si="34"/>
        <v>34450</v>
      </c>
      <c r="AO63" s="56"/>
      <c r="AP63" s="56"/>
      <c r="AQ63" s="51" t="s">
        <v>336</v>
      </c>
      <c r="AR63" s="56"/>
      <c r="AS63" s="56"/>
      <c r="AT63" s="57"/>
      <c r="AU63" s="58"/>
      <c r="AV63" s="53"/>
      <c r="AW63" s="54"/>
      <c r="AX63" s="51"/>
      <c r="AY63" s="51"/>
      <c r="AZ63" s="51"/>
      <c r="BA63" s="51"/>
      <c r="BC63" s="152">
        <f t="shared" si="41"/>
        <v>34650</v>
      </c>
    </row>
    <row r="64" spans="2:55" s="50" customFormat="1" ht="15.75" x14ac:dyDescent="0.25">
      <c r="B64" s="196">
        <v>33000</v>
      </c>
      <c r="C64" s="198">
        <v>30000</v>
      </c>
      <c r="D64" s="15">
        <v>24000</v>
      </c>
      <c r="E64" s="16" t="s">
        <v>438</v>
      </c>
      <c r="F64" s="104" t="s">
        <v>164</v>
      </c>
      <c r="G64" s="112">
        <v>45047</v>
      </c>
      <c r="H64" s="51"/>
      <c r="I64" s="51"/>
      <c r="J64" s="41">
        <f t="shared" si="39"/>
        <v>46</v>
      </c>
      <c r="K64" s="86" t="s">
        <v>172</v>
      </c>
      <c r="L64" s="52" t="s">
        <v>170</v>
      </c>
      <c r="M64" s="33">
        <v>33000</v>
      </c>
      <c r="N64" s="20">
        <f t="shared" si="36"/>
        <v>16500</v>
      </c>
      <c r="O64" s="20">
        <f t="shared" si="26"/>
        <v>8250</v>
      </c>
      <c r="P64" s="20">
        <f t="shared" si="27"/>
        <v>4125</v>
      </c>
      <c r="Q64" s="20">
        <f t="shared" si="28"/>
        <v>4125</v>
      </c>
      <c r="R64" s="20">
        <v>0</v>
      </c>
      <c r="S64" s="20">
        <f t="shared" si="29"/>
        <v>33000</v>
      </c>
      <c r="T64" s="20">
        <v>0</v>
      </c>
      <c r="U64" s="22">
        <v>26</v>
      </c>
      <c r="V64" s="22">
        <v>4</v>
      </c>
      <c r="W64" s="22">
        <v>0</v>
      </c>
      <c r="X64" s="22">
        <f t="shared" si="30"/>
        <v>30</v>
      </c>
      <c r="Y64" s="20">
        <f t="shared" si="37"/>
        <v>33000</v>
      </c>
      <c r="Z64" s="42">
        <v>2000</v>
      </c>
      <c r="AA64" s="20">
        <f t="shared" si="31"/>
        <v>35000</v>
      </c>
      <c r="AB64" s="20">
        <f t="shared" si="38"/>
        <v>14300</v>
      </c>
      <c r="AC64" s="20">
        <v>0</v>
      </c>
      <c r="AD64" s="20">
        <v>0</v>
      </c>
      <c r="AE64" s="20">
        <v>0</v>
      </c>
      <c r="AF64" s="20">
        <v>0</v>
      </c>
      <c r="AG64" s="20">
        <f t="shared" si="32"/>
        <v>200</v>
      </c>
      <c r="AH64" s="24"/>
      <c r="AI64" s="80">
        <v>0</v>
      </c>
      <c r="AJ64" s="24">
        <v>0</v>
      </c>
      <c r="AK64" s="24">
        <v>0</v>
      </c>
      <c r="AL64" s="24">
        <v>0</v>
      </c>
      <c r="AM64" s="25">
        <f t="shared" si="33"/>
        <v>0</v>
      </c>
      <c r="AN64" s="26">
        <f t="shared" si="34"/>
        <v>34800</v>
      </c>
      <c r="AO64" s="56"/>
      <c r="AP64" s="56"/>
      <c r="AQ64" s="170" t="s">
        <v>313</v>
      </c>
      <c r="AR64" s="56"/>
      <c r="AS64" s="56"/>
      <c r="AT64" s="57"/>
      <c r="AU64" s="58"/>
      <c r="AV64" s="53"/>
      <c r="AW64" s="54"/>
      <c r="AX64" s="51"/>
      <c r="AY64" s="51"/>
      <c r="AZ64" s="51"/>
      <c r="BA64" s="51"/>
      <c r="BC64" s="153">
        <f t="shared" si="41"/>
        <v>35000</v>
      </c>
    </row>
    <row r="65" spans="2:56" s="50" customFormat="1" ht="15.75" x14ac:dyDescent="0.25">
      <c r="B65" s="196">
        <v>33000</v>
      </c>
      <c r="C65" s="198">
        <v>30000</v>
      </c>
      <c r="D65" s="15">
        <v>24000</v>
      </c>
      <c r="E65" s="16" t="s">
        <v>438</v>
      </c>
      <c r="F65" s="104" t="s">
        <v>164</v>
      </c>
      <c r="G65" s="112">
        <v>45047</v>
      </c>
      <c r="H65" s="51"/>
      <c r="I65" s="51"/>
      <c r="J65" s="41">
        <f t="shared" si="39"/>
        <v>47</v>
      </c>
      <c r="K65" s="86" t="s">
        <v>172</v>
      </c>
      <c r="L65" s="52" t="s">
        <v>171</v>
      </c>
      <c r="M65" s="33">
        <v>33000</v>
      </c>
      <c r="N65" s="20">
        <f t="shared" si="36"/>
        <v>16500</v>
      </c>
      <c r="O65" s="20">
        <f t="shared" si="26"/>
        <v>8250</v>
      </c>
      <c r="P65" s="20">
        <f t="shared" si="27"/>
        <v>4125</v>
      </c>
      <c r="Q65" s="20">
        <f t="shared" si="28"/>
        <v>4125</v>
      </c>
      <c r="R65" s="20">
        <v>0</v>
      </c>
      <c r="S65" s="20">
        <f t="shared" si="29"/>
        <v>33000</v>
      </c>
      <c r="T65" s="20">
        <v>0</v>
      </c>
      <c r="U65" s="22">
        <v>26</v>
      </c>
      <c r="V65" s="22">
        <v>4</v>
      </c>
      <c r="W65" s="22">
        <v>0</v>
      </c>
      <c r="X65" s="22">
        <f t="shared" si="30"/>
        <v>30</v>
      </c>
      <c r="Y65" s="20">
        <f t="shared" si="37"/>
        <v>33000</v>
      </c>
      <c r="Z65" s="42">
        <v>2000</v>
      </c>
      <c r="AA65" s="20">
        <f t="shared" si="31"/>
        <v>35000</v>
      </c>
      <c r="AB65" s="20">
        <f t="shared" si="38"/>
        <v>14300</v>
      </c>
      <c r="AC65" s="20">
        <v>0</v>
      </c>
      <c r="AD65" s="20">
        <v>0</v>
      </c>
      <c r="AE65" s="20">
        <v>0</v>
      </c>
      <c r="AF65" s="20">
        <v>0</v>
      </c>
      <c r="AG65" s="20">
        <f t="shared" si="32"/>
        <v>200</v>
      </c>
      <c r="AH65" s="24"/>
      <c r="AI65" s="80">
        <v>0</v>
      </c>
      <c r="AJ65" s="24">
        <v>0</v>
      </c>
      <c r="AK65" s="24">
        <v>0</v>
      </c>
      <c r="AL65" s="24">
        <v>0</v>
      </c>
      <c r="AM65" s="25">
        <f t="shared" si="33"/>
        <v>0</v>
      </c>
      <c r="AN65" s="26">
        <f t="shared" si="34"/>
        <v>34800</v>
      </c>
      <c r="AO65" s="56"/>
      <c r="AP65" s="56"/>
      <c r="AQ65" s="170" t="s">
        <v>314</v>
      </c>
      <c r="AR65" s="56"/>
      <c r="AS65" s="56"/>
      <c r="AT65" s="57"/>
      <c r="AU65" s="58"/>
      <c r="AV65" s="53"/>
      <c r="AW65" s="54"/>
      <c r="AX65" s="51"/>
      <c r="AY65" s="51"/>
      <c r="AZ65" s="51"/>
      <c r="BA65" s="51"/>
      <c r="BC65" s="153">
        <f t="shared" si="41"/>
        <v>35000</v>
      </c>
    </row>
    <row r="66" spans="2:56" s="50" customFormat="1" ht="15.75" x14ac:dyDescent="0.25">
      <c r="B66" s="201">
        <v>25000</v>
      </c>
      <c r="C66" s="198">
        <v>21780</v>
      </c>
      <c r="D66" s="140">
        <v>19800</v>
      </c>
      <c r="E66" s="16" t="s">
        <v>438</v>
      </c>
      <c r="F66" s="104" t="s">
        <v>165</v>
      </c>
      <c r="G66" s="112">
        <v>45047</v>
      </c>
      <c r="H66" s="51"/>
      <c r="I66" s="51"/>
      <c r="J66" s="41">
        <f t="shared" si="39"/>
        <v>48</v>
      </c>
      <c r="K66" s="86" t="s">
        <v>172</v>
      </c>
      <c r="L66" s="52" t="s">
        <v>163</v>
      </c>
      <c r="M66" s="33">
        <v>25000</v>
      </c>
      <c r="N66" s="20">
        <f t="shared" si="36"/>
        <v>13897</v>
      </c>
      <c r="O66" s="20">
        <f t="shared" si="26"/>
        <v>5552</v>
      </c>
      <c r="P66" s="20">
        <f t="shared" si="27"/>
        <v>2776</v>
      </c>
      <c r="Q66" s="20">
        <f t="shared" si="28"/>
        <v>2776</v>
      </c>
      <c r="R66" s="20">
        <v>0</v>
      </c>
      <c r="S66" s="20">
        <f t="shared" si="29"/>
        <v>25001</v>
      </c>
      <c r="T66" s="20">
        <v>0</v>
      </c>
      <c r="U66" s="22">
        <v>24</v>
      </c>
      <c r="V66" s="22">
        <v>3</v>
      </c>
      <c r="W66" s="22">
        <v>0.5</v>
      </c>
      <c r="X66" s="22">
        <f t="shared" si="30"/>
        <v>27.5</v>
      </c>
      <c r="Y66" s="20">
        <f t="shared" si="37"/>
        <v>22916.666666666668</v>
      </c>
      <c r="Z66" s="42">
        <v>0</v>
      </c>
      <c r="AA66" s="20">
        <f t="shared" si="31"/>
        <v>22916.666666666668</v>
      </c>
      <c r="AB66" s="20">
        <f t="shared" si="38"/>
        <v>11117.6</v>
      </c>
      <c r="AC66" s="20">
        <v>0</v>
      </c>
      <c r="AD66" s="20">
        <v>0</v>
      </c>
      <c r="AE66" s="20">
        <v>0</v>
      </c>
      <c r="AF66" s="20">
        <v>0</v>
      </c>
      <c r="AG66" s="20">
        <f t="shared" si="32"/>
        <v>200</v>
      </c>
      <c r="AH66" s="24">
        <v>0</v>
      </c>
      <c r="AI66" s="80">
        <v>0</v>
      </c>
      <c r="AJ66" s="24">
        <v>0</v>
      </c>
      <c r="AK66" s="24">
        <v>0</v>
      </c>
      <c r="AL66" s="24">
        <v>0</v>
      </c>
      <c r="AM66" s="25">
        <f t="shared" si="33"/>
        <v>0</v>
      </c>
      <c r="AN66" s="26">
        <f t="shared" si="34"/>
        <v>22716.666666666668</v>
      </c>
      <c r="AO66" s="56"/>
      <c r="AP66" s="56"/>
      <c r="AQ66" s="4" t="s">
        <v>309</v>
      </c>
      <c r="AR66" s="56"/>
      <c r="AS66" s="56"/>
      <c r="AT66" s="57"/>
      <c r="AU66" s="58"/>
      <c r="AV66" s="53"/>
      <c r="AW66" s="54"/>
      <c r="AX66" s="51"/>
      <c r="AY66" s="51"/>
      <c r="AZ66" s="51"/>
      <c r="BA66" s="51"/>
      <c r="BC66" s="152">
        <f t="shared" si="41"/>
        <v>22916.666666666668</v>
      </c>
    </row>
    <row r="67" spans="2:56" s="50" customFormat="1" ht="15.75" x14ac:dyDescent="0.25">
      <c r="B67" s="196">
        <v>23000</v>
      </c>
      <c r="C67" s="198">
        <v>20000</v>
      </c>
      <c r="D67" s="140">
        <v>17500</v>
      </c>
      <c r="E67" s="16" t="s">
        <v>438</v>
      </c>
      <c r="F67" s="104" t="s">
        <v>159</v>
      </c>
      <c r="G67" s="112">
        <v>45047</v>
      </c>
      <c r="H67" s="51"/>
      <c r="I67" s="51"/>
      <c r="J67" s="41">
        <f t="shared" si="39"/>
        <v>49</v>
      </c>
      <c r="K67" s="86" t="s">
        <v>172</v>
      </c>
      <c r="L67" s="52" t="s">
        <v>167</v>
      </c>
      <c r="M67" s="33">
        <v>23000</v>
      </c>
      <c r="N67" s="20">
        <f t="shared" si="36"/>
        <v>13897</v>
      </c>
      <c r="O67" s="20">
        <f t="shared" si="26"/>
        <v>4552</v>
      </c>
      <c r="P67" s="20">
        <f t="shared" si="27"/>
        <v>2276</v>
      </c>
      <c r="Q67" s="20">
        <f t="shared" si="28"/>
        <v>2276</v>
      </c>
      <c r="R67" s="20">
        <v>0</v>
      </c>
      <c r="S67" s="20">
        <f t="shared" si="29"/>
        <v>23001</v>
      </c>
      <c r="T67" s="20">
        <v>0</v>
      </c>
      <c r="U67" s="22">
        <v>26</v>
      </c>
      <c r="V67" s="22">
        <v>4</v>
      </c>
      <c r="W67" s="22">
        <v>0</v>
      </c>
      <c r="X67" s="22">
        <f t="shared" si="30"/>
        <v>30</v>
      </c>
      <c r="Y67" s="20">
        <f t="shared" si="37"/>
        <v>23000</v>
      </c>
      <c r="Z67" s="42">
        <v>937</v>
      </c>
      <c r="AA67" s="20">
        <f t="shared" si="31"/>
        <v>23937</v>
      </c>
      <c r="AB67" s="20">
        <f t="shared" si="38"/>
        <v>12044.066666666668</v>
      </c>
      <c r="AC67" s="20">
        <v>0</v>
      </c>
      <c r="AD67" s="20">
        <v>0</v>
      </c>
      <c r="AE67" s="20">
        <v>0</v>
      </c>
      <c r="AF67" s="20">
        <v>0</v>
      </c>
      <c r="AG67" s="20">
        <f t="shared" si="32"/>
        <v>200</v>
      </c>
      <c r="AH67" s="24">
        <v>0</v>
      </c>
      <c r="AI67" s="80">
        <v>0</v>
      </c>
      <c r="AJ67" s="24">
        <v>0</v>
      </c>
      <c r="AK67" s="24">
        <v>0</v>
      </c>
      <c r="AL67" s="24">
        <v>0</v>
      </c>
      <c r="AM67" s="25">
        <f t="shared" si="33"/>
        <v>0</v>
      </c>
      <c r="AN67" s="26">
        <f t="shared" si="34"/>
        <v>23737</v>
      </c>
      <c r="AO67" s="56"/>
      <c r="AP67" s="56"/>
      <c r="AQ67" s="170" t="s">
        <v>302</v>
      </c>
      <c r="AR67" s="56"/>
      <c r="AS67" s="56"/>
      <c r="AT67" s="57"/>
      <c r="AU67" s="58"/>
      <c r="AV67" s="53"/>
      <c r="AW67" s="54"/>
      <c r="AX67" s="51"/>
      <c r="AY67" s="51"/>
      <c r="AZ67" s="51"/>
      <c r="BA67" s="51"/>
      <c r="BC67" s="152">
        <f t="shared" si="41"/>
        <v>23937</v>
      </c>
    </row>
    <row r="68" spans="2:56" ht="18" customHeight="1" x14ac:dyDescent="0.25">
      <c r="B68" s="196"/>
      <c r="C68" s="103">
        <v>0</v>
      </c>
      <c r="D68" s="15">
        <v>55200</v>
      </c>
      <c r="E68" s="16" t="s">
        <v>135</v>
      </c>
      <c r="F68" s="104" t="s">
        <v>150</v>
      </c>
      <c r="G68" s="112">
        <v>44896</v>
      </c>
      <c r="H68" s="51"/>
      <c r="I68" s="51"/>
      <c r="J68" s="41">
        <f t="shared" si="39"/>
        <v>50</v>
      </c>
      <c r="K68" s="86" t="s">
        <v>122</v>
      </c>
      <c r="L68" s="88" t="s">
        <v>125</v>
      </c>
      <c r="M68" s="33">
        <v>55200</v>
      </c>
      <c r="N68" s="20">
        <f t="shared" si="36"/>
        <v>27600</v>
      </c>
      <c r="O68" s="20">
        <f>ROUND((M68-N68)/2,)</f>
        <v>13800</v>
      </c>
      <c r="P68" s="20">
        <f>ROUND(O68*50%,)</f>
        <v>6900</v>
      </c>
      <c r="Q68" s="20">
        <f>ROUND(O68*50/100,)</f>
        <v>6900</v>
      </c>
      <c r="R68" s="20">
        <v>0</v>
      </c>
      <c r="S68" s="20">
        <f>N68+O68+P68+Q68+R68</f>
        <v>55200</v>
      </c>
      <c r="T68" s="20">
        <v>0</v>
      </c>
      <c r="U68" s="22">
        <v>26</v>
      </c>
      <c r="V68" s="22">
        <v>4</v>
      </c>
      <c r="W68" s="22">
        <v>0</v>
      </c>
      <c r="X68" s="22">
        <f>+U68+V68+W68</f>
        <v>30</v>
      </c>
      <c r="Y68" s="20">
        <f t="shared" si="37"/>
        <v>55200</v>
      </c>
      <c r="Z68" s="42">
        <v>0</v>
      </c>
      <c r="AA68" s="20">
        <f>+Y68+Z68</f>
        <v>55200</v>
      </c>
      <c r="AB68" s="20">
        <f t="shared" si="38"/>
        <v>23920</v>
      </c>
      <c r="AC68" s="42">
        <v>0</v>
      </c>
      <c r="AD68" s="42">
        <v>0</v>
      </c>
      <c r="AE68" s="42">
        <v>0</v>
      </c>
      <c r="AF68" s="42">
        <v>0</v>
      </c>
      <c r="AG68" s="20">
        <f>IF(AA68&gt;=12000,200,IF(AA68&gt;=9000,150,IF(AA68&gt;=6000,80,IF(AA68&gt;=3000,0,0))))</f>
        <v>200</v>
      </c>
      <c r="AH68" s="24"/>
      <c r="AI68" s="80">
        <v>0</v>
      </c>
      <c r="AJ68" s="24">
        <v>0</v>
      </c>
      <c r="AK68" s="24">
        <v>0</v>
      </c>
      <c r="AL68" s="24">
        <v>0</v>
      </c>
      <c r="AM68" s="23">
        <f>SUM(AI68:AL68)</f>
        <v>0</v>
      </c>
      <c r="AN68" s="60">
        <f>+AA68-(AC68+AE68+AG68+AH68+AI68+AJ68+AK68+AL68)</f>
        <v>55000</v>
      </c>
      <c r="AO68" s="51"/>
      <c r="AP68" s="51"/>
      <c r="AQ68" s="173" t="s">
        <v>399</v>
      </c>
      <c r="AR68" s="51"/>
      <c r="AS68" s="51"/>
      <c r="AT68" s="51"/>
      <c r="AU68" s="58"/>
      <c r="AV68" s="53"/>
      <c r="AW68" s="54"/>
      <c r="AX68" s="51"/>
      <c r="AY68" s="51"/>
      <c r="AZ68" s="142"/>
      <c r="BA68" s="51"/>
      <c r="BB68" s="50"/>
      <c r="BC68" s="152">
        <f>AC68+AE68+AG68+AN68</f>
        <v>55200</v>
      </c>
      <c r="BD68" s="32"/>
    </row>
    <row r="69" spans="2:56" s="50" customFormat="1" ht="15.75" x14ac:dyDescent="0.25">
      <c r="B69" s="162"/>
      <c r="C69" s="198">
        <v>0</v>
      </c>
      <c r="D69" s="140">
        <v>5000</v>
      </c>
      <c r="E69" s="16" t="s">
        <v>438</v>
      </c>
      <c r="F69" s="104" t="s">
        <v>159</v>
      </c>
      <c r="G69" s="112">
        <v>45047</v>
      </c>
      <c r="H69" s="51"/>
      <c r="I69" s="51"/>
      <c r="J69" s="41">
        <f t="shared" si="39"/>
        <v>51</v>
      </c>
      <c r="K69" s="86" t="s">
        <v>172</v>
      </c>
      <c r="L69" s="84" t="s">
        <v>169</v>
      </c>
      <c r="M69" s="33">
        <v>30000</v>
      </c>
      <c r="N69" s="20">
        <f t="shared" si="36"/>
        <v>15000</v>
      </c>
      <c r="O69" s="20">
        <f t="shared" ref="O69:O93" si="42">ROUND((M69-N69)/2,)</f>
        <v>7500</v>
      </c>
      <c r="P69" s="20">
        <f t="shared" ref="P69:P93" si="43">ROUND(O69*50%,)</f>
        <v>3750</v>
      </c>
      <c r="Q69" s="20">
        <f t="shared" ref="Q69:Q93" si="44">ROUND(O69*50/100,)</f>
        <v>3750</v>
      </c>
      <c r="R69" s="20">
        <v>0</v>
      </c>
      <c r="S69" s="20">
        <f t="shared" ref="S69:S77" si="45">N69+O69+P69+Q69+R69</f>
        <v>30000</v>
      </c>
      <c r="T69" s="20">
        <v>0</v>
      </c>
      <c r="U69" s="22">
        <v>5</v>
      </c>
      <c r="V69" s="22">
        <v>0</v>
      </c>
      <c r="W69" s="22">
        <v>0</v>
      </c>
      <c r="X69" s="22">
        <f t="shared" ref="X69:X93" si="46">+U69+V69+W69</f>
        <v>5</v>
      </c>
      <c r="Y69" s="20">
        <f t="shared" si="37"/>
        <v>5000</v>
      </c>
      <c r="Z69" s="42">
        <v>0</v>
      </c>
      <c r="AA69" s="20">
        <f t="shared" ref="AA69:AA93" si="47">+Y69+Z69</f>
        <v>5000</v>
      </c>
      <c r="AB69" s="20">
        <f t="shared" si="38"/>
        <v>2500</v>
      </c>
      <c r="AC69" s="20">
        <v>0</v>
      </c>
      <c r="AD69" s="20">
        <v>0</v>
      </c>
      <c r="AE69" s="20">
        <v>0</v>
      </c>
      <c r="AF69" s="20">
        <v>0</v>
      </c>
      <c r="AG69" s="20">
        <f t="shared" ref="AG69:AG86" si="48">IF(AA69&gt;=12000,200,IF(AA69&gt;=9000,150,IF(AA69&gt;=6000,80,IF(AA69&gt;=3000,0,0))))</f>
        <v>0</v>
      </c>
      <c r="AH69" s="24"/>
      <c r="AI69" s="80">
        <v>0</v>
      </c>
      <c r="AJ69" s="24">
        <v>0</v>
      </c>
      <c r="AK69" s="24">
        <v>0</v>
      </c>
      <c r="AL69" s="24">
        <v>0</v>
      </c>
      <c r="AM69" s="25">
        <f t="shared" ref="AM69:AM82" si="49">SUM(AI69:AL69)</f>
        <v>0</v>
      </c>
      <c r="AN69" s="26">
        <f t="shared" ref="AN69:AN93" si="50">+AA69-(AC69+AE69+AG69+AH69+AI69+AJ69+AK69+AL69)</f>
        <v>5000</v>
      </c>
      <c r="AO69" s="56"/>
      <c r="AP69" s="56"/>
      <c r="AQ69" s="4" t="s">
        <v>382</v>
      </c>
      <c r="AR69" s="56"/>
      <c r="AS69" s="56"/>
      <c r="AT69" s="57"/>
      <c r="AU69" s="58"/>
      <c r="AV69" s="53"/>
      <c r="AW69" s="54"/>
      <c r="AX69" s="51"/>
      <c r="AY69" s="51"/>
      <c r="AZ69" s="51"/>
      <c r="BA69" s="51"/>
      <c r="BC69" s="152">
        <f t="shared" ref="BC69:BC93" si="51">AC69+AE69+AG69+AN69</f>
        <v>5000</v>
      </c>
    </row>
    <row r="70" spans="2:56" s="50" customFormat="1" ht="15.75" x14ac:dyDescent="0.25">
      <c r="B70" s="196"/>
      <c r="C70" s="103">
        <v>60200</v>
      </c>
      <c r="D70" s="15">
        <v>45200</v>
      </c>
      <c r="E70" s="16" t="s">
        <v>135</v>
      </c>
      <c r="F70" s="104" t="s">
        <v>150</v>
      </c>
      <c r="G70" s="112">
        <v>45078</v>
      </c>
      <c r="H70" s="51"/>
      <c r="I70" s="51"/>
      <c r="J70" s="41">
        <f t="shared" si="39"/>
        <v>52</v>
      </c>
      <c r="K70" s="86" t="s">
        <v>173</v>
      </c>
      <c r="L70" s="52" t="s">
        <v>174</v>
      </c>
      <c r="M70" s="33">
        <v>60200</v>
      </c>
      <c r="N70" s="20">
        <f t="shared" si="36"/>
        <v>30100</v>
      </c>
      <c r="O70" s="20">
        <f t="shared" si="42"/>
        <v>15050</v>
      </c>
      <c r="P70" s="20">
        <f t="shared" si="43"/>
        <v>7525</v>
      </c>
      <c r="Q70" s="20">
        <f t="shared" si="44"/>
        <v>7525</v>
      </c>
      <c r="R70" s="20">
        <v>0</v>
      </c>
      <c r="S70" s="20">
        <f t="shared" si="45"/>
        <v>60200</v>
      </c>
      <c r="T70" s="20">
        <v>0</v>
      </c>
      <c r="U70" s="22">
        <v>26</v>
      </c>
      <c r="V70" s="22">
        <v>4</v>
      </c>
      <c r="W70" s="22">
        <v>0</v>
      </c>
      <c r="X70" s="22">
        <f t="shared" si="46"/>
        <v>30</v>
      </c>
      <c r="Y70" s="20">
        <f t="shared" si="37"/>
        <v>60200</v>
      </c>
      <c r="Z70" s="20">
        <v>0</v>
      </c>
      <c r="AA70" s="20">
        <f t="shared" si="47"/>
        <v>60200</v>
      </c>
      <c r="AB70" s="20">
        <f t="shared" si="38"/>
        <v>26086.666666666668</v>
      </c>
      <c r="AC70" s="20">
        <v>0</v>
      </c>
      <c r="AD70" s="20">
        <v>0</v>
      </c>
      <c r="AE70" s="20">
        <v>0</v>
      </c>
      <c r="AF70" s="20">
        <v>0</v>
      </c>
      <c r="AG70" s="20">
        <f t="shared" si="48"/>
        <v>200</v>
      </c>
      <c r="AH70" s="24"/>
      <c r="AI70" s="80">
        <v>0</v>
      </c>
      <c r="AJ70" s="24">
        <v>0</v>
      </c>
      <c r="AK70" s="24">
        <v>0</v>
      </c>
      <c r="AL70" s="24">
        <v>0</v>
      </c>
      <c r="AM70" s="25">
        <f t="shared" si="49"/>
        <v>0</v>
      </c>
      <c r="AN70" s="60">
        <f t="shared" si="50"/>
        <v>60000</v>
      </c>
      <c r="AO70" s="51"/>
      <c r="AP70" s="51"/>
      <c r="AQ70" s="51" t="s">
        <v>339</v>
      </c>
      <c r="AR70" s="51"/>
      <c r="AS70" s="51"/>
      <c r="AT70" s="51"/>
      <c r="AU70" s="58"/>
      <c r="AV70" s="53"/>
      <c r="AW70" s="54"/>
      <c r="AX70" s="51"/>
      <c r="AY70" s="51"/>
      <c r="AZ70" s="51"/>
      <c r="BA70" s="51"/>
      <c r="BC70" s="152">
        <f t="shared" si="51"/>
        <v>60200</v>
      </c>
    </row>
    <row r="71" spans="2:56" s="50" customFormat="1" ht="15.75" x14ac:dyDescent="0.25">
      <c r="B71" s="197"/>
      <c r="C71" s="103"/>
      <c r="D71" s="15">
        <v>150000</v>
      </c>
      <c r="E71" s="16" t="s">
        <v>135</v>
      </c>
      <c r="F71" s="113" t="s">
        <v>153</v>
      </c>
      <c r="G71" s="112">
        <v>45078</v>
      </c>
      <c r="H71" s="51"/>
      <c r="I71" s="51"/>
      <c r="J71" s="41">
        <f t="shared" si="39"/>
        <v>53</v>
      </c>
      <c r="K71" s="86" t="s">
        <v>173</v>
      </c>
      <c r="L71" s="52" t="s">
        <v>175</v>
      </c>
      <c r="M71" s="33">
        <v>150200</v>
      </c>
      <c r="N71" s="20">
        <f t="shared" si="36"/>
        <v>75100</v>
      </c>
      <c r="O71" s="20">
        <f t="shared" si="42"/>
        <v>37550</v>
      </c>
      <c r="P71" s="20">
        <f t="shared" si="43"/>
        <v>18775</v>
      </c>
      <c r="Q71" s="20">
        <f t="shared" si="44"/>
        <v>18775</v>
      </c>
      <c r="R71" s="20">
        <v>0</v>
      </c>
      <c r="S71" s="20">
        <f t="shared" si="45"/>
        <v>150200</v>
      </c>
      <c r="T71" s="20">
        <v>0</v>
      </c>
      <c r="U71" s="22">
        <v>26</v>
      </c>
      <c r="V71" s="22">
        <v>4</v>
      </c>
      <c r="W71" s="22">
        <v>0</v>
      </c>
      <c r="X71" s="22">
        <f t="shared" si="46"/>
        <v>30</v>
      </c>
      <c r="Y71" s="20">
        <f t="shared" si="37"/>
        <v>150200</v>
      </c>
      <c r="Z71" s="20">
        <v>0</v>
      </c>
      <c r="AA71" s="20">
        <f t="shared" si="47"/>
        <v>150200</v>
      </c>
      <c r="AB71" s="20">
        <f t="shared" si="38"/>
        <v>65086.666666666672</v>
      </c>
      <c r="AC71" s="20">
        <v>0</v>
      </c>
      <c r="AD71" s="20">
        <v>0</v>
      </c>
      <c r="AE71" s="20">
        <v>0</v>
      </c>
      <c r="AF71" s="20">
        <v>0</v>
      </c>
      <c r="AG71" s="20">
        <f t="shared" si="48"/>
        <v>200</v>
      </c>
      <c r="AH71" s="24">
        <v>14000</v>
      </c>
      <c r="AI71" s="80">
        <v>0</v>
      </c>
      <c r="AJ71" s="24">
        <v>0</v>
      </c>
      <c r="AK71" s="24">
        <v>0</v>
      </c>
      <c r="AL71" s="24">
        <v>0</v>
      </c>
      <c r="AM71" s="25">
        <f t="shared" si="49"/>
        <v>0</v>
      </c>
      <c r="AN71" s="60">
        <f t="shared" si="50"/>
        <v>136000</v>
      </c>
      <c r="AO71" s="51"/>
      <c r="AP71" s="51"/>
      <c r="AQ71" s="165" t="s">
        <v>294</v>
      </c>
      <c r="AR71" s="51"/>
      <c r="AS71" s="51"/>
      <c r="AT71" s="51"/>
      <c r="AU71" s="58"/>
      <c r="AV71" s="53"/>
      <c r="AW71" s="54"/>
      <c r="AX71" s="51"/>
      <c r="AY71" s="51"/>
      <c r="AZ71" s="51"/>
      <c r="BA71" s="51"/>
      <c r="BC71" s="152">
        <f t="shared" si="51"/>
        <v>136200</v>
      </c>
    </row>
    <row r="72" spans="2:56" s="50" customFormat="1" ht="15.75" x14ac:dyDescent="0.25">
      <c r="B72" s="196">
        <v>23000</v>
      </c>
      <c r="C72" s="198">
        <v>20570</v>
      </c>
      <c r="D72" s="28">
        <v>18700</v>
      </c>
      <c r="E72" s="16" t="s">
        <v>438</v>
      </c>
      <c r="F72" s="104" t="s">
        <v>159</v>
      </c>
      <c r="G72" s="112">
        <v>45078</v>
      </c>
      <c r="H72" s="51"/>
      <c r="I72" s="51"/>
      <c r="J72" s="41">
        <f t="shared" si="39"/>
        <v>54</v>
      </c>
      <c r="K72" s="86" t="s">
        <v>173</v>
      </c>
      <c r="L72" s="52" t="s">
        <v>176</v>
      </c>
      <c r="M72" s="33">
        <v>23000</v>
      </c>
      <c r="N72" s="20">
        <f t="shared" si="36"/>
        <v>13897</v>
      </c>
      <c r="O72" s="20">
        <f t="shared" si="42"/>
        <v>4552</v>
      </c>
      <c r="P72" s="20">
        <f t="shared" si="43"/>
        <v>2276</v>
      </c>
      <c r="Q72" s="20">
        <f t="shared" si="44"/>
        <v>2276</v>
      </c>
      <c r="R72" s="20">
        <v>0</v>
      </c>
      <c r="S72" s="20">
        <f t="shared" si="45"/>
        <v>23001</v>
      </c>
      <c r="T72" s="20">
        <v>0</v>
      </c>
      <c r="U72" s="22">
        <v>23</v>
      </c>
      <c r="V72" s="22">
        <v>3</v>
      </c>
      <c r="W72" s="22">
        <v>0</v>
      </c>
      <c r="X72" s="22">
        <f t="shared" si="46"/>
        <v>26</v>
      </c>
      <c r="Y72" s="20">
        <f t="shared" si="37"/>
        <v>19933.333333333332</v>
      </c>
      <c r="Z72" s="42">
        <v>170</v>
      </c>
      <c r="AA72" s="20">
        <f t="shared" si="47"/>
        <v>20103.333333333332</v>
      </c>
      <c r="AB72" s="20">
        <f t="shared" si="38"/>
        <v>10654.366666666667</v>
      </c>
      <c r="AC72" s="20">
        <v>0</v>
      </c>
      <c r="AD72" s="20">
        <v>0</v>
      </c>
      <c r="AE72" s="20">
        <v>0</v>
      </c>
      <c r="AF72" s="20">
        <v>0</v>
      </c>
      <c r="AG72" s="20">
        <f t="shared" si="48"/>
        <v>200</v>
      </c>
      <c r="AH72" s="24"/>
      <c r="AI72" s="80">
        <v>0</v>
      </c>
      <c r="AJ72" s="24">
        <v>0</v>
      </c>
      <c r="AK72" s="24">
        <v>0</v>
      </c>
      <c r="AL72" s="24">
        <v>0</v>
      </c>
      <c r="AM72" s="25">
        <f t="shared" si="49"/>
        <v>0</v>
      </c>
      <c r="AN72" s="60">
        <f t="shared" si="50"/>
        <v>19903.333333333332</v>
      </c>
      <c r="AO72" s="56"/>
      <c r="AP72" s="56"/>
      <c r="AQ72" s="170" t="s">
        <v>306</v>
      </c>
      <c r="AR72" s="56"/>
      <c r="AS72" s="56"/>
      <c r="AT72" s="57"/>
      <c r="AU72" s="58"/>
      <c r="AV72" s="53"/>
      <c r="AW72" s="54"/>
      <c r="AX72" s="51"/>
      <c r="AY72" s="51"/>
      <c r="AZ72" s="51"/>
      <c r="BA72" s="51"/>
      <c r="BC72" s="152">
        <f t="shared" si="51"/>
        <v>20103.333333333332</v>
      </c>
    </row>
    <row r="73" spans="2:56" s="50" customFormat="1" ht="15.75" x14ac:dyDescent="0.25">
      <c r="B73" s="198">
        <v>34240</v>
      </c>
      <c r="C73" s="155">
        <v>32000</v>
      </c>
      <c r="D73" s="140">
        <v>27000</v>
      </c>
      <c r="E73" s="30" t="s">
        <v>232</v>
      </c>
      <c r="F73" s="104" t="s">
        <v>150</v>
      </c>
      <c r="G73" s="112">
        <v>45078</v>
      </c>
      <c r="H73" s="51"/>
      <c r="I73" s="51"/>
      <c r="J73" s="41">
        <f t="shared" si="39"/>
        <v>55</v>
      </c>
      <c r="K73" s="86" t="s">
        <v>173</v>
      </c>
      <c r="L73" s="52" t="s">
        <v>177</v>
      </c>
      <c r="M73" s="33">
        <v>34240</v>
      </c>
      <c r="N73" s="20">
        <f t="shared" si="36"/>
        <v>17120</v>
      </c>
      <c r="O73" s="20">
        <f t="shared" si="42"/>
        <v>8560</v>
      </c>
      <c r="P73" s="20">
        <f t="shared" si="43"/>
        <v>4280</v>
      </c>
      <c r="Q73" s="20">
        <f t="shared" si="44"/>
        <v>4280</v>
      </c>
      <c r="R73" s="20">
        <v>0</v>
      </c>
      <c r="S73" s="20">
        <f t="shared" si="45"/>
        <v>34240</v>
      </c>
      <c r="T73" s="20">
        <v>0</v>
      </c>
      <c r="U73" s="22">
        <v>26</v>
      </c>
      <c r="V73" s="22">
        <v>4</v>
      </c>
      <c r="W73" s="22">
        <v>0</v>
      </c>
      <c r="X73" s="22">
        <f t="shared" si="46"/>
        <v>30</v>
      </c>
      <c r="Y73" s="20">
        <f t="shared" si="37"/>
        <v>34240</v>
      </c>
      <c r="Z73" s="20">
        <v>0</v>
      </c>
      <c r="AA73" s="20">
        <f t="shared" si="47"/>
        <v>34240</v>
      </c>
      <c r="AB73" s="20">
        <f t="shared" si="38"/>
        <v>14837.333333333332</v>
      </c>
      <c r="AC73" s="20">
        <v>0</v>
      </c>
      <c r="AD73" s="20"/>
      <c r="AE73" s="20">
        <v>0</v>
      </c>
      <c r="AF73" s="20"/>
      <c r="AG73" s="20">
        <f t="shared" si="48"/>
        <v>200</v>
      </c>
      <c r="AH73" s="24"/>
      <c r="AI73" s="80">
        <v>0</v>
      </c>
      <c r="AJ73" s="24">
        <v>0</v>
      </c>
      <c r="AK73" s="24">
        <v>0</v>
      </c>
      <c r="AL73" s="24">
        <v>0</v>
      </c>
      <c r="AM73" s="25">
        <f t="shared" si="49"/>
        <v>0</v>
      </c>
      <c r="AN73" s="60">
        <f t="shared" si="50"/>
        <v>34040</v>
      </c>
      <c r="AO73" s="56"/>
      <c r="AP73" s="56"/>
      <c r="AQ73" s="51" t="s">
        <v>377</v>
      </c>
      <c r="AR73" s="56"/>
      <c r="AS73" s="56"/>
      <c r="AT73" s="57"/>
      <c r="AU73" s="58"/>
      <c r="AV73" s="53"/>
      <c r="AW73" s="54"/>
      <c r="AX73" s="51"/>
      <c r="AY73" s="51"/>
      <c r="AZ73" s="51"/>
      <c r="BA73" s="51"/>
      <c r="BC73" s="152">
        <f t="shared" si="51"/>
        <v>34240</v>
      </c>
    </row>
    <row r="74" spans="2:56" s="50" customFormat="1" ht="15.75" x14ac:dyDescent="0.25">
      <c r="B74" s="198">
        <v>31500</v>
      </c>
      <c r="C74" s="155">
        <v>30000</v>
      </c>
      <c r="D74" s="78">
        <v>28000</v>
      </c>
      <c r="E74" s="30" t="s">
        <v>71</v>
      </c>
      <c r="F74" s="104" t="s">
        <v>150</v>
      </c>
      <c r="G74" s="112">
        <v>45108</v>
      </c>
      <c r="H74" s="51"/>
      <c r="I74" s="51"/>
      <c r="J74" s="41">
        <f t="shared" si="39"/>
        <v>56</v>
      </c>
      <c r="K74" s="86" t="s">
        <v>179</v>
      </c>
      <c r="L74" s="52" t="s">
        <v>180</v>
      </c>
      <c r="M74" s="33">
        <v>31500</v>
      </c>
      <c r="N74" s="20">
        <f t="shared" si="36"/>
        <v>15750</v>
      </c>
      <c r="O74" s="20">
        <f t="shared" si="42"/>
        <v>7875</v>
      </c>
      <c r="P74" s="20">
        <f t="shared" si="43"/>
        <v>3938</v>
      </c>
      <c r="Q74" s="20">
        <f t="shared" si="44"/>
        <v>3938</v>
      </c>
      <c r="R74" s="20">
        <v>0</v>
      </c>
      <c r="S74" s="20">
        <f t="shared" si="45"/>
        <v>31501</v>
      </c>
      <c r="T74" s="20">
        <v>0</v>
      </c>
      <c r="U74" s="22">
        <v>26</v>
      </c>
      <c r="V74" s="22">
        <v>4</v>
      </c>
      <c r="W74" s="22">
        <v>0</v>
      </c>
      <c r="X74" s="22">
        <f t="shared" si="46"/>
        <v>30</v>
      </c>
      <c r="Y74" s="20">
        <f t="shared" si="37"/>
        <v>31500</v>
      </c>
      <c r="Z74" s="20">
        <v>0</v>
      </c>
      <c r="AA74" s="20">
        <f t="shared" si="47"/>
        <v>31500</v>
      </c>
      <c r="AB74" s="20">
        <f t="shared" si="38"/>
        <v>13650</v>
      </c>
      <c r="AC74" s="20">
        <v>0</v>
      </c>
      <c r="AD74" s="20">
        <v>0</v>
      </c>
      <c r="AE74" s="20">
        <v>0</v>
      </c>
      <c r="AF74" s="20">
        <v>0</v>
      </c>
      <c r="AG74" s="20">
        <f t="shared" si="48"/>
        <v>200</v>
      </c>
      <c r="AH74" s="24"/>
      <c r="AI74" s="80">
        <v>0</v>
      </c>
      <c r="AJ74" s="24">
        <v>0</v>
      </c>
      <c r="AK74" s="24">
        <v>0</v>
      </c>
      <c r="AL74" s="24">
        <v>0</v>
      </c>
      <c r="AM74" s="25">
        <f t="shared" si="49"/>
        <v>0</v>
      </c>
      <c r="AN74" s="60">
        <f t="shared" si="50"/>
        <v>31300</v>
      </c>
      <c r="AO74" s="56"/>
      <c r="AP74" s="56"/>
      <c r="AQ74" s="172" t="s">
        <v>397</v>
      </c>
      <c r="AR74" s="56"/>
      <c r="AS74" s="56"/>
      <c r="AT74" s="57"/>
      <c r="AU74" s="58"/>
      <c r="AV74" s="53"/>
      <c r="AW74" s="54"/>
      <c r="AX74" s="51"/>
      <c r="AY74" s="51"/>
      <c r="AZ74" s="51"/>
      <c r="BA74" s="51"/>
      <c r="BC74" s="152">
        <f t="shared" si="51"/>
        <v>31500</v>
      </c>
    </row>
    <row r="75" spans="2:56" s="50" customFormat="1" ht="15.75" x14ac:dyDescent="0.25">
      <c r="B75" s="198">
        <v>41800</v>
      </c>
      <c r="C75" s="155">
        <v>38000</v>
      </c>
      <c r="D75" s="78">
        <v>36000</v>
      </c>
      <c r="E75" s="16" t="s">
        <v>187</v>
      </c>
      <c r="F75" s="104" t="s">
        <v>150</v>
      </c>
      <c r="G75" s="112">
        <v>45139</v>
      </c>
      <c r="H75" s="51"/>
      <c r="I75" s="51"/>
      <c r="J75" s="41">
        <f t="shared" si="39"/>
        <v>57</v>
      </c>
      <c r="K75" s="86" t="s">
        <v>184</v>
      </c>
      <c r="L75" s="52" t="s">
        <v>183</v>
      </c>
      <c r="M75" s="33">
        <v>41800</v>
      </c>
      <c r="N75" s="20">
        <f t="shared" si="36"/>
        <v>20900</v>
      </c>
      <c r="O75" s="20">
        <f t="shared" si="42"/>
        <v>10450</v>
      </c>
      <c r="P75" s="20">
        <f t="shared" si="43"/>
        <v>5225</v>
      </c>
      <c r="Q75" s="20">
        <f t="shared" si="44"/>
        <v>5225</v>
      </c>
      <c r="R75" s="20">
        <v>0</v>
      </c>
      <c r="S75" s="20">
        <f t="shared" si="45"/>
        <v>41800</v>
      </c>
      <c r="T75" s="20">
        <v>0</v>
      </c>
      <c r="U75" s="22">
        <v>26</v>
      </c>
      <c r="V75" s="22">
        <v>4</v>
      </c>
      <c r="W75" s="22">
        <v>0</v>
      </c>
      <c r="X75" s="22">
        <f t="shared" si="46"/>
        <v>30</v>
      </c>
      <c r="Y75" s="20">
        <f t="shared" si="37"/>
        <v>41800</v>
      </c>
      <c r="Z75" s="20">
        <v>0</v>
      </c>
      <c r="AA75" s="20">
        <f t="shared" si="47"/>
        <v>41800</v>
      </c>
      <c r="AB75" s="20">
        <f t="shared" si="38"/>
        <v>18113.333333333332</v>
      </c>
      <c r="AC75" s="20">
        <v>0</v>
      </c>
      <c r="AD75" s="20">
        <v>0</v>
      </c>
      <c r="AE75" s="20">
        <v>0</v>
      </c>
      <c r="AF75" s="20">
        <v>0</v>
      </c>
      <c r="AG75" s="20">
        <f t="shared" si="48"/>
        <v>200</v>
      </c>
      <c r="AH75" s="24"/>
      <c r="AI75" s="80">
        <v>0</v>
      </c>
      <c r="AJ75" s="24">
        <v>0</v>
      </c>
      <c r="AK75" s="24">
        <v>0</v>
      </c>
      <c r="AL75" s="24">
        <v>0</v>
      </c>
      <c r="AM75" s="25">
        <f t="shared" si="49"/>
        <v>0</v>
      </c>
      <c r="AN75" s="60">
        <f t="shared" si="50"/>
        <v>41600</v>
      </c>
      <c r="AO75" s="56"/>
      <c r="AP75" s="56"/>
      <c r="AQ75" s="165" t="s">
        <v>331</v>
      </c>
      <c r="AR75" s="56"/>
      <c r="AS75" s="56"/>
      <c r="AT75" s="57"/>
      <c r="AU75" s="58"/>
      <c r="AV75" s="53"/>
      <c r="AW75" s="54"/>
      <c r="AX75" s="51"/>
      <c r="AY75" s="51"/>
      <c r="AZ75" s="51"/>
      <c r="BA75" s="51"/>
      <c r="BC75" s="152">
        <f t="shared" si="51"/>
        <v>41800</v>
      </c>
    </row>
    <row r="76" spans="2:56" s="50" customFormat="1" ht="15.75" x14ac:dyDescent="0.25">
      <c r="B76" s="198">
        <v>70500</v>
      </c>
      <c r="C76" s="155">
        <v>65000</v>
      </c>
      <c r="D76" s="78">
        <v>60500</v>
      </c>
      <c r="E76" s="16" t="s">
        <v>187</v>
      </c>
      <c r="F76" s="104" t="s">
        <v>145</v>
      </c>
      <c r="G76" s="112">
        <v>45170</v>
      </c>
      <c r="H76" s="51"/>
      <c r="I76" s="51"/>
      <c r="J76" s="41">
        <f t="shared" si="39"/>
        <v>58</v>
      </c>
      <c r="K76" s="86" t="s">
        <v>185</v>
      </c>
      <c r="L76" s="52" t="s">
        <v>186</v>
      </c>
      <c r="M76" s="33">
        <v>70500</v>
      </c>
      <c r="N76" s="20">
        <f t="shared" si="36"/>
        <v>35250</v>
      </c>
      <c r="O76" s="20">
        <f t="shared" si="42"/>
        <v>17625</v>
      </c>
      <c r="P76" s="20">
        <f t="shared" si="43"/>
        <v>8813</v>
      </c>
      <c r="Q76" s="20">
        <f t="shared" si="44"/>
        <v>8813</v>
      </c>
      <c r="R76" s="20">
        <v>0</v>
      </c>
      <c r="S76" s="20">
        <f t="shared" si="45"/>
        <v>70501</v>
      </c>
      <c r="T76" s="20">
        <v>0</v>
      </c>
      <c r="U76" s="22">
        <v>26</v>
      </c>
      <c r="V76" s="22">
        <v>4</v>
      </c>
      <c r="W76" s="22">
        <v>0</v>
      </c>
      <c r="X76" s="22">
        <f t="shared" si="46"/>
        <v>30</v>
      </c>
      <c r="Y76" s="20">
        <f t="shared" si="37"/>
        <v>70500</v>
      </c>
      <c r="Z76" s="20">
        <v>0</v>
      </c>
      <c r="AA76" s="20">
        <f t="shared" si="47"/>
        <v>70500</v>
      </c>
      <c r="AB76" s="20">
        <f t="shared" si="38"/>
        <v>30550</v>
      </c>
      <c r="AC76" s="20">
        <v>0</v>
      </c>
      <c r="AD76" s="20">
        <v>0</v>
      </c>
      <c r="AE76" s="20">
        <v>0</v>
      </c>
      <c r="AF76" s="20"/>
      <c r="AG76" s="20">
        <f t="shared" si="48"/>
        <v>200</v>
      </c>
      <c r="AH76" s="24"/>
      <c r="AI76" s="80">
        <v>0</v>
      </c>
      <c r="AJ76" s="24">
        <v>0</v>
      </c>
      <c r="AK76" s="24">
        <v>0</v>
      </c>
      <c r="AL76" s="24">
        <v>0</v>
      </c>
      <c r="AM76" s="25">
        <f t="shared" si="49"/>
        <v>0</v>
      </c>
      <c r="AN76" s="60">
        <f t="shared" si="50"/>
        <v>70300</v>
      </c>
      <c r="AO76" s="56"/>
      <c r="AP76" s="56"/>
      <c r="AQ76" s="165" t="s">
        <v>328</v>
      </c>
      <c r="AR76" s="56"/>
      <c r="AS76" s="56"/>
      <c r="AT76" s="57"/>
      <c r="AU76" s="58"/>
      <c r="AV76" s="53"/>
      <c r="AW76" s="54"/>
      <c r="AX76" s="51"/>
      <c r="AY76" s="51"/>
      <c r="AZ76" s="51"/>
      <c r="BA76" s="51"/>
      <c r="BC76" s="152">
        <f t="shared" si="51"/>
        <v>70500</v>
      </c>
    </row>
    <row r="77" spans="2:56" s="50" customFormat="1" ht="15.75" x14ac:dyDescent="0.25">
      <c r="B77" s="198">
        <v>42900</v>
      </c>
      <c r="C77" s="155">
        <v>39000</v>
      </c>
      <c r="D77" s="78">
        <v>38000</v>
      </c>
      <c r="E77" s="16" t="s">
        <v>187</v>
      </c>
      <c r="F77" s="104" t="s">
        <v>150</v>
      </c>
      <c r="G77" s="112">
        <v>45200</v>
      </c>
      <c r="H77" s="30"/>
      <c r="I77" s="30"/>
      <c r="J77" s="41">
        <f t="shared" si="39"/>
        <v>59</v>
      </c>
      <c r="K77" s="86" t="s">
        <v>190</v>
      </c>
      <c r="L77" s="30" t="s">
        <v>189</v>
      </c>
      <c r="M77" s="33">
        <v>42900</v>
      </c>
      <c r="N77" s="20">
        <f t="shared" si="36"/>
        <v>21450</v>
      </c>
      <c r="O77" s="20">
        <f t="shared" si="42"/>
        <v>10725</v>
      </c>
      <c r="P77" s="20">
        <f t="shared" si="43"/>
        <v>5363</v>
      </c>
      <c r="Q77" s="20">
        <f t="shared" si="44"/>
        <v>5363</v>
      </c>
      <c r="R77" s="20">
        <v>0</v>
      </c>
      <c r="S77" s="20">
        <f t="shared" si="45"/>
        <v>42901</v>
      </c>
      <c r="T77" s="20">
        <v>0</v>
      </c>
      <c r="U77" s="22">
        <v>26</v>
      </c>
      <c r="V77" s="22">
        <v>4</v>
      </c>
      <c r="W77" s="22">
        <v>0</v>
      </c>
      <c r="X77" s="22">
        <f t="shared" si="46"/>
        <v>30</v>
      </c>
      <c r="Y77" s="20">
        <f t="shared" si="37"/>
        <v>42900</v>
      </c>
      <c r="Z77" s="20">
        <v>0</v>
      </c>
      <c r="AA77" s="20">
        <f t="shared" si="47"/>
        <v>42900</v>
      </c>
      <c r="AB77" s="20">
        <f t="shared" si="38"/>
        <v>18590</v>
      </c>
      <c r="AC77" s="20">
        <v>0</v>
      </c>
      <c r="AD77" s="20">
        <v>0</v>
      </c>
      <c r="AE77" s="20">
        <v>0</v>
      </c>
      <c r="AF77" s="20"/>
      <c r="AG77" s="20">
        <f t="shared" si="48"/>
        <v>200</v>
      </c>
      <c r="AH77" s="24"/>
      <c r="AI77" s="80">
        <v>0</v>
      </c>
      <c r="AJ77" s="24">
        <v>0</v>
      </c>
      <c r="AK77" s="24">
        <v>0</v>
      </c>
      <c r="AL77" s="24">
        <v>0</v>
      </c>
      <c r="AM77" s="25">
        <f t="shared" si="49"/>
        <v>0</v>
      </c>
      <c r="AN77" s="60">
        <f t="shared" si="50"/>
        <v>42700</v>
      </c>
      <c r="AO77" s="56"/>
      <c r="AP77" s="56"/>
      <c r="AQ77" s="51" t="s">
        <v>329</v>
      </c>
      <c r="AR77" s="56"/>
      <c r="AS77" s="56"/>
      <c r="AT77" s="57"/>
      <c r="AU77" s="58"/>
      <c r="AV77" s="53"/>
      <c r="AW77" s="54"/>
      <c r="AX77" s="51"/>
      <c r="AY77" s="51"/>
      <c r="AZ77" s="51"/>
      <c r="BA77" s="51"/>
      <c r="BC77" s="152">
        <f t="shared" si="51"/>
        <v>42900</v>
      </c>
    </row>
    <row r="78" spans="2:56" s="50" customFormat="1" ht="15.75" x14ac:dyDescent="0.25">
      <c r="B78" s="198">
        <v>53000</v>
      </c>
      <c r="C78" s="155">
        <v>53000</v>
      </c>
      <c r="D78" s="78">
        <v>50000</v>
      </c>
      <c r="E78" s="16" t="s">
        <v>54</v>
      </c>
      <c r="F78" s="104" t="s">
        <v>146</v>
      </c>
      <c r="G78" s="134">
        <v>45261</v>
      </c>
      <c r="H78" s="30"/>
      <c r="I78" s="30"/>
      <c r="J78" s="41">
        <f t="shared" si="39"/>
        <v>60</v>
      </c>
      <c r="K78" s="86" t="s">
        <v>197</v>
      </c>
      <c r="L78" s="110" t="s">
        <v>194</v>
      </c>
      <c r="M78" s="33">
        <v>53000</v>
      </c>
      <c r="N78" s="20">
        <f t="shared" si="36"/>
        <v>26500</v>
      </c>
      <c r="O78" s="20">
        <f t="shared" si="42"/>
        <v>13250</v>
      </c>
      <c r="P78" s="20">
        <f t="shared" si="43"/>
        <v>6625</v>
      </c>
      <c r="Q78" s="20">
        <f t="shared" si="44"/>
        <v>6625</v>
      </c>
      <c r="R78" s="20">
        <v>0</v>
      </c>
      <c r="S78" s="20">
        <v>50000</v>
      </c>
      <c r="T78" s="20">
        <v>0</v>
      </c>
      <c r="U78" s="22">
        <v>26</v>
      </c>
      <c r="V78" s="22">
        <v>4</v>
      </c>
      <c r="W78" s="22">
        <v>0</v>
      </c>
      <c r="X78" s="22">
        <f t="shared" si="46"/>
        <v>30</v>
      </c>
      <c r="Y78" s="20">
        <f t="shared" si="37"/>
        <v>53000</v>
      </c>
      <c r="Z78" s="20">
        <v>0</v>
      </c>
      <c r="AA78" s="20">
        <f t="shared" si="47"/>
        <v>53000</v>
      </c>
      <c r="AB78" s="20">
        <f t="shared" si="38"/>
        <v>22966.666666666668</v>
      </c>
      <c r="AC78" s="20">
        <v>0</v>
      </c>
      <c r="AD78" s="20">
        <v>0</v>
      </c>
      <c r="AE78" s="20">
        <v>0</v>
      </c>
      <c r="AF78" s="20"/>
      <c r="AG78" s="20">
        <f t="shared" si="48"/>
        <v>200</v>
      </c>
      <c r="AH78" s="24"/>
      <c r="AI78" s="80">
        <v>0</v>
      </c>
      <c r="AJ78" s="24">
        <v>0</v>
      </c>
      <c r="AK78" s="24">
        <v>0</v>
      </c>
      <c r="AL78" s="24">
        <v>0</v>
      </c>
      <c r="AM78" s="25">
        <f t="shared" si="49"/>
        <v>0</v>
      </c>
      <c r="AN78" s="60">
        <f t="shared" si="50"/>
        <v>52800</v>
      </c>
      <c r="AO78" s="56"/>
      <c r="AP78" s="56"/>
      <c r="AQ78" s="51" t="s">
        <v>327</v>
      </c>
      <c r="AR78" s="56"/>
      <c r="AS78" s="56"/>
      <c r="AT78" s="57"/>
      <c r="AU78" s="58"/>
      <c r="AV78" s="53"/>
      <c r="AW78" s="54"/>
      <c r="AX78" s="51"/>
      <c r="AY78" s="51"/>
      <c r="AZ78" s="51"/>
      <c r="BA78" s="51"/>
      <c r="BC78" s="152">
        <f t="shared" si="51"/>
        <v>53000</v>
      </c>
    </row>
    <row r="79" spans="2:56" s="50" customFormat="1" ht="15.75" x14ac:dyDescent="0.25">
      <c r="B79" s="198">
        <v>35000</v>
      </c>
      <c r="C79" s="155">
        <v>30000</v>
      </c>
      <c r="D79" s="78">
        <v>25000</v>
      </c>
      <c r="E79" s="30" t="s">
        <v>422</v>
      </c>
      <c r="F79" s="115" t="s">
        <v>193</v>
      </c>
      <c r="G79" s="134">
        <v>45261</v>
      </c>
      <c r="H79" s="51"/>
      <c r="I79" s="51"/>
      <c r="J79" s="41">
        <f t="shared" si="39"/>
        <v>61</v>
      </c>
      <c r="K79" s="86" t="s">
        <v>197</v>
      </c>
      <c r="L79" s="52" t="s">
        <v>192</v>
      </c>
      <c r="M79" s="33">
        <v>35000</v>
      </c>
      <c r="N79" s="20">
        <f t="shared" si="36"/>
        <v>17500</v>
      </c>
      <c r="O79" s="20">
        <f t="shared" si="42"/>
        <v>8750</v>
      </c>
      <c r="P79" s="20">
        <f t="shared" si="43"/>
        <v>4375</v>
      </c>
      <c r="Q79" s="20">
        <f t="shared" si="44"/>
        <v>4375</v>
      </c>
      <c r="R79" s="20">
        <v>0</v>
      </c>
      <c r="S79" s="20">
        <f t="shared" ref="S79:S85" si="52">N79+O79+P79+Q79+R79</f>
        <v>35000</v>
      </c>
      <c r="T79" s="20">
        <v>0</v>
      </c>
      <c r="U79" s="22">
        <v>26</v>
      </c>
      <c r="V79" s="22">
        <v>4</v>
      </c>
      <c r="W79" s="22">
        <v>0</v>
      </c>
      <c r="X79" s="22">
        <f t="shared" si="46"/>
        <v>30</v>
      </c>
      <c r="Y79" s="20">
        <f t="shared" si="37"/>
        <v>35000</v>
      </c>
      <c r="Z79" s="20">
        <v>0</v>
      </c>
      <c r="AA79" s="20">
        <f t="shared" si="47"/>
        <v>35000</v>
      </c>
      <c r="AB79" s="20">
        <f t="shared" si="38"/>
        <v>15166.666666666668</v>
      </c>
      <c r="AC79" s="20">
        <v>0</v>
      </c>
      <c r="AD79" s="20">
        <v>0</v>
      </c>
      <c r="AE79" s="20">
        <v>0</v>
      </c>
      <c r="AF79" s="20">
        <v>0</v>
      </c>
      <c r="AG79" s="20">
        <f t="shared" si="48"/>
        <v>200</v>
      </c>
      <c r="AH79" s="24"/>
      <c r="AI79" s="80">
        <v>0</v>
      </c>
      <c r="AJ79" s="24">
        <v>0</v>
      </c>
      <c r="AK79" s="24">
        <v>0</v>
      </c>
      <c r="AL79" s="24">
        <v>0</v>
      </c>
      <c r="AM79" s="25">
        <f t="shared" si="49"/>
        <v>0</v>
      </c>
      <c r="AN79" s="60">
        <f t="shared" si="50"/>
        <v>34800</v>
      </c>
      <c r="AO79" s="56"/>
      <c r="AP79" s="56"/>
      <c r="AQ79" s="172" t="s">
        <v>392</v>
      </c>
      <c r="AR79" s="56"/>
      <c r="AS79" s="56"/>
      <c r="AT79" s="57"/>
      <c r="AU79" s="58"/>
      <c r="AV79" s="53"/>
      <c r="AW79" s="54"/>
      <c r="AX79" s="51"/>
      <c r="AY79" s="51"/>
      <c r="AZ79" s="51"/>
      <c r="BA79" s="51"/>
      <c r="BC79" s="152">
        <f t="shared" si="51"/>
        <v>35000</v>
      </c>
    </row>
    <row r="80" spans="2:56" s="50" customFormat="1" ht="15.75" x14ac:dyDescent="0.25">
      <c r="B80" s="197"/>
      <c r="C80" s="103"/>
      <c r="D80" s="15">
        <v>100200</v>
      </c>
      <c r="E80" s="48" t="s">
        <v>212</v>
      </c>
      <c r="F80" s="113" t="s">
        <v>210</v>
      </c>
      <c r="G80" s="134">
        <v>45261</v>
      </c>
      <c r="H80" s="51"/>
      <c r="I80" s="51"/>
      <c r="J80" s="41">
        <f t="shared" si="39"/>
        <v>62</v>
      </c>
      <c r="K80" s="86" t="s">
        <v>197</v>
      </c>
      <c r="L80" s="52" t="s">
        <v>195</v>
      </c>
      <c r="M80" s="33">
        <v>150200</v>
      </c>
      <c r="N80" s="20">
        <f t="shared" si="36"/>
        <v>75100</v>
      </c>
      <c r="O80" s="20">
        <f t="shared" si="42"/>
        <v>37550</v>
      </c>
      <c r="P80" s="20">
        <f t="shared" si="43"/>
        <v>18775</v>
      </c>
      <c r="Q80" s="20">
        <f t="shared" si="44"/>
        <v>18775</v>
      </c>
      <c r="R80" s="20">
        <v>0</v>
      </c>
      <c r="S80" s="20">
        <f t="shared" si="52"/>
        <v>150200</v>
      </c>
      <c r="T80" s="20">
        <v>0</v>
      </c>
      <c r="U80" s="22">
        <v>26</v>
      </c>
      <c r="V80" s="22">
        <v>4</v>
      </c>
      <c r="W80" s="22">
        <v>0</v>
      </c>
      <c r="X80" s="22">
        <f t="shared" si="46"/>
        <v>30</v>
      </c>
      <c r="Y80" s="20">
        <f t="shared" si="37"/>
        <v>150200</v>
      </c>
      <c r="Z80" s="20">
        <v>0</v>
      </c>
      <c r="AA80" s="20">
        <f t="shared" si="47"/>
        <v>150200</v>
      </c>
      <c r="AB80" s="20">
        <f t="shared" si="38"/>
        <v>65086.666666666672</v>
      </c>
      <c r="AC80" s="20">
        <v>0</v>
      </c>
      <c r="AD80" s="20">
        <v>0</v>
      </c>
      <c r="AE80" s="20">
        <v>0</v>
      </c>
      <c r="AF80" s="20">
        <v>0</v>
      </c>
      <c r="AG80" s="20">
        <f t="shared" si="48"/>
        <v>200</v>
      </c>
      <c r="AH80" s="24">
        <v>13000</v>
      </c>
      <c r="AI80" s="80">
        <v>0</v>
      </c>
      <c r="AJ80" s="24">
        <v>0</v>
      </c>
      <c r="AK80" s="24">
        <v>0</v>
      </c>
      <c r="AL80" s="24">
        <v>0</v>
      </c>
      <c r="AM80" s="25">
        <v>0</v>
      </c>
      <c r="AN80" s="60">
        <f t="shared" si="50"/>
        <v>137000</v>
      </c>
      <c r="AO80" s="51"/>
      <c r="AP80" s="51"/>
      <c r="AQ80" s="51" t="s">
        <v>321</v>
      </c>
      <c r="AR80" s="51"/>
      <c r="AS80" s="51"/>
      <c r="AT80" s="51"/>
      <c r="AU80" s="58"/>
      <c r="AV80" s="53"/>
      <c r="AW80" s="54"/>
      <c r="AX80" s="51"/>
      <c r="AY80" s="51"/>
      <c r="AZ80" s="51"/>
      <c r="BA80" s="51"/>
      <c r="BC80" s="152">
        <f t="shared" si="51"/>
        <v>137200</v>
      </c>
    </row>
    <row r="81" spans="2:56" s="50" customFormat="1" ht="15.75" x14ac:dyDescent="0.25">
      <c r="B81" s="197"/>
      <c r="C81" s="103"/>
      <c r="D81" s="78">
        <v>125200</v>
      </c>
      <c r="E81" s="48" t="s">
        <v>212</v>
      </c>
      <c r="F81" s="113" t="s">
        <v>210</v>
      </c>
      <c r="G81" s="134">
        <v>45261</v>
      </c>
      <c r="H81" s="51"/>
      <c r="I81" s="51"/>
      <c r="J81" s="41">
        <f t="shared" si="39"/>
        <v>63</v>
      </c>
      <c r="K81" s="86" t="s">
        <v>197</v>
      </c>
      <c r="L81" s="52" t="s">
        <v>196</v>
      </c>
      <c r="M81" s="33">
        <v>125200</v>
      </c>
      <c r="N81" s="20">
        <f t="shared" si="36"/>
        <v>62600</v>
      </c>
      <c r="O81" s="20">
        <f t="shared" si="42"/>
        <v>31300</v>
      </c>
      <c r="P81" s="20">
        <f t="shared" si="43"/>
        <v>15650</v>
      </c>
      <c r="Q81" s="20">
        <f t="shared" si="44"/>
        <v>15650</v>
      </c>
      <c r="R81" s="20">
        <v>0</v>
      </c>
      <c r="S81" s="20">
        <f t="shared" si="52"/>
        <v>125200</v>
      </c>
      <c r="T81" s="20">
        <v>0</v>
      </c>
      <c r="U81" s="22">
        <v>26</v>
      </c>
      <c r="V81" s="22">
        <v>4</v>
      </c>
      <c r="W81" s="22">
        <v>0</v>
      </c>
      <c r="X81" s="22">
        <f t="shared" si="46"/>
        <v>30</v>
      </c>
      <c r="Y81" s="20">
        <f t="shared" si="37"/>
        <v>125199.99999999999</v>
      </c>
      <c r="Z81" s="20">
        <v>0</v>
      </c>
      <c r="AA81" s="20">
        <f t="shared" si="47"/>
        <v>125199.99999999999</v>
      </c>
      <c r="AB81" s="20">
        <f t="shared" si="38"/>
        <v>54253.333333333328</v>
      </c>
      <c r="AC81" s="20">
        <v>0</v>
      </c>
      <c r="AD81" s="20">
        <v>0</v>
      </c>
      <c r="AE81" s="20">
        <v>0</v>
      </c>
      <c r="AF81" s="20">
        <v>0</v>
      </c>
      <c r="AG81" s="20">
        <f t="shared" si="48"/>
        <v>200</v>
      </c>
      <c r="AH81" s="24">
        <v>10000</v>
      </c>
      <c r="AI81" s="80">
        <v>0</v>
      </c>
      <c r="AJ81" s="24">
        <v>0</v>
      </c>
      <c r="AK81" s="24">
        <v>0</v>
      </c>
      <c r="AL81" s="24">
        <v>0</v>
      </c>
      <c r="AM81" s="25">
        <f t="shared" si="49"/>
        <v>0</v>
      </c>
      <c r="AN81" s="60">
        <f t="shared" si="50"/>
        <v>114999.99999999999</v>
      </c>
      <c r="AO81" s="51"/>
      <c r="AP81" s="51"/>
      <c r="AQ81" s="165" t="s">
        <v>288</v>
      </c>
      <c r="AR81" s="51"/>
      <c r="AS81" s="51"/>
      <c r="AT81" s="51"/>
      <c r="AU81" s="58"/>
      <c r="AV81" s="53"/>
      <c r="AW81" s="54"/>
      <c r="AX81" s="51"/>
      <c r="AY81" s="51"/>
      <c r="AZ81" s="51"/>
      <c r="BA81" s="51"/>
      <c r="BC81" s="152">
        <f t="shared" si="51"/>
        <v>115199.99999999999</v>
      </c>
    </row>
    <row r="82" spans="2:56" s="50" customFormat="1" ht="15.75" x14ac:dyDescent="0.25">
      <c r="B82" s="198">
        <v>26000</v>
      </c>
      <c r="C82" s="155">
        <v>23500</v>
      </c>
      <c r="D82" s="78">
        <v>20000</v>
      </c>
      <c r="E82" s="48" t="s">
        <v>247</v>
      </c>
      <c r="F82" s="104" t="s">
        <v>150</v>
      </c>
      <c r="G82" s="112">
        <v>45292</v>
      </c>
      <c r="H82" s="51"/>
      <c r="I82" s="51"/>
      <c r="J82" s="41">
        <f t="shared" si="39"/>
        <v>64</v>
      </c>
      <c r="K82" s="86" t="s">
        <v>198</v>
      </c>
      <c r="L82" s="86" t="s">
        <v>199</v>
      </c>
      <c r="M82" s="33">
        <v>26000</v>
      </c>
      <c r="N82" s="20">
        <f t="shared" si="36"/>
        <v>13897</v>
      </c>
      <c r="O82" s="20">
        <f t="shared" si="42"/>
        <v>6052</v>
      </c>
      <c r="P82" s="20">
        <f t="shared" si="43"/>
        <v>3026</v>
      </c>
      <c r="Q82" s="20">
        <f t="shared" si="44"/>
        <v>3026</v>
      </c>
      <c r="R82" s="20">
        <v>0</v>
      </c>
      <c r="S82" s="20">
        <f t="shared" si="52"/>
        <v>26001</v>
      </c>
      <c r="T82" s="20">
        <v>0</v>
      </c>
      <c r="U82" s="22">
        <v>26</v>
      </c>
      <c r="V82" s="22">
        <v>4</v>
      </c>
      <c r="W82" s="22">
        <v>0</v>
      </c>
      <c r="X82" s="22">
        <f t="shared" si="46"/>
        <v>30</v>
      </c>
      <c r="Y82" s="20">
        <f t="shared" si="37"/>
        <v>26000</v>
      </c>
      <c r="Z82" s="20">
        <v>0</v>
      </c>
      <c r="AA82" s="20">
        <f t="shared" si="47"/>
        <v>26000</v>
      </c>
      <c r="AB82" s="20">
        <f t="shared" si="38"/>
        <v>12044.066666666668</v>
      </c>
      <c r="AC82" s="20">
        <v>0</v>
      </c>
      <c r="AD82" s="20">
        <v>0</v>
      </c>
      <c r="AE82" s="20">
        <v>0</v>
      </c>
      <c r="AF82" s="20"/>
      <c r="AG82" s="20">
        <f t="shared" si="48"/>
        <v>200</v>
      </c>
      <c r="AH82" s="24"/>
      <c r="AI82" s="80">
        <v>0</v>
      </c>
      <c r="AJ82" s="24">
        <v>0</v>
      </c>
      <c r="AK82" s="24">
        <v>0</v>
      </c>
      <c r="AL82" s="24">
        <v>0</v>
      </c>
      <c r="AM82" s="25">
        <f t="shared" si="49"/>
        <v>0</v>
      </c>
      <c r="AN82" s="60">
        <f t="shared" si="50"/>
        <v>25800</v>
      </c>
      <c r="AO82" s="56"/>
      <c r="AP82" s="56"/>
      <c r="AQ82" s="51" t="s">
        <v>341</v>
      </c>
      <c r="AR82" s="56"/>
      <c r="AS82" s="56"/>
      <c r="AT82" s="57"/>
      <c r="AU82" s="58"/>
      <c r="AV82" s="53"/>
      <c r="AW82" s="54"/>
      <c r="AX82" s="51"/>
      <c r="AY82" s="51"/>
      <c r="AZ82" s="51"/>
      <c r="BA82" s="51"/>
      <c r="BC82" s="19">
        <f t="shared" si="51"/>
        <v>26000</v>
      </c>
    </row>
    <row r="83" spans="2:56" s="50" customFormat="1" ht="15.75" x14ac:dyDescent="0.25">
      <c r="B83" s="196"/>
      <c r="C83" s="103"/>
      <c r="D83" s="78">
        <v>20200</v>
      </c>
      <c r="E83" s="16" t="s">
        <v>135</v>
      </c>
      <c r="F83" s="113" t="s">
        <v>150</v>
      </c>
      <c r="G83" s="134">
        <v>45352</v>
      </c>
      <c r="H83" s="109"/>
      <c r="I83" s="109"/>
      <c r="J83" s="41">
        <f t="shared" si="39"/>
        <v>65</v>
      </c>
      <c r="K83" s="86" t="s">
        <v>203</v>
      </c>
      <c r="L83" s="133" t="s">
        <v>200</v>
      </c>
      <c r="M83" s="33">
        <v>40400</v>
      </c>
      <c r="N83" s="20">
        <f t="shared" si="36"/>
        <v>20200</v>
      </c>
      <c r="O83" s="20">
        <f t="shared" si="42"/>
        <v>10100</v>
      </c>
      <c r="P83" s="20">
        <f t="shared" si="43"/>
        <v>5050</v>
      </c>
      <c r="Q83" s="20">
        <f t="shared" si="44"/>
        <v>5050</v>
      </c>
      <c r="R83" s="20">
        <v>0</v>
      </c>
      <c r="S83" s="20">
        <f t="shared" si="52"/>
        <v>40400</v>
      </c>
      <c r="T83" s="20">
        <v>0</v>
      </c>
      <c r="U83" s="22">
        <v>26</v>
      </c>
      <c r="V83" s="22">
        <v>4</v>
      </c>
      <c r="W83" s="22">
        <v>0</v>
      </c>
      <c r="X83" s="22">
        <f t="shared" si="46"/>
        <v>30</v>
      </c>
      <c r="Y83" s="20">
        <f t="shared" si="37"/>
        <v>40400</v>
      </c>
      <c r="Z83" s="20">
        <v>0</v>
      </c>
      <c r="AA83" s="20">
        <f t="shared" si="47"/>
        <v>40400</v>
      </c>
      <c r="AB83" s="20">
        <f t="shared" si="38"/>
        <v>17506.666666666668</v>
      </c>
      <c r="AC83" s="20">
        <v>0</v>
      </c>
      <c r="AD83" s="42">
        <v>0</v>
      </c>
      <c r="AE83" s="20">
        <v>0</v>
      </c>
      <c r="AF83" s="20">
        <v>0</v>
      </c>
      <c r="AG83" s="20">
        <f t="shared" si="48"/>
        <v>200</v>
      </c>
      <c r="AH83" s="24">
        <v>0</v>
      </c>
      <c r="AI83" s="80">
        <v>200</v>
      </c>
      <c r="AJ83" s="122">
        <v>0</v>
      </c>
      <c r="AK83" s="122">
        <v>0</v>
      </c>
      <c r="AL83" s="122">
        <v>0</v>
      </c>
      <c r="AM83" s="25">
        <v>0</v>
      </c>
      <c r="AN83" s="60">
        <f t="shared" si="50"/>
        <v>40000</v>
      </c>
      <c r="AO83" s="51"/>
      <c r="AP83" s="51"/>
      <c r="AQ83" s="173" t="s">
        <v>385</v>
      </c>
      <c r="AR83" s="51"/>
      <c r="AS83" s="51"/>
      <c r="AT83" s="51"/>
      <c r="AU83" s="58"/>
      <c r="AV83" s="53"/>
      <c r="AW83" s="54"/>
      <c r="AX83" s="51"/>
      <c r="AY83" s="51"/>
      <c r="AZ83" s="51"/>
      <c r="BA83" s="51"/>
      <c r="BC83" s="159">
        <f t="shared" si="51"/>
        <v>40200</v>
      </c>
    </row>
    <row r="84" spans="2:56" s="50" customFormat="1" ht="15.75" x14ac:dyDescent="0.25">
      <c r="B84" s="198">
        <v>28000</v>
      </c>
      <c r="C84" s="155">
        <v>25000</v>
      </c>
      <c r="D84" s="78">
        <v>24000</v>
      </c>
      <c r="E84" s="30" t="s">
        <v>421</v>
      </c>
      <c r="F84" s="113" t="s">
        <v>150</v>
      </c>
      <c r="G84" s="134">
        <v>45352</v>
      </c>
      <c r="H84" s="109"/>
      <c r="I84" s="109"/>
      <c r="J84" s="41">
        <f t="shared" si="39"/>
        <v>66</v>
      </c>
      <c r="K84" s="86" t="s">
        <v>203</v>
      </c>
      <c r="L84" s="30" t="s">
        <v>201</v>
      </c>
      <c r="M84" s="33">
        <v>28000</v>
      </c>
      <c r="N84" s="20">
        <f t="shared" ref="N84:N147" si="53">ROUND(IF((M84*50%)&lt;13897,13897,(M84*50/100)),)</f>
        <v>14000</v>
      </c>
      <c r="O84" s="20">
        <f t="shared" si="42"/>
        <v>7000</v>
      </c>
      <c r="P84" s="20">
        <f t="shared" si="43"/>
        <v>3500</v>
      </c>
      <c r="Q84" s="20">
        <f t="shared" si="44"/>
        <v>3500</v>
      </c>
      <c r="R84" s="20">
        <v>0</v>
      </c>
      <c r="S84" s="20">
        <f t="shared" si="52"/>
        <v>28000</v>
      </c>
      <c r="T84" s="20">
        <v>0</v>
      </c>
      <c r="U84" s="22">
        <v>22</v>
      </c>
      <c r="V84" s="22">
        <v>3</v>
      </c>
      <c r="W84" s="22">
        <v>0</v>
      </c>
      <c r="X84" s="22">
        <f t="shared" si="46"/>
        <v>25</v>
      </c>
      <c r="Y84" s="20">
        <f t="shared" ref="Y84:Y143" si="54">+M84/30*X84</f>
        <v>23333.333333333336</v>
      </c>
      <c r="Z84" s="20">
        <v>0</v>
      </c>
      <c r="AA84" s="20">
        <f t="shared" si="47"/>
        <v>23333.333333333336</v>
      </c>
      <c r="AB84" s="20">
        <f t="shared" ref="AB84:AB143" si="55">+(N84/30)*U84</f>
        <v>10266.666666666668</v>
      </c>
      <c r="AC84" s="20">
        <v>0</v>
      </c>
      <c r="AD84" s="20">
        <v>0</v>
      </c>
      <c r="AE84" s="20">
        <v>0</v>
      </c>
      <c r="AF84" s="20">
        <v>0</v>
      </c>
      <c r="AG84" s="20">
        <f t="shared" si="48"/>
        <v>200</v>
      </c>
      <c r="AH84" s="24"/>
      <c r="AI84" s="80">
        <v>0</v>
      </c>
      <c r="AJ84" s="24">
        <v>0</v>
      </c>
      <c r="AK84" s="24">
        <v>0</v>
      </c>
      <c r="AL84" s="24">
        <v>0</v>
      </c>
      <c r="AM84" s="25">
        <f t="shared" ref="AM84:AM143" si="56">SUM(AI84:AL84)</f>
        <v>0</v>
      </c>
      <c r="AN84" s="60">
        <f t="shared" si="50"/>
        <v>23133.333333333336</v>
      </c>
      <c r="AO84" s="56"/>
      <c r="AP84" s="56"/>
      <c r="AQ84" s="172" t="s">
        <v>391</v>
      </c>
      <c r="AR84" s="56"/>
      <c r="AS84" s="56"/>
      <c r="AT84" s="57"/>
      <c r="AU84" s="58"/>
      <c r="AV84" s="53"/>
      <c r="AW84" s="54"/>
      <c r="AX84" s="51"/>
      <c r="AY84" s="51"/>
      <c r="AZ84" s="51"/>
      <c r="BA84" s="51"/>
      <c r="BC84" s="152">
        <f t="shared" si="51"/>
        <v>23333.333333333336</v>
      </c>
    </row>
    <row r="85" spans="2:56" s="50" customFormat="1" ht="15.75" x14ac:dyDescent="0.25">
      <c r="B85" s="198">
        <v>19425</v>
      </c>
      <c r="C85" s="155">
        <v>18500</v>
      </c>
      <c r="D85" s="78">
        <v>17000</v>
      </c>
      <c r="E85" s="30" t="s">
        <v>71</v>
      </c>
      <c r="F85" s="113" t="s">
        <v>150</v>
      </c>
      <c r="G85" s="134">
        <v>45352</v>
      </c>
      <c r="H85" s="109"/>
      <c r="I85" s="109"/>
      <c r="J85" s="41">
        <f t="shared" ref="J85:J148" si="57">J84+1</f>
        <v>67</v>
      </c>
      <c r="K85" s="86" t="s">
        <v>203</v>
      </c>
      <c r="L85" s="121" t="s">
        <v>204</v>
      </c>
      <c r="M85" s="33">
        <v>30000</v>
      </c>
      <c r="N85" s="20">
        <f t="shared" si="53"/>
        <v>15000</v>
      </c>
      <c r="O85" s="20">
        <f t="shared" si="42"/>
        <v>7500</v>
      </c>
      <c r="P85" s="20">
        <f t="shared" si="43"/>
        <v>3750</v>
      </c>
      <c r="Q85" s="20">
        <f t="shared" si="44"/>
        <v>3750</v>
      </c>
      <c r="R85" s="20">
        <v>0</v>
      </c>
      <c r="S85" s="20">
        <f t="shared" si="52"/>
        <v>30000</v>
      </c>
      <c r="T85" s="20">
        <v>0</v>
      </c>
      <c r="U85" s="22">
        <v>16</v>
      </c>
      <c r="V85" s="22">
        <v>2</v>
      </c>
      <c r="W85" s="22">
        <v>0.77</v>
      </c>
      <c r="X85" s="22">
        <f t="shared" si="46"/>
        <v>18.77</v>
      </c>
      <c r="Y85" s="20">
        <f t="shared" si="54"/>
        <v>18770</v>
      </c>
      <c r="Z85" s="20">
        <v>0</v>
      </c>
      <c r="AA85" s="20">
        <f t="shared" si="47"/>
        <v>18770</v>
      </c>
      <c r="AB85" s="20">
        <f t="shared" si="55"/>
        <v>8000</v>
      </c>
      <c r="AC85" s="20">
        <v>0</v>
      </c>
      <c r="AD85" s="20">
        <v>0</v>
      </c>
      <c r="AE85" s="20">
        <v>0</v>
      </c>
      <c r="AF85" s="20">
        <v>0</v>
      </c>
      <c r="AG85" s="20">
        <f t="shared" si="48"/>
        <v>200</v>
      </c>
      <c r="AH85" s="24"/>
      <c r="AI85" s="80">
        <v>0</v>
      </c>
      <c r="AJ85" s="24">
        <v>0</v>
      </c>
      <c r="AK85" s="24">
        <v>0</v>
      </c>
      <c r="AL85" s="24">
        <v>0</v>
      </c>
      <c r="AM85" s="25">
        <f t="shared" si="56"/>
        <v>0</v>
      </c>
      <c r="AN85" s="60">
        <f t="shared" si="50"/>
        <v>18570</v>
      </c>
      <c r="AO85" s="56"/>
      <c r="AP85" s="56"/>
      <c r="AQ85" s="172" t="s">
        <v>396</v>
      </c>
      <c r="AR85" s="56"/>
      <c r="AS85" s="56"/>
      <c r="AT85" s="57"/>
      <c r="AU85" s="58"/>
      <c r="AV85" s="53"/>
      <c r="AW85" s="54"/>
      <c r="AX85" s="51"/>
      <c r="AY85" s="51"/>
      <c r="AZ85" s="51"/>
      <c r="BA85" s="51"/>
      <c r="BC85" s="160">
        <f t="shared" si="51"/>
        <v>18770</v>
      </c>
    </row>
    <row r="86" spans="2:56" s="50" customFormat="1" ht="15.75" x14ac:dyDescent="0.25">
      <c r="B86" s="198">
        <v>16500</v>
      </c>
      <c r="C86" s="155">
        <v>0</v>
      </c>
      <c r="D86" s="78">
        <v>15000</v>
      </c>
      <c r="E86" s="30" t="s">
        <v>54</v>
      </c>
      <c r="F86" s="113" t="s">
        <v>150</v>
      </c>
      <c r="G86" s="134">
        <v>45352</v>
      </c>
      <c r="H86" s="109"/>
      <c r="I86" s="109"/>
      <c r="J86" s="41">
        <f t="shared" si="57"/>
        <v>68</v>
      </c>
      <c r="K86" s="86" t="s">
        <v>203</v>
      </c>
      <c r="L86" s="84" t="s">
        <v>202</v>
      </c>
      <c r="M86" s="33">
        <v>30400</v>
      </c>
      <c r="N86" s="20">
        <f t="shared" si="53"/>
        <v>15200</v>
      </c>
      <c r="O86" s="20">
        <f t="shared" si="42"/>
        <v>7600</v>
      </c>
      <c r="P86" s="20">
        <f t="shared" si="43"/>
        <v>3800</v>
      </c>
      <c r="Q86" s="20">
        <f t="shared" si="44"/>
        <v>3800</v>
      </c>
      <c r="R86" s="20">
        <v>0</v>
      </c>
      <c r="S86" s="20">
        <f>N86+O86+P86+Q86+R86</f>
        <v>30400</v>
      </c>
      <c r="T86" s="20">
        <v>0</v>
      </c>
      <c r="U86" s="22">
        <v>13</v>
      </c>
      <c r="V86" s="22">
        <v>2</v>
      </c>
      <c r="W86" s="22">
        <v>0.94</v>
      </c>
      <c r="X86" s="22">
        <f t="shared" si="46"/>
        <v>15.94</v>
      </c>
      <c r="Y86" s="20">
        <f t="shared" si="54"/>
        <v>16152.533333333333</v>
      </c>
      <c r="Z86" s="20">
        <v>0</v>
      </c>
      <c r="AA86" s="20">
        <f t="shared" si="47"/>
        <v>16152.533333333333</v>
      </c>
      <c r="AB86" s="20">
        <f t="shared" si="55"/>
        <v>6586.666666666667</v>
      </c>
      <c r="AC86" s="20">
        <v>0</v>
      </c>
      <c r="AD86" s="20">
        <v>0</v>
      </c>
      <c r="AE86" s="20">
        <v>0</v>
      </c>
      <c r="AF86" s="20">
        <v>0</v>
      </c>
      <c r="AG86" s="20">
        <f t="shared" si="48"/>
        <v>200</v>
      </c>
      <c r="AH86" s="24"/>
      <c r="AI86" s="80">
        <v>0</v>
      </c>
      <c r="AJ86" s="24">
        <v>0</v>
      </c>
      <c r="AK86" s="24">
        <v>0</v>
      </c>
      <c r="AL86" s="24">
        <v>0</v>
      </c>
      <c r="AM86" s="25">
        <f t="shared" si="56"/>
        <v>0</v>
      </c>
      <c r="AN86" s="60">
        <f t="shared" si="50"/>
        <v>15952.533333333333</v>
      </c>
      <c r="AO86" s="56"/>
      <c r="AP86" s="56"/>
      <c r="AQ86" s="172" t="s">
        <v>395</v>
      </c>
      <c r="AR86" s="56"/>
      <c r="AS86" s="56"/>
      <c r="AT86" s="57"/>
      <c r="AU86" s="58"/>
      <c r="AV86" s="53"/>
      <c r="AW86" s="54"/>
      <c r="AX86" s="51"/>
      <c r="AY86" s="51"/>
      <c r="AZ86" s="51"/>
      <c r="BA86" s="51"/>
      <c r="BC86" s="160">
        <f t="shared" si="51"/>
        <v>16152.533333333333</v>
      </c>
    </row>
    <row r="87" spans="2:56" s="50" customFormat="1" ht="15.75" x14ac:dyDescent="0.25">
      <c r="B87" s="196"/>
      <c r="C87" s="103"/>
      <c r="D87" s="78">
        <v>100200</v>
      </c>
      <c r="E87" s="48" t="s">
        <v>212</v>
      </c>
      <c r="F87" s="113" t="s">
        <v>210</v>
      </c>
      <c r="G87" s="112">
        <v>45383</v>
      </c>
      <c r="H87" s="30"/>
      <c r="I87" s="30"/>
      <c r="J87" s="41">
        <f t="shared" si="57"/>
        <v>69</v>
      </c>
      <c r="K87" s="86" t="s">
        <v>211</v>
      </c>
      <c r="L87" s="222" t="s">
        <v>205</v>
      </c>
      <c r="M87" s="33">
        <v>150200</v>
      </c>
      <c r="N87" s="20">
        <f t="shared" si="53"/>
        <v>75100</v>
      </c>
      <c r="O87" s="20">
        <f t="shared" si="42"/>
        <v>37550</v>
      </c>
      <c r="P87" s="20">
        <f t="shared" si="43"/>
        <v>18775</v>
      </c>
      <c r="Q87" s="20">
        <f t="shared" si="44"/>
        <v>18775</v>
      </c>
      <c r="R87" s="20">
        <v>0</v>
      </c>
      <c r="S87" s="20">
        <f t="shared" ref="S87:S93" si="58">N87+O87+P87+Q87+R87</f>
        <v>150200</v>
      </c>
      <c r="T87" s="20">
        <v>0</v>
      </c>
      <c r="U87" s="22">
        <v>26</v>
      </c>
      <c r="V87" s="22">
        <v>4</v>
      </c>
      <c r="W87" s="22">
        <v>0</v>
      </c>
      <c r="X87" s="22">
        <f t="shared" si="46"/>
        <v>30</v>
      </c>
      <c r="Y87" s="20">
        <f t="shared" si="54"/>
        <v>150200</v>
      </c>
      <c r="Z87" s="20">
        <v>0</v>
      </c>
      <c r="AA87" s="20">
        <f t="shared" si="47"/>
        <v>150200</v>
      </c>
      <c r="AB87" s="20">
        <f t="shared" si="55"/>
        <v>65086.666666666672</v>
      </c>
      <c r="AC87" s="20">
        <v>0</v>
      </c>
      <c r="AD87" s="20">
        <v>0</v>
      </c>
      <c r="AE87" s="20">
        <v>0</v>
      </c>
      <c r="AF87" s="20">
        <v>0</v>
      </c>
      <c r="AG87" s="20">
        <v>200</v>
      </c>
      <c r="AH87" s="24">
        <v>13000</v>
      </c>
      <c r="AI87" s="80">
        <v>0</v>
      </c>
      <c r="AJ87" s="24">
        <v>0</v>
      </c>
      <c r="AK87" s="24">
        <v>0</v>
      </c>
      <c r="AL87" s="24">
        <v>0</v>
      </c>
      <c r="AM87" s="25">
        <f t="shared" si="56"/>
        <v>0</v>
      </c>
      <c r="AN87" s="60">
        <f t="shared" si="50"/>
        <v>137000</v>
      </c>
      <c r="AO87" s="51"/>
      <c r="AP87" s="51"/>
      <c r="AQ87" s="165" t="s">
        <v>286</v>
      </c>
      <c r="AR87" s="51"/>
      <c r="AS87" s="51"/>
      <c r="AT87" s="51"/>
      <c r="AU87" s="58"/>
      <c r="AV87" s="53"/>
      <c r="AW87" s="54"/>
      <c r="AX87" s="51"/>
      <c r="AY87" s="51"/>
      <c r="AZ87" s="51"/>
      <c r="BA87" s="51"/>
      <c r="BC87" s="152">
        <f t="shared" si="51"/>
        <v>137200</v>
      </c>
    </row>
    <row r="88" spans="2:56" s="50" customFormat="1" ht="15.75" x14ac:dyDescent="0.25">
      <c r="B88" s="196"/>
      <c r="C88" s="103"/>
      <c r="D88" s="33">
        <v>150000</v>
      </c>
      <c r="E88" s="48" t="s">
        <v>212</v>
      </c>
      <c r="F88" s="113" t="s">
        <v>210</v>
      </c>
      <c r="G88" s="112">
        <v>45383</v>
      </c>
      <c r="H88" s="30"/>
      <c r="I88" s="30"/>
      <c r="J88" s="41">
        <f t="shared" si="57"/>
        <v>70</v>
      </c>
      <c r="K88" s="86" t="s">
        <v>211</v>
      </c>
      <c r="L88" s="222" t="s">
        <v>206</v>
      </c>
      <c r="M88" s="33">
        <v>200200</v>
      </c>
      <c r="N88" s="20">
        <f t="shared" si="53"/>
        <v>100100</v>
      </c>
      <c r="O88" s="20">
        <f t="shared" si="42"/>
        <v>50050</v>
      </c>
      <c r="P88" s="20">
        <f t="shared" si="43"/>
        <v>25025</v>
      </c>
      <c r="Q88" s="20">
        <f t="shared" si="44"/>
        <v>25025</v>
      </c>
      <c r="R88" s="20">
        <v>0</v>
      </c>
      <c r="S88" s="20">
        <f t="shared" si="58"/>
        <v>200200</v>
      </c>
      <c r="T88" s="20">
        <v>0</v>
      </c>
      <c r="U88" s="22">
        <v>26</v>
      </c>
      <c r="V88" s="22">
        <v>4</v>
      </c>
      <c r="W88" s="22">
        <v>0</v>
      </c>
      <c r="X88" s="22">
        <f t="shared" si="46"/>
        <v>30</v>
      </c>
      <c r="Y88" s="20">
        <f t="shared" si="54"/>
        <v>200200</v>
      </c>
      <c r="Z88" s="20">
        <v>0</v>
      </c>
      <c r="AA88" s="20">
        <f t="shared" si="47"/>
        <v>200200</v>
      </c>
      <c r="AB88" s="20">
        <f t="shared" si="55"/>
        <v>86753.333333333328</v>
      </c>
      <c r="AC88" s="20">
        <v>0</v>
      </c>
      <c r="AD88" s="20">
        <v>0</v>
      </c>
      <c r="AE88" s="20">
        <v>0</v>
      </c>
      <c r="AF88" s="20">
        <v>0</v>
      </c>
      <c r="AG88" s="20">
        <v>200</v>
      </c>
      <c r="AH88" s="24">
        <v>30000</v>
      </c>
      <c r="AI88" s="80">
        <v>0</v>
      </c>
      <c r="AJ88" s="24">
        <v>0</v>
      </c>
      <c r="AK88" s="24">
        <v>0</v>
      </c>
      <c r="AL88" s="24">
        <v>0</v>
      </c>
      <c r="AM88" s="25">
        <f t="shared" si="56"/>
        <v>0</v>
      </c>
      <c r="AN88" s="60">
        <f t="shared" si="50"/>
        <v>170000</v>
      </c>
      <c r="AO88" s="51"/>
      <c r="AP88" s="51"/>
      <c r="AQ88" s="172" t="s">
        <v>393</v>
      </c>
      <c r="AR88" s="51"/>
      <c r="AS88" s="51"/>
      <c r="AT88" s="51"/>
      <c r="AU88" s="58"/>
      <c r="AV88" s="53"/>
      <c r="AW88" s="54"/>
      <c r="AX88" s="51"/>
      <c r="AY88" s="51"/>
      <c r="AZ88" s="51"/>
      <c r="BA88" s="51"/>
      <c r="BC88" s="152">
        <f t="shared" si="51"/>
        <v>170200</v>
      </c>
    </row>
    <row r="89" spans="2:56" s="50" customFormat="1" ht="15.75" x14ac:dyDescent="0.25">
      <c r="B89" s="196"/>
      <c r="C89" s="103"/>
      <c r="D89" s="33">
        <v>150000</v>
      </c>
      <c r="E89" s="48" t="s">
        <v>212</v>
      </c>
      <c r="F89" s="113" t="s">
        <v>210</v>
      </c>
      <c r="G89" s="112">
        <v>45383</v>
      </c>
      <c r="H89" s="30"/>
      <c r="I89" s="30"/>
      <c r="J89" s="41">
        <f t="shared" si="57"/>
        <v>71</v>
      </c>
      <c r="K89" s="86" t="s">
        <v>211</v>
      </c>
      <c r="L89" s="222" t="s">
        <v>207</v>
      </c>
      <c r="M89" s="33">
        <v>200200</v>
      </c>
      <c r="N89" s="20">
        <f t="shared" si="53"/>
        <v>100100</v>
      </c>
      <c r="O89" s="20">
        <f t="shared" si="42"/>
        <v>50050</v>
      </c>
      <c r="P89" s="20">
        <f t="shared" si="43"/>
        <v>25025</v>
      </c>
      <c r="Q89" s="20">
        <f t="shared" si="44"/>
        <v>25025</v>
      </c>
      <c r="R89" s="20">
        <v>0</v>
      </c>
      <c r="S89" s="20">
        <f t="shared" si="58"/>
        <v>200200</v>
      </c>
      <c r="T89" s="20">
        <v>0</v>
      </c>
      <c r="U89" s="22">
        <v>26</v>
      </c>
      <c r="V89" s="22">
        <v>4</v>
      </c>
      <c r="W89" s="22">
        <v>0</v>
      </c>
      <c r="X89" s="22">
        <f t="shared" si="46"/>
        <v>30</v>
      </c>
      <c r="Y89" s="20">
        <f t="shared" si="54"/>
        <v>200200</v>
      </c>
      <c r="Z89" s="20">
        <v>0</v>
      </c>
      <c r="AA89" s="20">
        <f t="shared" si="47"/>
        <v>200200</v>
      </c>
      <c r="AB89" s="20">
        <f t="shared" si="55"/>
        <v>86753.333333333328</v>
      </c>
      <c r="AC89" s="20">
        <v>0</v>
      </c>
      <c r="AD89" s="20">
        <v>0</v>
      </c>
      <c r="AE89" s="20">
        <v>0</v>
      </c>
      <c r="AF89" s="20">
        <v>0</v>
      </c>
      <c r="AG89" s="20">
        <v>200</v>
      </c>
      <c r="AH89" s="24">
        <v>30000</v>
      </c>
      <c r="AI89" s="80">
        <v>0</v>
      </c>
      <c r="AJ89" s="24">
        <v>0</v>
      </c>
      <c r="AK89" s="24">
        <v>0</v>
      </c>
      <c r="AL89" s="24">
        <v>0</v>
      </c>
      <c r="AM89" s="25">
        <f t="shared" si="56"/>
        <v>0</v>
      </c>
      <c r="AN89" s="60">
        <f t="shared" si="50"/>
        <v>170000</v>
      </c>
      <c r="AO89" s="51"/>
      <c r="AP89" s="51"/>
      <c r="AQ89" s="165" t="s">
        <v>292</v>
      </c>
      <c r="AR89" s="51"/>
      <c r="AS89" s="51"/>
      <c r="AT89" s="51"/>
      <c r="AU89" s="58"/>
      <c r="AV89" s="53"/>
      <c r="AW89" s="54"/>
      <c r="AX89" s="51"/>
      <c r="AY89" s="51"/>
      <c r="AZ89" s="51"/>
      <c r="BA89" s="51"/>
      <c r="BC89" s="152">
        <f t="shared" si="51"/>
        <v>170200</v>
      </c>
    </row>
    <row r="90" spans="2:56" s="50" customFormat="1" ht="15.75" x14ac:dyDescent="0.25">
      <c r="B90" s="196"/>
      <c r="C90" s="103"/>
      <c r="D90" s="33">
        <v>200000</v>
      </c>
      <c r="E90" s="48" t="s">
        <v>212</v>
      </c>
      <c r="F90" s="113" t="s">
        <v>210</v>
      </c>
      <c r="G90" s="112">
        <v>45383</v>
      </c>
      <c r="H90" s="30"/>
      <c r="I90" s="30"/>
      <c r="J90" s="41">
        <f t="shared" si="57"/>
        <v>72</v>
      </c>
      <c r="K90" s="86" t="s">
        <v>211</v>
      </c>
      <c r="L90" s="222" t="s">
        <v>208</v>
      </c>
      <c r="M90" s="33">
        <v>200200</v>
      </c>
      <c r="N90" s="20">
        <f t="shared" si="53"/>
        <v>100100</v>
      </c>
      <c r="O90" s="20">
        <f t="shared" si="42"/>
        <v>50050</v>
      </c>
      <c r="P90" s="20">
        <f t="shared" si="43"/>
        <v>25025</v>
      </c>
      <c r="Q90" s="20">
        <f t="shared" si="44"/>
        <v>25025</v>
      </c>
      <c r="R90" s="20">
        <v>0</v>
      </c>
      <c r="S90" s="20">
        <f t="shared" si="58"/>
        <v>200200</v>
      </c>
      <c r="T90" s="20">
        <v>0</v>
      </c>
      <c r="U90" s="22">
        <v>26</v>
      </c>
      <c r="V90" s="22">
        <v>4</v>
      </c>
      <c r="W90" s="22">
        <v>0</v>
      </c>
      <c r="X90" s="22">
        <f t="shared" si="46"/>
        <v>30</v>
      </c>
      <c r="Y90" s="20">
        <f t="shared" si="54"/>
        <v>200200</v>
      </c>
      <c r="Z90" s="20">
        <v>0</v>
      </c>
      <c r="AA90" s="20">
        <f t="shared" si="47"/>
        <v>200200</v>
      </c>
      <c r="AB90" s="20">
        <f t="shared" si="55"/>
        <v>86753.333333333328</v>
      </c>
      <c r="AC90" s="20">
        <v>0</v>
      </c>
      <c r="AD90" s="20">
        <v>0</v>
      </c>
      <c r="AE90" s="20">
        <v>0</v>
      </c>
      <c r="AF90" s="20">
        <v>0</v>
      </c>
      <c r="AG90" s="20">
        <v>200</v>
      </c>
      <c r="AH90" s="24">
        <v>30000</v>
      </c>
      <c r="AI90" s="80">
        <v>0</v>
      </c>
      <c r="AJ90" s="24">
        <v>0</v>
      </c>
      <c r="AK90" s="24">
        <v>0</v>
      </c>
      <c r="AL90" s="24">
        <v>0</v>
      </c>
      <c r="AM90" s="25">
        <f t="shared" si="56"/>
        <v>0</v>
      </c>
      <c r="AN90" s="60">
        <f t="shared" si="50"/>
        <v>170000</v>
      </c>
      <c r="AO90" s="51"/>
      <c r="AP90" s="51"/>
      <c r="AQ90" s="165" t="s">
        <v>289</v>
      </c>
      <c r="AR90" s="51"/>
      <c r="AS90" s="51"/>
      <c r="AT90" s="51"/>
      <c r="AU90" s="58"/>
      <c r="AV90" s="53"/>
      <c r="AW90" s="54"/>
      <c r="AX90" s="51"/>
      <c r="AY90" s="51"/>
      <c r="AZ90" s="51"/>
      <c r="BA90" s="51"/>
      <c r="BC90" s="152">
        <f t="shared" si="51"/>
        <v>170200</v>
      </c>
    </row>
    <row r="91" spans="2:56" s="50" customFormat="1" ht="15.75" x14ac:dyDescent="0.25">
      <c r="B91" s="196"/>
      <c r="C91" s="103"/>
      <c r="D91" s="3">
        <v>90200</v>
      </c>
      <c r="E91" s="48" t="s">
        <v>212</v>
      </c>
      <c r="F91" s="113" t="s">
        <v>210</v>
      </c>
      <c r="G91" s="112">
        <v>45383</v>
      </c>
      <c r="H91" s="30"/>
      <c r="I91" s="30"/>
      <c r="J91" s="41">
        <f t="shared" si="57"/>
        <v>73</v>
      </c>
      <c r="K91" s="86" t="s">
        <v>211</v>
      </c>
      <c r="L91" s="222" t="s">
        <v>209</v>
      </c>
      <c r="M91" s="33">
        <v>90200</v>
      </c>
      <c r="N91" s="20">
        <f t="shared" si="53"/>
        <v>45100</v>
      </c>
      <c r="O91" s="20">
        <f t="shared" si="42"/>
        <v>22550</v>
      </c>
      <c r="P91" s="20">
        <f t="shared" si="43"/>
        <v>11275</v>
      </c>
      <c r="Q91" s="20">
        <f t="shared" si="44"/>
        <v>11275</v>
      </c>
      <c r="R91" s="20">
        <v>0</v>
      </c>
      <c r="S91" s="20">
        <f t="shared" si="58"/>
        <v>90200</v>
      </c>
      <c r="T91" s="20">
        <v>0</v>
      </c>
      <c r="U91" s="22">
        <v>26</v>
      </c>
      <c r="V91" s="22">
        <v>4</v>
      </c>
      <c r="W91" s="22">
        <v>0</v>
      </c>
      <c r="X91" s="22">
        <f t="shared" si="46"/>
        <v>30</v>
      </c>
      <c r="Y91" s="20">
        <f t="shared" si="54"/>
        <v>90200</v>
      </c>
      <c r="Z91" s="20">
        <v>0</v>
      </c>
      <c r="AA91" s="20">
        <f t="shared" si="47"/>
        <v>90200</v>
      </c>
      <c r="AB91" s="20">
        <f t="shared" si="55"/>
        <v>39086.666666666664</v>
      </c>
      <c r="AC91" s="20">
        <v>0</v>
      </c>
      <c r="AD91" s="20">
        <v>0</v>
      </c>
      <c r="AE91" s="20">
        <v>0</v>
      </c>
      <c r="AF91" s="20">
        <v>0</v>
      </c>
      <c r="AG91" s="20">
        <v>200</v>
      </c>
      <c r="AH91" s="24">
        <v>0</v>
      </c>
      <c r="AI91" s="80">
        <v>0</v>
      </c>
      <c r="AJ91" s="24">
        <v>0</v>
      </c>
      <c r="AK91" s="24">
        <v>0</v>
      </c>
      <c r="AL91" s="24">
        <v>0</v>
      </c>
      <c r="AM91" s="25">
        <f t="shared" si="56"/>
        <v>0</v>
      </c>
      <c r="AN91" s="60">
        <f t="shared" si="50"/>
        <v>90000</v>
      </c>
      <c r="AO91" s="51"/>
      <c r="AP91" s="51"/>
      <c r="AQ91" s="165" t="s">
        <v>295</v>
      </c>
      <c r="AR91" s="51"/>
      <c r="AS91" s="51"/>
      <c r="AT91" s="51"/>
      <c r="AU91" s="58"/>
      <c r="AV91" s="53"/>
      <c r="AW91" s="54"/>
      <c r="AX91" s="51"/>
      <c r="AY91" s="51"/>
      <c r="AZ91" s="51"/>
      <c r="BA91" s="51"/>
      <c r="BC91" s="152">
        <f t="shared" si="51"/>
        <v>90200</v>
      </c>
    </row>
    <row r="92" spans="2:56" s="50" customFormat="1" ht="15.75" x14ac:dyDescent="0.25">
      <c r="B92" s="198">
        <v>45000</v>
      </c>
      <c r="C92" s="155">
        <v>39000</v>
      </c>
      <c r="D92" s="78">
        <v>30000</v>
      </c>
      <c r="E92" s="48" t="s">
        <v>247</v>
      </c>
      <c r="F92" s="113" t="s">
        <v>193</v>
      </c>
      <c r="G92" s="112">
        <v>45383</v>
      </c>
      <c r="H92" s="109"/>
      <c r="I92" s="109"/>
      <c r="J92" s="41">
        <f t="shared" si="57"/>
        <v>74</v>
      </c>
      <c r="K92" s="86" t="s">
        <v>211</v>
      </c>
      <c r="L92" s="133" t="s">
        <v>215</v>
      </c>
      <c r="M92" s="33">
        <v>45000</v>
      </c>
      <c r="N92" s="20">
        <f t="shared" si="53"/>
        <v>22500</v>
      </c>
      <c r="O92" s="20">
        <f t="shared" si="42"/>
        <v>11250</v>
      </c>
      <c r="P92" s="20">
        <f t="shared" si="43"/>
        <v>5625</v>
      </c>
      <c r="Q92" s="20">
        <f t="shared" si="44"/>
        <v>5625</v>
      </c>
      <c r="R92" s="20">
        <v>0</v>
      </c>
      <c r="S92" s="20">
        <f t="shared" si="58"/>
        <v>45000</v>
      </c>
      <c r="T92" s="20">
        <v>0</v>
      </c>
      <c r="U92" s="22">
        <v>26</v>
      </c>
      <c r="V92" s="22">
        <v>4</v>
      </c>
      <c r="W92" s="22">
        <v>0</v>
      </c>
      <c r="X92" s="22">
        <f t="shared" si="46"/>
        <v>30</v>
      </c>
      <c r="Y92" s="20">
        <f t="shared" si="54"/>
        <v>45000</v>
      </c>
      <c r="Z92" s="20">
        <v>0</v>
      </c>
      <c r="AA92" s="20">
        <f t="shared" si="47"/>
        <v>45000</v>
      </c>
      <c r="AB92" s="20">
        <f t="shared" si="55"/>
        <v>19500</v>
      </c>
      <c r="AC92" s="20">
        <v>0</v>
      </c>
      <c r="AD92" s="20">
        <v>0</v>
      </c>
      <c r="AE92" s="20">
        <v>0</v>
      </c>
      <c r="AF92" s="20">
        <v>0</v>
      </c>
      <c r="AG92" s="20">
        <f t="shared" ref="AG92:AG93" si="59">IF(AA92&gt;=12000,200,IF(AA92&gt;=9000,150,IF(AA92&gt;=6000,80,IF(AA92&gt;=3000,0,0))))</f>
        <v>200</v>
      </c>
      <c r="AH92" s="24"/>
      <c r="AI92" s="80">
        <v>0</v>
      </c>
      <c r="AJ92" s="24">
        <v>0</v>
      </c>
      <c r="AK92" s="24">
        <v>0</v>
      </c>
      <c r="AL92" s="24">
        <v>0</v>
      </c>
      <c r="AM92" s="25">
        <f t="shared" si="56"/>
        <v>0</v>
      </c>
      <c r="AN92" s="60">
        <f t="shared" si="50"/>
        <v>44800</v>
      </c>
      <c r="AO92" s="56"/>
      <c r="AP92" s="56"/>
      <c r="AQ92" s="172" t="s">
        <v>405</v>
      </c>
      <c r="AR92" s="56"/>
      <c r="AS92" s="56"/>
      <c r="AT92" s="57"/>
      <c r="AU92" s="58"/>
      <c r="AV92" s="53"/>
      <c r="AW92" s="54"/>
      <c r="AX92" s="51"/>
      <c r="AY92" s="51"/>
      <c r="AZ92" s="51"/>
      <c r="BA92" s="51"/>
      <c r="BC92" s="152">
        <f t="shared" si="51"/>
        <v>45000</v>
      </c>
    </row>
    <row r="93" spans="2:56" s="50" customFormat="1" ht="15.75" x14ac:dyDescent="0.25">
      <c r="B93" s="198">
        <v>40000</v>
      </c>
      <c r="C93" s="155">
        <v>42000</v>
      </c>
      <c r="D93" s="78">
        <v>39000</v>
      </c>
      <c r="E93" s="48" t="s">
        <v>248</v>
      </c>
      <c r="F93" s="113" t="s">
        <v>193</v>
      </c>
      <c r="G93" s="112">
        <v>45383</v>
      </c>
      <c r="H93" s="109"/>
      <c r="I93" s="109"/>
      <c r="J93" s="41">
        <f t="shared" si="57"/>
        <v>75</v>
      </c>
      <c r="K93" s="86" t="s">
        <v>211</v>
      </c>
      <c r="L93" s="133" t="s">
        <v>214</v>
      </c>
      <c r="M93" s="33">
        <v>40000</v>
      </c>
      <c r="N93" s="20">
        <f t="shared" si="53"/>
        <v>20000</v>
      </c>
      <c r="O93" s="20">
        <f t="shared" si="42"/>
        <v>10000</v>
      </c>
      <c r="P93" s="20">
        <f t="shared" si="43"/>
        <v>5000</v>
      </c>
      <c r="Q93" s="20">
        <f t="shared" si="44"/>
        <v>5000</v>
      </c>
      <c r="R93" s="20">
        <v>0</v>
      </c>
      <c r="S93" s="20">
        <f t="shared" si="58"/>
        <v>40000</v>
      </c>
      <c r="T93" s="20">
        <v>0</v>
      </c>
      <c r="U93" s="22">
        <v>26</v>
      </c>
      <c r="V93" s="22">
        <v>4</v>
      </c>
      <c r="W93" s="22">
        <v>0</v>
      </c>
      <c r="X93" s="22">
        <f t="shared" si="46"/>
        <v>30</v>
      </c>
      <c r="Y93" s="20">
        <f t="shared" si="54"/>
        <v>40000</v>
      </c>
      <c r="Z93" s="20">
        <v>5000</v>
      </c>
      <c r="AA93" s="20">
        <f t="shared" si="47"/>
        <v>45000</v>
      </c>
      <c r="AB93" s="20">
        <f t="shared" si="55"/>
        <v>17333.333333333332</v>
      </c>
      <c r="AC93" s="20">
        <v>0</v>
      </c>
      <c r="AD93" s="20">
        <v>0</v>
      </c>
      <c r="AE93" s="20">
        <v>0</v>
      </c>
      <c r="AF93" s="20">
        <v>0</v>
      </c>
      <c r="AG93" s="20">
        <f t="shared" si="59"/>
        <v>200</v>
      </c>
      <c r="AH93" s="24"/>
      <c r="AI93" s="80">
        <v>0</v>
      </c>
      <c r="AJ93" s="24">
        <v>0</v>
      </c>
      <c r="AK93" s="24">
        <v>0</v>
      </c>
      <c r="AL93" s="24">
        <v>0</v>
      </c>
      <c r="AM93" s="25">
        <f t="shared" si="56"/>
        <v>0</v>
      </c>
      <c r="AN93" s="60">
        <f t="shared" si="50"/>
        <v>44800</v>
      </c>
      <c r="AO93" s="56"/>
      <c r="AP93" s="56"/>
      <c r="AQ93" s="172" t="s">
        <v>403</v>
      </c>
      <c r="AR93" s="56"/>
      <c r="AS93" s="56"/>
      <c r="AT93" s="57"/>
      <c r="AU93" s="58"/>
      <c r="AV93" s="53"/>
      <c r="AW93" s="54"/>
      <c r="AX93" s="51"/>
      <c r="AY93" s="51"/>
      <c r="AZ93" s="51"/>
      <c r="BA93" s="51"/>
      <c r="BC93" s="152">
        <f t="shared" si="51"/>
        <v>45000</v>
      </c>
    </row>
    <row r="94" spans="2:56" ht="19.5" customHeight="1" x14ac:dyDescent="0.25">
      <c r="B94" s="198">
        <v>27300</v>
      </c>
      <c r="C94" s="155">
        <v>26000</v>
      </c>
      <c r="D94" s="15">
        <v>24000</v>
      </c>
      <c r="E94" s="30" t="s">
        <v>233</v>
      </c>
      <c r="F94" s="104" t="s">
        <v>150</v>
      </c>
      <c r="G94" s="112">
        <v>45017</v>
      </c>
      <c r="H94" s="51"/>
      <c r="I94" s="97" t="s">
        <v>178</v>
      </c>
      <c r="J94" s="41">
        <f t="shared" si="57"/>
        <v>76</v>
      </c>
      <c r="K94" s="86" t="s">
        <v>143</v>
      </c>
      <c r="L94" s="91" t="s">
        <v>140</v>
      </c>
      <c r="M94" s="19">
        <v>27300</v>
      </c>
      <c r="N94" s="20">
        <f t="shared" si="53"/>
        <v>13897</v>
      </c>
      <c r="O94" s="20">
        <f>ROUND((M94-N94)/2,)</f>
        <v>6702</v>
      </c>
      <c r="P94" s="20">
        <f>ROUND(O94*50%,)</f>
        <v>3351</v>
      </c>
      <c r="Q94" s="20">
        <f>ROUND(O94*50/100,)</f>
        <v>3351</v>
      </c>
      <c r="R94" s="20">
        <v>0</v>
      </c>
      <c r="S94" s="20">
        <f>N94+O94+P94+Q94+R94</f>
        <v>27301</v>
      </c>
      <c r="T94" s="20">
        <v>0</v>
      </c>
      <c r="U94" s="22">
        <v>26</v>
      </c>
      <c r="V94" s="22">
        <v>4</v>
      </c>
      <c r="W94" s="22">
        <v>0</v>
      </c>
      <c r="X94" s="22">
        <f>+U94+V94+W94</f>
        <v>30</v>
      </c>
      <c r="Y94" s="20">
        <f t="shared" si="54"/>
        <v>27300</v>
      </c>
      <c r="Z94" s="42">
        <v>0</v>
      </c>
      <c r="AA94" s="20">
        <f>+Y94+Z94</f>
        <v>27300</v>
      </c>
      <c r="AB94" s="20">
        <f t="shared" si="55"/>
        <v>12044.066666666668</v>
      </c>
      <c r="AC94" s="20">
        <v>0</v>
      </c>
      <c r="AD94" s="20">
        <v>0</v>
      </c>
      <c r="AE94" s="20">
        <v>0</v>
      </c>
      <c r="AF94" s="20">
        <v>0</v>
      </c>
      <c r="AG94" s="20">
        <f>IF(AA94&gt;=12000,200,IF(AA94&gt;=9000,150,IF(AA94&gt;=6000,80,IF(AA94&gt;=3000,0,0))))</f>
        <v>200</v>
      </c>
      <c r="AH94" s="24"/>
      <c r="AI94" s="80">
        <v>0</v>
      </c>
      <c r="AJ94" s="24">
        <v>0</v>
      </c>
      <c r="AK94" s="24">
        <v>0</v>
      </c>
      <c r="AL94" s="24">
        <v>0</v>
      </c>
      <c r="AM94" s="25">
        <f t="shared" si="56"/>
        <v>0</v>
      </c>
      <c r="AN94" s="26">
        <f>+AA94-(AC94+AE94+AG94+AH94+AI94+AJ94+AK94+AL94)</f>
        <v>27100</v>
      </c>
      <c r="AO94" s="93"/>
      <c r="AP94" s="94"/>
      <c r="AQ94" s="174" t="s">
        <v>386</v>
      </c>
      <c r="AR94" s="95"/>
      <c r="AS94" s="95"/>
      <c r="AT94" s="96"/>
      <c r="AU94" s="29"/>
      <c r="AV94" s="20"/>
      <c r="AW94" s="30"/>
      <c r="AX94" s="30"/>
      <c r="AY94" s="30"/>
      <c r="AZ94" s="44"/>
      <c r="BA94" s="30"/>
      <c r="BC94" s="152">
        <f>AC94+AE94+AG94+AN94</f>
        <v>27300</v>
      </c>
      <c r="BD94" s="31"/>
    </row>
    <row r="95" spans="2:56" s="50" customFormat="1" ht="15.75" x14ac:dyDescent="0.25">
      <c r="B95" s="198">
        <v>45550</v>
      </c>
      <c r="C95" s="155">
        <v>40500</v>
      </c>
      <c r="D95" s="78">
        <v>38500</v>
      </c>
      <c r="E95" s="16" t="s">
        <v>114</v>
      </c>
      <c r="F95" s="104" t="s">
        <v>150</v>
      </c>
      <c r="G95" s="134">
        <v>45413</v>
      </c>
      <c r="H95" s="51"/>
      <c r="I95" s="51"/>
      <c r="J95" s="41">
        <f t="shared" si="57"/>
        <v>77</v>
      </c>
      <c r="K95" s="86" t="s">
        <v>218</v>
      </c>
      <c r="L95" s="52" t="s">
        <v>216</v>
      </c>
      <c r="M95" s="33">
        <v>45550</v>
      </c>
      <c r="N95" s="20">
        <f t="shared" si="53"/>
        <v>22775</v>
      </c>
      <c r="O95" s="20">
        <f>ROUND((M95-N95)/2,)</f>
        <v>11388</v>
      </c>
      <c r="P95" s="20">
        <f>ROUND(O95*50%,)</f>
        <v>5694</v>
      </c>
      <c r="Q95" s="20">
        <f>ROUND(O95*50/100,)</f>
        <v>5694</v>
      </c>
      <c r="R95" s="20">
        <v>0</v>
      </c>
      <c r="S95" s="20">
        <f t="shared" ref="S95:S143" si="60">N95+O95+P95+Q95+R95</f>
        <v>45551</v>
      </c>
      <c r="T95" s="20">
        <v>0</v>
      </c>
      <c r="U95" s="22">
        <v>26</v>
      </c>
      <c r="V95" s="22">
        <v>4</v>
      </c>
      <c r="W95" s="22">
        <v>0</v>
      </c>
      <c r="X95" s="22">
        <f t="shared" ref="X95:X143" si="61">+U95+V95+W95</f>
        <v>30</v>
      </c>
      <c r="Y95" s="20">
        <f t="shared" si="54"/>
        <v>45550</v>
      </c>
      <c r="Z95" s="42">
        <v>0</v>
      </c>
      <c r="AA95" s="20">
        <f t="shared" ref="AA95:AA160" si="62">+Y95+Z95</f>
        <v>45550</v>
      </c>
      <c r="AB95" s="20">
        <f t="shared" si="55"/>
        <v>19738.333333333332</v>
      </c>
      <c r="AC95" s="20">
        <v>0</v>
      </c>
      <c r="AD95" s="20">
        <v>0</v>
      </c>
      <c r="AE95" s="20">
        <v>0</v>
      </c>
      <c r="AF95" s="20">
        <v>0</v>
      </c>
      <c r="AG95" s="20">
        <f t="shared" ref="AG95:AG162" si="63">IF(AA95&gt;=12000,200,IF(AA95&gt;=9000,150,IF(AA95&gt;=6000,80,IF(AA95&gt;=3000,0,0))))</f>
        <v>200</v>
      </c>
      <c r="AH95" s="24"/>
      <c r="AI95" s="80">
        <v>0</v>
      </c>
      <c r="AJ95" s="24">
        <v>0</v>
      </c>
      <c r="AK95" s="24">
        <v>0</v>
      </c>
      <c r="AL95" s="24">
        <v>0</v>
      </c>
      <c r="AM95" s="25">
        <f t="shared" si="56"/>
        <v>0</v>
      </c>
      <c r="AN95" s="26">
        <f t="shared" ref="AN95:AN139" si="64">+AA95-(AC95+AE95+AG95+AH95+AI95+AJ95+AK95+AL95)</f>
        <v>45350</v>
      </c>
      <c r="AO95" s="56"/>
      <c r="AP95" s="56"/>
      <c r="AQ95" s="51" t="s">
        <v>337</v>
      </c>
      <c r="AR95" s="56"/>
      <c r="AS95" s="56"/>
      <c r="AT95" s="57"/>
      <c r="AU95" s="58"/>
      <c r="AV95" s="53"/>
      <c r="AW95" s="54"/>
      <c r="AX95" s="51"/>
      <c r="AY95" s="51"/>
      <c r="AZ95" s="51"/>
      <c r="BA95" s="51"/>
      <c r="BC95" s="152">
        <f t="shared" ref="BC95:BC139" si="65">AC95+AE95+AG95+AN95</f>
        <v>45550</v>
      </c>
    </row>
    <row r="96" spans="2:56" s="50" customFormat="1" ht="15.75" x14ac:dyDescent="0.25">
      <c r="B96" s="198">
        <v>0</v>
      </c>
      <c r="C96" s="155">
        <v>36000</v>
      </c>
      <c r="D96" s="15">
        <v>32000</v>
      </c>
      <c r="E96" s="30" t="s">
        <v>228</v>
      </c>
      <c r="F96" s="104" t="s">
        <v>147</v>
      </c>
      <c r="G96" s="134">
        <v>45413</v>
      </c>
      <c r="H96" s="51"/>
      <c r="I96" s="51"/>
      <c r="J96" s="41">
        <f t="shared" si="57"/>
        <v>78</v>
      </c>
      <c r="K96" s="86" t="s">
        <v>218</v>
      </c>
      <c r="L96" s="91" t="s">
        <v>217</v>
      </c>
      <c r="M96" s="33">
        <v>36000</v>
      </c>
      <c r="N96" s="20">
        <f t="shared" si="53"/>
        <v>18000</v>
      </c>
      <c r="O96" s="20">
        <f t="shared" ref="O96:O143" si="66">ROUND((M96-N96)/2,)</f>
        <v>9000</v>
      </c>
      <c r="P96" s="20">
        <f t="shared" ref="P96:P143" si="67">ROUND(O96*50%,)</f>
        <v>4500</v>
      </c>
      <c r="Q96" s="20">
        <f t="shared" ref="Q96:Q143" si="68">ROUND(O96*50/100,)</f>
        <v>4500</v>
      </c>
      <c r="R96" s="20">
        <v>0</v>
      </c>
      <c r="S96" s="20">
        <f t="shared" si="60"/>
        <v>36000</v>
      </c>
      <c r="T96" s="20">
        <v>0</v>
      </c>
      <c r="U96" s="22">
        <v>25</v>
      </c>
      <c r="V96" s="22">
        <v>4</v>
      </c>
      <c r="W96" s="22">
        <v>0</v>
      </c>
      <c r="X96" s="22">
        <f t="shared" si="61"/>
        <v>29</v>
      </c>
      <c r="Y96" s="20">
        <f t="shared" si="54"/>
        <v>34800</v>
      </c>
      <c r="Z96" s="42">
        <v>0</v>
      </c>
      <c r="AA96" s="20">
        <f t="shared" si="62"/>
        <v>34800</v>
      </c>
      <c r="AB96" s="20">
        <f t="shared" si="55"/>
        <v>15000</v>
      </c>
      <c r="AC96" s="20">
        <v>0</v>
      </c>
      <c r="AD96" s="20">
        <v>0</v>
      </c>
      <c r="AE96" s="20">
        <v>0</v>
      </c>
      <c r="AF96" s="20">
        <v>0</v>
      </c>
      <c r="AG96" s="20">
        <f t="shared" si="63"/>
        <v>200</v>
      </c>
      <c r="AH96" s="24"/>
      <c r="AI96" s="80">
        <v>0</v>
      </c>
      <c r="AJ96" s="24">
        <v>0</v>
      </c>
      <c r="AK96" s="24">
        <v>0</v>
      </c>
      <c r="AL96" s="24">
        <v>0</v>
      </c>
      <c r="AM96" s="25">
        <f t="shared" si="56"/>
        <v>0</v>
      </c>
      <c r="AN96" s="26">
        <f t="shared" si="64"/>
        <v>34600</v>
      </c>
      <c r="AO96" s="56"/>
      <c r="AP96" s="56"/>
      <c r="AQ96" s="51" t="s">
        <v>360</v>
      </c>
      <c r="AR96" s="56"/>
      <c r="AS96" s="56"/>
      <c r="AT96" s="57"/>
      <c r="AU96" s="58"/>
      <c r="AV96" s="53"/>
      <c r="AW96" s="54"/>
      <c r="AX96" s="51"/>
      <c r="AY96" s="51"/>
      <c r="AZ96" s="51"/>
      <c r="BA96" s="51"/>
      <c r="BC96" s="152">
        <f t="shared" si="65"/>
        <v>34800</v>
      </c>
    </row>
    <row r="97" spans="1:55" s="50" customFormat="1" ht="15.75" x14ac:dyDescent="0.25">
      <c r="B97" s="196"/>
      <c r="C97" s="103"/>
      <c r="D97" s="15">
        <v>40000</v>
      </c>
      <c r="E97" s="48" t="s">
        <v>212</v>
      </c>
      <c r="F97" s="104" t="s">
        <v>150</v>
      </c>
      <c r="G97" s="134">
        <v>45444</v>
      </c>
      <c r="H97" s="51"/>
      <c r="I97" s="51"/>
      <c r="J97" s="41">
        <f t="shared" si="57"/>
        <v>79</v>
      </c>
      <c r="K97" s="86" t="s">
        <v>224</v>
      </c>
      <c r="L97" s="30" t="s">
        <v>219</v>
      </c>
      <c r="M97" s="33">
        <v>60200</v>
      </c>
      <c r="N97" s="20">
        <f t="shared" si="53"/>
        <v>30100</v>
      </c>
      <c r="O97" s="20">
        <f t="shared" si="66"/>
        <v>15050</v>
      </c>
      <c r="P97" s="20">
        <f t="shared" si="67"/>
        <v>7525</v>
      </c>
      <c r="Q97" s="20">
        <f t="shared" si="68"/>
        <v>7525</v>
      </c>
      <c r="R97" s="20">
        <v>0</v>
      </c>
      <c r="S97" s="20">
        <f t="shared" si="60"/>
        <v>60200</v>
      </c>
      <c r="T97" s="20">
        <v>0</v>
      </c>
      <c r="U97" s="22">
        <v>26</v>
      </c>
      <c r="V97" s="22">
        <v>4</v>
      </c>
      <c r="W97" s="22">
        <v>0</v>
      </c>
      <c r="X97" s="22">
        <f t="shared" si="61"/>
        <v>30</v>
      </c>
      <c r="Y97" s="20">
        <f t="shared" si="54"/>
        <v>60200</v>
      </c>
      <c r="Z97" s="42">
        <v>0</v>
      </c>
      <c r="AA97" s="20">
        <f t="shared" si="62"/>
        <v>60200</v>
      </c>
      <c r="AB97" s="20">
        <f t="shared" si="55"/>
        <v>26086.666666666668</v>
      </c>
      <c r="AC97" s="20">
        <v>0</v>
      </c>
      <c r="AD97" s="20">
        <v>0</v>
      </c>
      <c r="AE97" s="20">
        <v>0</v>
      </c>
      <c r="AF97" s="20">
        <v>0</v>
      </c>
      <c r="AG97" s="20">
        <f t="shared" si="63"/>
        <v>200</v>
      </c>
      <c r="AH97" s="24"/>
      <c r="AI97" s="80">
        <v>0</v>
      </c>
      <c r="AJ97" s="24">
        <v>0</v>
      </c>
      <c r="AK97" s="24">
        <v>0</v>
      </c>
      <c r="AL97" s="24">
        <v>0</v>
      </c>
      <c r="AM97" s="25">
        <f t="shared" si="56"/>
        <v>0</v>
      </c>
      <c r="AN97" s="26">
        <f t="shared" si="64"/>
        <v>60000</v>
      </c>
      <c r="AO97" s="51"/>
      <c r="AP97" s="51"/>
      <c r="AQ97" s="172" t="s">
        <v>407</v>
      </c>
      <c r="AR97" s="51"/>
      <c r="AS97" s="51"/>
      <c r="AT97" s="51"/>
      <c r="AU97" s="58"/>
      <c r="AV97" s="53"/>
      <c r="AW97" s="54"/>
      <c r="AX97" s="51"/>
      <c r="AY97" s="51"/>
      <c r="AZ97" s="51"/>
      <c r="BA97" s="51"/>
      <c r="BC97" s="152">
        <f t="shared" si="65"/>
        <v>60200</v>
      </c>
    </row>
    <row r="98" spans="1:55" s="50" customFormat="1" ht="15.75" x14ac:dyDescent="0.25">
      <c r="B98" s="196"/>
      <c r="C98" s="103"/>
      <c r="D98" s="15">
        <v>60000</v>
      </c>
      <c r="E98" s="48" t="s">
        <v>212</v>
      </c>
      <c r="F98" s="104" t="s">
        <v>150</v>
      </c>
      <c r="G98" s="134">
        <v>45444</v>
      </c>
      <c r="H98" s="51"/>
      <c r="I98" s="51"/>
      <c r="J98" s="41">
        <f t="shared" si="57"/>
        <v>80</v>
      </c>
      <c r="K98" s="86" t="s">
        <v>224</v>
      </c>
      <c r="L98" s="30" t="s">
        <v>220</v>
      </c>
      <c r="M98" s="33">
        <v>60200</v>
      </c>
      <c r="N98" s="20">
        <f t="shared" si="53"/>
        <v>30100</v>
      </c>
      <c r="O98" s="20">
        <f t="shared" si="66"/>
        <v>15050</v>
      </c>
      <c r="P98" s="20">
        <f t="shared" si="67"/>
        <v>7525</v>
      </c>
      <c r="Q98" s="20">
        <f t="shared" si="68"/>
        <v>7525</v>
      </c>
      <c r="R98" s="20">
        <v>0</v>
      </c>
      <c r="S98" s="20">
        <f t="shared" si="60"/>
        <v>60200</v>
      </c>
      <c r="T98" s="20">
        <v>0</v>
      </c>
      <c r="U98" s="22">
        <v>26</v>
      </c>
      <c r="V98" s="22">
        <v>4</v>
      </c>
      <c r="W98" s="22">
        <v>0</v>
      </c>
      <c r="X98" s="22">
        <f t="shared" si="61"/>
        <v>30</v>
      </c>
      <c r="Y98" s="20">
        <f t="shared" si="54"/>
        <v>60200</v>
      </c>
      <c r="Z98" s="42">
        <v>0</v>
      </c>
      <c r="AA98" s="20">
        <f t="shared" si="62"/>
        <v>60200</v>
      </c>
      <c r="AB98" s="20">
        <f t="shared" si="55"/>
        <v>26086.666666666668</v>
      </c>
      <c r="AC98" s="20">
        <v>0</v>
      </c>
      <c r="AD98" s="20">
        <v>0</v>
      </c>
      <c r="AE98" s="20">
        <v>0</v>
      </c>
      <c r="AF98" s="20">
        <v>0</v>
      </c>
      <c r="AG98" s="20">
        <f t="shared" si="63"/>
        <v>200</v>
      </c>
      <c r="AH98" s="24"/>
      <c r="AI98" s="80">
        <v>0</v>
      </c>
      <c r="AJ98" s="24">
        <v>0</v>
      </c>
      <c r="AK98" s="24">
        <v>0</v>
      </c>
      <c r="AL98" s="24">
        <v>0</v>
      </c>
      <c r="AM98" s="25">
        <f t="shared" si="56"/>
        <v>0</v>
      </c>
      <c r="AN98" s="26">
        <f t="shared" si="64"/>
        <v>60000</v>
      </c>
      <c r="AO98" s="51"/>
      <c r="AP98" s="51"/>
      <c r="AQ98" s="172" t="s">
        <v>409</v>
      </c>
      <c r="AR98" s="51"/>
      <c r="AS98" s="51"/>
      <c r="AT98" s="51"/>
      <c r="AU98" s="58"/>
      <c r="AV98" s="53"/>
      <c r="AW98" s="54"/>
      <c r="AX98" s="51"/>
      <c r="AY98" s="51"/>
      <c r="AZ98" s="51"/>
      <c r="BA98" s="51"/>
      <c r="BC98" s="152">
        <f t="shared" si="65"/>
        <v>60200</v>
      </c>
    </row>
    <row r="99" spans="1:55" s="50" customFormat="1" ht="15.75" x14ac:dyDescent="0.25">
      <c r="B99" s="196"/>
      <c r="C99" s="103"/>
      <c r="D99" s="15">
        <v>60000</v>
      </c>
      <c r="E99" s="48" t="s">
        <v>212</v>
      </c>
      <c r="F99" s="104" t="s">
        <v>150</v>
      </c>
      <c r="G99" s="134">
        <v>45444</v>
      </c>
      <c r="H99" s="51"/>
      <c r="I99" s="51"/>
      <c r="J99" s="41">
        <f t="shared" si="57"/>
        <v>81</v>
      </c>
      <c r="K99" s="86" t="s">
        <v>224</v>
      </c>
      <c r="L99" s="30" t="s">
        <v>221</v>
      </c>
      <c r="M99" s="33">
        <v>60200</v>
      </c>
      <c r="N99" s="20">
        <f t="shared" si="53"/>
        <v>30100</v>
      </c>
      <c r="O99" s="20">
        <f t="shared" si="66"/>
        <v>15050</v>
      </c>
      <c r="P99" s="20">
        <f t="shared" si="67"/>
        <v>7525</v>
      </c>
      <c r="Q99" s="20">
        <f t="shared" si="68"/>
        <v>7525</v>
      </c>
      <c r="R99" s="20">
        <v>0</v>
      </c>
      <c r="S99" s="20">
        <f t="shared" si="60"/>
        <v>60200</v>
      </c>
      <c r="T99" s="20">
        <v>0</v>
      </c>
      <c r="U99" s="22">
        <v>26</v>
      </c>
      <c r="V99" s="22">
        <v>4</v>
      </c>
      <c r="W99" s="22">
        <v>0</v>
      </c>
      <c r="X99" s="22">
        <f t="shared" si="61"/>
        <v>30</v>
      </c>
      <c r="Y99" s="20">
        <f t="shared" si="54"/>
        <v>60200</v>
      </c>
      <c r="Z99" s="42">
        <v>0</v>
      </c>
      <c r="AA99" s="20">
        <f t="shared" si="62"/>
        <v>60200</v>
      </c>
      <c r="AB99" s="20">
        <f t="shared" si="55"/>
        <v>26086.666666666668</v>
      </c>
      <c r="AC99" s="20">
        <v>0</v>
      </c>
      <c r="AD99" s="20">
        <v>0</v>
      </c>
      <c r="AE99" s="20">
        <v>0</v>
      </c>
      <c r="AF99" s="20">
        <v>0</v>
      </c>
      <c r="AG99" s="20">
        <f t="shared" si="63"/>
        <v>200</v>
      </c>
      <c r="AH99" s="24"/>
      <c r="AI99" s="80">
        <v>0</v>
      </c>
      <c r="AJ99" s="24">
        <v>0</v>
      </c>
      <c r="AK99" s="24">
        <v>0</v>
      </c>
      <c r="AL99" s="24">
        <v>0</v>
      </c>
      <c r="AM99" s="25">
        <f t="shared" si="56"/>
        <v>0</v>
      </c>
      <c r="AN99" s="26">
        <f t="shared" si="64"/>
        <v>60000</v>
      </c>
      <c r="AO99" s="51"/>
      <c r="AP99" s="51"/>
      <c r="AQ99" s="173" t="s">
        <v>408</v>
      </c>
      <c r="AR99" s="51"/>
      <c r="AS99" s="51"/>
      <c r="AT99" s="51"/>
      <c r="AU99" s="58"/>
      <c r="AV99" s="53"/>
      <c r="AW99" s="54"/>
      <c r="AX99" s="51"/>
      <c r="AY99" s="51"/>
      <c r="AZ99" s="51"/>
      <c r="BA99" s="51"/>
      <c r="BC99" s="152">
        <f t="shared" si="65"/>
        <v>60200</v>
      </c>
    </row>
    <row r="100" spans="1:55" s="50" customFormat="1" ht="15.75" x14ac:dyDescent="0.25">
      <c r="A100" s="14"/>
      <c r="B100" s="196"/>
      <c r="C100" s="103">
        <v>100000</v>
      </c>
      <c r="D100" s="15">
        <v>100000</v>
      </c>
      <c r="E100" s="48" t="s">
        <v>212</v>
      </c>
      <c r="F100" s="104" t="s">
        <v>153</v>
      </c>
      <c r="G100" s="134">
        <v>45444</v>
      </c>
      <c r="H100" s="51"/>
      <c r="I100" s="51"/>
      <c r="J100" s="41">
        <f t="shared" si="57"/>
        <v>82</v>
      </c>
      <c r="K100" s="86" t="s">
        <v>224</v>
      </c>
      <c r="L100" s="30" t="s">
        <v>222</v>
      </c>
      <c r="M100" s="33">
        <v>100200</v>
      </c>
      <c r="N100" s="20">
        <f t="shared" si="53"/>
        <v>50100</v>
      </c>
      <c r="O100" s="20">
        <f t="shared" si="66"/>
        <v>25050</v>
      </c>
      <c r="P100" s="20">
        <f t="shared" si="67"/>
        <v>12525</v>
      </c>
      <c r="Q100" s="20">
        <f t="shared" si="68"/>
        <v>12525</v>
      </c>
      <c r="R100" s="20">
        <v>0</v>
      </c>
      <c r="S100" s="20">
        <f t="shared" si="60"/>
        <v>100200</v>
      </c>
      <c r="T100" s="20">
        <v>0</v>
      </c>
      <c r="U100" s="22">
        <v>26</v>
      </c>
      <c r="V100" s="22">
        <v>4</v>
      </c>
      <c r="W100" s="22">
        <v>0</v>
      </c>
      <c r="X100" s="22">
        <f t="shared" si="61"/>
        <v>30</v>
      </c>
      <c r="Y100" s="20">
        <f t="shared" si="54"/>
        <v>100200</v>
      </c>
      <c r="Z100" s="42">
        <v>0</v>
      </c>
      <c r="AA100" s="20">
        <f t="shared" si="62"/>
        <v>100200</v>
      </c>
      <c r="AB100" s="20">
        <f t="shared" si="55"/>
        <v>43420</v>
      </c>
      <c r="AC100" s="20">
        <v>0</v>
      </c>
      <c r="AD100" s="20">
        <v>0</v>
      </c>
      <c r="AE100" s="20">
        <v>0</v>
      </c>
      <c r="AF100" s="20">
        <v>0</v>
      </c>
      <c r="AG100" s="20">
        <f t="shared" si="63"/>
        <v>200</v>
      </c>
      <c r="AH100" s="24"/>
      <c r="AI100" s="80">
        <v>0</v>
      </c>
      <c r="AJ100" s="24">
        <v>0</v>
      </c>
      <c r="AK100" s="24">
        <v>0</v>
      </c>
      <c r="AL100" s="24">
        <v>0</v>
      </c>
      <c r="AM100" s="25">
        <f t="shared" si="56"/>
        <v>0</v>
      </c>
      <c r="AN100" s="26">
        <f t="shared" si="64"/>
        <v>100000</v>
      </c>
      <c r="AO100" s="51"/>
      <c r="AP100" s="51"/>
      <c r="AQ100" s="51" t="s">
        <v>287</v>
      </c>
      <c r="AR100" s="51"/>
      <c r="AS100" s="51"/>
      <c r="AT100" s="51"/>
      <c r="AU100" s="58"/>
      <c r="AV100" s="53"/>
      <c r="AW100" s="54"/>
      <c r="AX100" s="51"/>
      <c r="AY100" s="51"/>
      <c r="AZ100" s="51"/>
      <c r="BA100" s="51"/>
      <c r="BC100" s="152">
        <f t="shared" si="65"/>
        <v>100200</v>
      </c>
    </row>
    <row r="101" spans="1:55" s="50" customFormat="1" ht="15.75" x14ac:dyDescent="0.25">
      <c r="A101" s="14"/>
      <c r="B101" s="196"/>
      <c r="C101" s="103"/>
      <c r="D101" s="15">
        <v>60000</v>
      </c>
      <c r="E101" s="48" t="s">
        <v>212</v>
      </c>
      <c r="F101" s="104" t="s">
        <v>150</v>
      </c>
      <c r="G101" s="134">
        <v>45444</v>
      </c>
      <c r="H101" s="51"/>
      <c r="I101" s="51"/>
      <c r="J101" s="41">
        <f t="shared" si="57"/>
        <v>83</v>
      </c>
      <c r="K101" s="86" t="s">
        <v>224</v>
      </c>
      <c r="L101" s="30" t="s">
        <v>223</v>
      </c>
      <c r="M101" s="33">
        <v>60200</v>
      </c>
      <c r="N101" s="20">
        <f t="shared" si="53"/>
        <v>30100</v>
      </c>
      <c r="O101" s="20">
        <f t="shared" si="66"/>
        <v>15050</v>
      </c>
      <c r="P101" s="20">
        <f t="shared" si="67"/>
        <v>7525</v>
      </c>
      <c r="Q101" s="20">
        <f t="shared" si="68"/>
        <v>7525</v>
      </c>
      <c r="R101" s="20">
        <v>0</v>
      </c>
      <c r="S101" s="20">
        <f t="shared" si="60"/>
        <v>60200</v>
      </c>
      <c r="T101" s="20">
        <v>0</v>
      </c>
      <c r="U101" s="22">
        <v>26</v>
      </c>
      <c r="V101" s="22">
        <v>4</v>
      </c>
      <c r="W101" s="22">
        <v>0</v>
      </c>
      <c r="X101" s="22">
        <f t="shared" si="61"/>
        <v>30</v>
      </c>
      <c r="Y101" s="20">
        <f t="shared" si="54"/>
        <v>60200</v>
      </c>
      <c r="Z101" s="42">
        <v>0</v>
      </c>
      <c r="AA101" s="20">
        <f t="shared" si="62"/>
        <v>60200</v>
      </c>
      <c r="AB101" s="20">
        <f t="shared" si="55"/>
        <v>26086.666666666668</v>
      </c>
      <c r="AC101" s="20">
        <v>0</v>
      </c>
      <c r="AD101" s="20">
        <v>0</v>
      </c>
      <c r="AE101" s="20">
        <v>0</v>
      </c>
      <c r="AF101" s="20">
        <v>0</v>
      </c>
      <c r="AG101" s="20">
        <f t="shared" si="63"/>
        <v>200</v>
      </c>
      <c r="AH101" s="24"/>
      <c r="AI101" s="80">
        <v>0</v>
      </c>
      <c r="AJ101" s="24">
        <v>0</v>
      </c>
      <c r="AK101" s="24">
        <v>0</v>
      </c>
      <c r="AL101" s="24">
        <v>0</v>
      </c>
      <c r="AM101" s="25">
        <f t="shared" si="56"/>
        <v>0</v>
      </c>
      <c r="AN101" s="26">
        <f t="shared" si="64"/>
        <v>60000</v>
      </c>
      <c r="AO101" s="51"/>
      <c r="AP101" s="51"/>
      <c r="AQ101" s="173" t="s">
        <v>406</v>
      </c>
      <c r="AR101" s="51"/>
      <c r="AS101" s="51"/>
      <c r="AT101" s="51"/>
      <c r="AU101" s="58"/>
      <c r="AV101" s="53"/>
      <c r="AW101" s="54"/>
      <c r="AX101" s="51"/>
      <c r="AY101" s="51"/>
      <c r="AZ101" s="51"/>
      <c r="BA101" s="51"/>
      <c r="BC101" s="152">
        <f t="shared" si="65"/>
        <v>60200</v>
      </c>
    </row>
    <row r="102" spans="1:55" s="50" customFormat="1" ht="15.75" x14ac:dyDescent="0.25">
      <c r="B102" s="198">
        <v>21000</v>
      </c>
      <c r="C102" s="155">
        <v>20000</v>
      </c>
      <c r="D102" s="140">
        <v>18000</v>
      </c>
      <c r="E102" s="30" t="s">
        <v>233</v>
      </c>
      <c r="F102" s="104" t="s">
        <v>150</v>
      </c>
      <c r="G102" s="134">
        <v>45444</v>
      </c>
      <c r="H102" s="51"/>
      <c r="I102" s="51"/>
      <c r="J102" s="41">
        <f t="shared" si="57"/>
        <v>84</v>
      </c>
      <c r="K102" s="86" t="s">
        <v>224</v>
      </c>
      <c r="L102" s="84" t="s">
        <v>379</v>
      </c>
      <c r="M102" s="33">
        <v>30000</v>
      </c>
      <c r="N102" s="20">
        <f t="shared" si="53"/>
        <v>15000</v>
      </c>
      <c r="O102" s="20">
        <f t="shared" si="66"/>
        <v>7500</v>
      </c>
      <c r="P102" s="20">
        <f t="shared" si="67"/>
        <v>3750</v>
      </c>
      <c r="Q102" s="20">
        <f t="shared" si="68"/>
        <v>3750</v>
      </c>
      <c r="R102" s="20">
        <v>0</v>
      </c>
      <c r="S102" s="20">
        <f t="shared" si="60"/>
        <v>30000</v>
      </c>
      <c r="T102" s="20">
        <v>0</v>
      </c>
      <c r="U102" s="22">
        <v>24</v>
      </c>
      <c r="V102" s="22">
        <v>3</v>
      </c>
      <c r="W102" s="22">
        <v>0</v>
      </c>
      <c r="X102" s="22">
        <f t="shared" si="61"/>
        <v>27</v>
      </c>
      <c r="Y102" s="20">
        <f t="shared" si="54"/>
        <v>27000</v>
      </c>
      <c r="Z102" s="42"/>
      <c r="AA102" s="20">
        <f t="shared" si="62"/>
        <v>27000</v>
      </c>
      <c r="AB102" s="20">
        <f t="shared" si="55"/>
        <v>12000</v>
      </c>
      <c r="AC102" s="20">
        <v>0</v>
      </c>
      <c r="AD102" s="20">
        <v>0</v>
      </c>
      <c r="AE102" s="20">
        <v>0</v>
      </c>
      <c r="AF102" s="20">
        <v>0</v>
      </c>
      <c r="AG102" s="20">
        <f t="shared" si="63"/>
        <v>200</v>
      </c>
      <c r="AH102" s="24"/>
      <c r="AI102" s="80">
        <v>0</v>
      </c>
      <c r="AJ102" s="24">
        <v>0</v>
      </c>
      <c r="AK102" s="24">
        <v>0</v>
      </c>
      <c r="AL102" s="24">
        <v>0</v>
      </c>
      <c r="AM102" s="25">
        <f t="shared" si="56"/>
        <v>0</v>
      </c>
      <c r="AN102" s="26">
        <f t="shared" si="64"/>
        <v>26800</v>
      </c>
      <c r="AO102" s="56"/>
      <c r="AP102" s="56"/>
      <c r="AQ102" s="51" t="s">
        <v>380</v>
      </c>
      <c r="AR102" s="56"/>
      <c r="AS102" s="56"/>
      <c r="AT102" s="57"/>
      <c r="AU102" s="58"/>
      <c r="AV102" s="53"/>
      <c r="AW102" s="54"/>
      <c r="AX102" s="51"/>
      <c r="AY102" s="51"/>
      <c r="AZ102" s="51"/>
      <c r="BA102" s="51"/>
      <c r="BC102" s="152">
        <f t="shared" si="65"/>
        <v>27000</v>
      </c>
    </row>
    <row r="103" spans="1:55" s="50" customFormat="1" ht="15.75" x14ac:dyDescent="0.25">
      <c r="B103" s="198">
        <v>90000</v>
      </c>
      <c r="C103" s="155">
        <v>0</v>
      </c>
      <c r="D103" s="78">
        <v>81400</v>
      </c>
      <c r="E103" s="16" t="s">
        <v>128</v>
      </c>
      <c r="F103" s="104" t="s">
        <v>145</v>
      </c>
      <c r="G103" s="112">
        <v>45536</v>
      </c>
      <c r="H103" s="51"/>
      <c r="I103" s="51"/>
      <c r="J103" s="41">
        <f t="shared" si="57"/>
        <v>85</v>
      </c>
      <c r="K103" s="86" t="s">
        <v>230</v>
      </c>
      <c r="L103" s="52" t="s">
        <v>231</v>
      </c>
      <c r="M103" s="33">
        <v>90000</v>
      </c>
      <c r="N103" s="20">
        <f t="shared" si="53"/>
        <v>45000</v>
      </c>
      <c r="O103" s="20">
        <f t="shared" si="66"/>
        <v>22500</v>
      </c>
      <c r="P103" s="20">
        <f t="shared" si="67"/>
        <v>11250</v>
      </c>
      <c r="Q103" s="20">
        <f t="shared" si="68"/>
        <v>11250</v>
      </c>
      <c r="R103" s="20">
        <v>0</v>
      </c>
      <c r="S103" s="20">
        <f t="shared" si="60"/>
        <v>90000</v>
      </c>
      <c r="T103" s="20">
        <v>0</v>
      </c>
      <c r="U103" s="22">
        <v>26</v>
      </c>
      <c r="V103" s="22">
        <v>4</v>
      </c>
      <c r="W103" s="22">
        <v>0</v>
      </c>
      <c r="X103" s="22">
        <f t="shared" si="61"/>
        <v>30</v>
      </c>
      <c r="Y103" s="20">
        <f t="shared" si="54"/>
        <v>90000</v>
      </c>
      <c r="Z103" s="42"/>
      <c r="AA103" s="20">
        <f t="shared" si="62"/>
        <v>90000</v>
      </c>
      <c r="AB103" s="20">
        <f t="shared" si="55"/>
        <v>39000</v>
      </c>
      <c r="AC103" s="20">
        <v>0</v>
      </c>
      <c r="AD103" s="20">
        <v>0</v>
      </c>
      <c r="AE103" s="20">
        <v>0</v>
      </c>
      <c r="AF103" s="20">
        <v>0</v>
      </c>
      <c r="AG103" s="20">
        <f t="shared" si="63"/>
        <v>200</v>
      </c>
      <c r="AH103" s="24">
        <v>0</v>
      </c>
      <c r="AI103" s="80">
        <v>0</v>
      </c>
      <c r="AJ103" s="24">
        <v>0</v>
      </c>
      <c r="AK103" s="24">
        <v>0</v>
      </c>
      <c r="AL103" s="24">
        <v>0</v>
      </c>
      <c r="AM103" s="25">
        <f t="shared" si="56"/>
        <v>0</v>
      </c>
      <c r="AN103" s="26">
        <f t="shared" si="64"/>
        <v>89800</v>
      </c>
      <c r="AO103" s="56"/>
      <c r="AP103" s="56"/>
      <c r="AQ103" s="51" t="s">
        <v>348</v>
      </c>
      <c r="AR103" s="56"/>
      <c r="AS103" s="56"/>
      <c r="AT103" s="57"/>
      <c r="AU103" s="58"/>
      <c r="AV103" s="53"/>
      <c r="AW103" s="54"/>
      <c r="AX103" s="51"/>
      <c r="AY103" s="51"/>
      <c r="AZ103" s="51"/>
      <c r="BA103" s="51"/>
      <c r="BC103" s="152">
        <f t="shared" si="65"/>
        <v>90000</v>
      </c>
    </row>
    <row r="104" spans="1:55" s="50" customFormat="1" ht="15.75" x14ac:dyDescent="0.25">
      <c r="B104" s="198">
        <v>19260</v>
      </c>
      <c r="C104" s="155">
        <v>18000</v>
      </c>
      <c r="D104" s="78">
        <v>15000</v>
      </c>
      <c r="E104" s="30" t="s">
        <v>421</v>
      </c>
      <c r="F104" s="104" t="s">
        <v>244</v>
      </c>
      <c r="G104" s="112">
        <v>45536</v>
      </c>
      <c r="H104" s="51"/>
      <c r="I104" s="51"/>
      <c r="J104" s="41">
        <f t="shared" si="57"/>
        <v>86</v>
      </c>
      <c r="K104" s="86" t="s">
        <v>230</v>
      </c>
      <c r="L104" s="92" t="s">
        <v>229</v>
      </c>
      <c r="M104" s="33">
        <v>30000</v>
      </c>
      <c r="N104" s="20">
        <f t="shared" si="53"/>
        <v>15000</v>
      </c>
      <c r="O104" s="20">
        <f t="shared" si="66"/>
        <v>7500</v>
      </c>
      <c r="P104" s="20">
        <f t="shared" si="67"/>
        <v>3750</v>
      </c>
      <c r="Q104" s="20">
        <f t="shared" si="68"/>
        <v>3750</v>
      </c>
      <c r="R104" s="20">
        <v>0</v>
      </c>
      <c r="S104" s="20">
        <f t="shared" si="60"/>
        <v>30000</v>
      </c>
      <c r="T104" s="20">
        <v>0</v>
      </c>
      <c r="U104" s="22">
        <v>14</v>
      </c>
      <c r="V104" s="22">
        <v>2</v>
      </c>
      <c r="W104" s="22">
        <v>0.05</v>
      </c>
      <c r="X104" s="22">
        <f t="shared" si="61"/>
        <v>16.05</v>
      </c>
      <c r="Y104" s="20">
        <f t="shared" si="54"/>
        <v>16050</v>
      </c>
      <c r="Z104" s="42"/>
      <c r="AA104" s="20">
        <f t="shared" si="62"/>
        <v>16050</v>
      </c>
      <c r="AB104" s="20">
        <f t="shared" si="55"/>
        <v>7000</v>
      </c>
      <c r="AC104" s="20">
        <v>0</v>
      </c>
      <c r="AD104" s="20">
        <v>0</v>
      </c>
      <c r="AE104" s="20">
        <v>0</v>
      </c>
      <c r="AF104" s="20">
        <v>0</v>
      </c>
      <c r="AG104" s="20">
        <f t="shared" si="63"/>
        <v>200</v>
      </c>
      <c r="AH104" s="24"/>
      <c r="AI104" s="80">
        <v>0</v>
      </c>
      <c r="AJ104" s="24">
        <v>0</v>
      </c>
      <c r="AK104" s="24">
        <v>0</v>
      </c>
      <c r="AL104" s="24">
        <v>0</v>
      </c>
      <c r="AM104" s="25">
        <f t="shared" si="56"/>
        <v>0</v>
      </c>
      <c r="AN104" s="26">
        <f t="shared" si="64"/>
        <v>15850</v>
      </c>
      <c r="AO104" s="56"/>
      <c r="AP104" s="56"/>
      <c r="AQ104" s="51" t="s">
        <v>373</v>
      </c>
      <c r="AR104" s="56"/>
      <c r="AS104" s="56"/>
      <c r="AT104" s="57"/>
      <c r="AU104" s="58"/>
      <c r="AV104" s="53"/>
      <c r="AW104" s="54"/>
      <c r="AX104" s="51"/>
      <c r="AY104" s="51"/>
      <c r="AZ104" s="51"/>
      <c r="BA104" s="51"/>
      <c r="BC104" s="152">
        <f t="shared" si="65"/>
        <v>16050</v>
      </c>
    </row>
    <row r="105" spans="1:55" s="50" customFormat="1" ht="15.75" x14ac:dyDescent="0.25">
      <c r="B105" s="198">
        <v>28890</v>
      </c>
      <c r="C105" s="155">
        <v>0</v>
      </c>
      <c r="D105" s="78">
        <v>27000</v>
      </c>
      <c r="E105" s="16" t="s">
        <v>114</v>
      </c>
      <c r="F105" s="104" t="s">
        <v>150</v>
      </c>
      <c r="G105" s="112">
        <v>45566</v>
      </c>
      <c r="H105" s="30"/>
      <c r="I105" s="30"/>
      <c r="J105" s="41">
        <f t="shared" si="57"/>
        <v>87</v>
      </c>
      <c r="K105" s="86" t="s">
        <v>237</v>
      </c>
      <c r="L105" s="30" t="s">
        <v>234</v>
      </c>
      <c r="M105" s="33">
        <v>28890</v>
      </c>
      <c r="N105" s="20">
        <f t="shared" si="53"/>
        <v>14445</v>
      </c>
      <c r="O105" s="20">
        <f t="shared" si="66"/>
        <v>7223</v>
      </c>
      <c r="P105" s="20">
        <f t="shared" si="67"/>
        <v>3612</v>
      </c>
      <c r="Q105" s="20">
        <f t="shared" si="68"/>
        <v>3612</v>
      </c>
      <c r="R105" s="20">
        <v>0</v>
      </c>
      <c r="S105" s="20">
        <f t="shared" si="60"/>
        <v>28892</v>
      </c>
      <c r="T105" s="20">
        <v>0</v>
      </c>
      <c r="U105" s="22">
        <v>26</v>
      </c>
      <c r="V105" s="22">
        <v>4</v>
      </c>
      <c r="W105" s="22">
        <v>0</v>
      </c>
      <c r="X105" s="22">
        <f t="shared" si="61"/>
        <v>30</v>
      </c>
      <c r="Y105" s="20">
        <f t="shared" si="54"/>
        <v>28890</v>
      </c>
      <c r="Z105" s="42"/>
      <c r="AA105" s="20">
        <f t="shared" si="62"/>
        <v>28890</v>
      </c>
      <c r="AB105" s="20">
        <f t="shared" si="55"/>
        <v>12519</v>
      </c>
      <c r="AC105" s="20">
        <v>0</v>
      </c>
      <c r="AD105" s="20">
        <v>0</v>
      </c>
      <c r="AE105" s="20">
        <v>0</v>
      </c>
      <c r="AF105" s="20">
        <v>0</v>
      </c>
      <c r="AG105" s="20">
        <f t="shared" si="63"/>
        <v>200</v>
      </c>
      <c r="AH105" s="24"/>
      <c r="AI105" s="80">
        <v>0</v>
      </c>
      <c r="AJ105" s="24">
        <v>0</v>
      </c>
      <c r="AK105" s="24">
        <v>0</v>
      </c>
      <c r="AL105" s="24">
        <v>0</v>
      </c>
      <c r="AM105" s="25">
        <f t="shared" si="56"/>
        <v>0</v>
      </c>
      <c r="AN105" s="26">
        <f t="shared" si="64"/>
        <v>28690</v>
      </c>
      <c r="AO105" s="56"/>
      <c r="AP105" s="56"/>
      <c r="AQ105" s="51" t="s">
        <v>355</v>
      </c>
      <c r="AR105" s="56"/>
      <c r="AS105" s="56"/>
      <c r="AT105" s="57"/>
      <c r="AU105" s="58"/>
      <c r="AV105" s="53"/>
      <c r="AW105" s="54"/>
      <c r="AX105" s="51"/>
      <c r="AY105" s="51"/>
      <c r="AZ105" s="51"/>
      <c r="BA105" s="51"/>
      <c r="BC105" s="152">
        <f t="shared" si="65"/>
        <v>28890</v>
      </c>
    </row>
    <row r="106" spans="1:55" s="50" customFormat="1" ht="15.75" x14ac:dyDescent="0.25">
      <c r="B106" s="196"/>
      <c r="C106" s="103">
        <v>50000</v>
      </c>
      <c r="D106" s="15">
        <v>45000</v>
      </c>
      <c r="E106" s="30" t="s">
        <v>236</v>
      </c>
      <c r="F106" s="104" t="s">
        <v>145</v>
      </c>
      <c r="G106" s="112">
        <v>45566</v>
      </c>
      <c r="H106" s="51"/>
      <c r="I106" s="51"/>
      <c r="J106" s="41">
        <f t="shared" si="57"/>
        <v>88</v>
      </c>
      <c r="K106" s="86" t="s">
        <v>237</v>
      </c>
      <c r="L106" s="55" t="s">
        <v>235</v>
      </c>
      <c r="M106" s="33">
        <v>50000</v>
      </c>
      <c r="N106" s="20">
        <f t="shared" si="53"/>
        <v>25000</v>
      </c>
      <c r="O106" s="20">
        <f t="shared" si="66"/>
        <v>12500</v>
      </c>
      <c r="P106" s="20">
        <f t="shared" si="67"/>
        <v>6250</v>
      </c>
      <c r="Q106" s="20">
        <f t="shared" si="68"/>
        <v>6250</v>
      </c>
      <c r="R106" s="20">
        <v>0</v>
      </c>
      <c r="S106" s="20">
        <f t="shared" si="60"/>
        <v>50000</v>
      </c>
      <c r="T106" s="20">
        <v>0</v>
      </c>
      <c r="U106" s="22">
        <v>26</v>
      </c>
      <c r="V106" s="22">
        <v>4</v>
      </c>
      <c r="W106" s="22">
        <v>0</v>
      </c>
      <c r="X106" s="22">
        <f t="shared" si="61"/>
        <v>30</v>
      </c>
      <c r="Y106" s="20">
        <f t="shared" si="54"/>
        <v>50000</v>
      </c>
      <c r="Z106" s="42"/>
      <c r="AA106" s="20">
        <f t="shared" si="62"/>
        <v>50000</v>
      </c>
      <c r="AB106" s="20">
        <f t="shared" si="55"/>
        <v>21666.666666666668</v>
      </c>
      <c r="AC106" s="20">
        <v>0</v>
      </c>
      <c r="AD106" s="20">
        <v>0</v>
      </c>
      <c r="AE106" s="20">
        <v>0</v>
      </c>
      <c r="AF106" s="20">
        <v>0</v>
      </c>
      <c r="AG106" s="20">
        <f t="shared" si="63"/>
        <v>200</v>
      </c>
      <c r="AH106" s="24"/>
      <c r="AI106" s="80">
        <v>0</v>
      </c>
      <c r="AJ106" s="24">
        <v>0</v>
      </c>
      <c r="AK106" s="24">
        <v>0</v>
      </c>
      <c r="AL106" s="24">
        <v>0</v>
      </c>
      <c r="AM106" s="25">
        <f t="shared" si="56"/>
        <v>0</v>
      </c>
      <c r="AN106" s="26">
        <f t="shared" si="64"/>
        <v>49800</v>
      </c>
      <c r="AO106" s="56"/>
      <c r="AP106" s="56"/>
      <c r="AQ106" s="51" t="s">
        <v>367</v>
      </c>
      <c r="AR106" s="56"/>
      <c r="AS106" s="56"/>
      <c r="AT106" s="57"/>
      <c r="AU106" s="58"/>
      <c r="AV106" s="53"/>
      <c r="AW106" s="54"/>
      <c r="AX106" s="51"/>
      <c r="AY106" s="51"/>
      <c r="AZ106" s="51"/>
      <c r="BA106" s="51"/>
      <c r="BC106" s="152">
        <f t="shared" si="65"/>
        <v>50000</v>
      </c>
    </row>
    <row r="107" spans="1:55" s="50" customFormat="1" ht="15.75" x14ac:dyDescent="0.25">
      <c r="B107" s="200">
        <v>47300</v>
      </c>
      <c r="C107" s="104">
        <v>0</v>
      </c>
      <c r="D107" s="115">
        <v>43000</v>
      </c>
      <c r="E107" s="30" t="s">
        <v>226</v>
      </c>
      <c r="F107" s="104" t="s">
        <v>147</v>
      </c>
      <c r="G107" s="112">
        <v>45597</v>
      </c>
      <c r="H107" s="51"/>
      <c r="I107" s="51"/>
      <c r="J107" s="41">
        <f t="shared" si="57"/>
        <v>89</v>
      </c>
      <c r="K107" s="86" t="s">
        <v>239</v>
      </c>
      <c r="L107" s="30" t="s">
        <v>240</v>
      </c>
      <c r="M107" s="33">
        <v>47300</v>
      </c>
      <c r="N107" s="20">
        <f t="shared" si="53"/>
        <v>23650</v>
      </c>
      <c r="O107" s="20">
        <f t="shared" si="66"/>
        <v>11825</v>
      </c>
      <c r="P107" s="20">
        <f t="shared" si="67"/>
        <v>5913</v>
      </c>
      <c r="Q107" s="20">
        <f t="shared" si="68"/>
        <v>5913</v>
      </c>
      <c r="R107" s="20">
        <v>0</v>
      </c>
      <c r="S107" s="20">
        <f t="shared" si="60"/>
        <v>47301</v>
      </c>
      <c r="T107" s="20">
        <v>0</v>
      </c>
      <c r="U107" s="22">
        <v>25</v>
      </c>
      <c r="V107" s="22">
        <v>4</v>
      </c>
      <c r="W107" s="22">
        <v>0</v>
      </c>
      <c r="X107" s="22">
        <f t="shared" si="61"/>
        <v>29</v>
      </c>
      <c r="Y107" s="20">
        <f t="shared" si="54"/>
        <v>45723.333333333336</v>
      </c>
      <c r="Z107" s="42">
        <v>0</v>
      </c>
      <c r="AA107" s="20">
        <f t="shared" si="62"/>
        <v>45723.333333333336</v>
      </c>
      <c r="AB107" s="20">
        <f t="shared" si="55"/>
        <v>19708.333333333336</v>
      </c>
      <c r="AC107" s="20">
        <v>0</v>
      </c>
      <c r="AD107" s="20">
        <v>0</v>
      </c>
      <c r="AE107" s="20">
        <v>0</v>
      </c>
      <c r="AF107" s="20">
        <v>0</v>
      </c>
      <c r="AG107" s="20">
        <f t="shared" si="63"/>
        <v>200</v>
      </c>
      <c r="AH107" s="24"/>
      <c r="AI107" s="80">
        <v>0</v>
      </c>
      <c r="AJ107" s="24">
        <v>0</v>
      </c>
      <c r="AK107" s="24">
        <v>0</v>
      </c>
      <c r="AL107" s="24">
        <v>0</v>
      </c>
      <c r="AM107" s="25">
        <f t="shared" si="56"/>
        <v>0</v>
      </c>
      <c r="AN107" s="26">
        <f t="shared" si="64"/>
        <v>45523.333333333336</v>
      </c>
      <c r="AO107" s="56"/>
      <c r="AP107" s="56"/>
      <c r="AQ107" s="165" t="s">
        <v>361</v>
      </c>
      <c r="AR107" s="56"/>
      <c r="AS107" s="56"/>
      <c r="AT107" s="57"/>
      <c r="AU107" s="58"/>
      <c r="AV107" s="53"/>
      <c r="AW107" s="54"/>
      <c r="AX107" s="51"/>
      <c r="AY107" s="51"/>
      <c r="AZ107" s="51"/>
      <c r="BA107" s="51"/>
      <c r="BC107" s="152">
        <f t="shared" si="65"/>
        <v>45723.333333333336</v>
      </c>
    </row>
    <row r="108" spans="1:55" s="50" customFormat="1" ht="15.75" x14ac:dyDescent="0.25">
      <c r="B108" s="196">
        <v>30000</v>
      </c>
      <c r="C108" s="198">
        <v>27500</v>
      </c>
      <c r="D108" s="15">
        <v>25000</v>
      </c>
      <c r="E108" s="16" t="s">
        <v>438</v>
      </c>
      <c r="F108" s="104" t="s">
        <v>350</v>
      </c>
      <c r="G108" s="112">
        <v>45597</v>
      </c>
      <c r="H108" s="51"/>
      <c r="I108" s="51"/>
      <c r="J108" s="41">
        <f t="shared" si="57"/>
        <v>90</v>
      </c>
      <c r="K108" s="86" t="s">
        <v>239</v>
      </c>
      <c r="L108" s="52" t="s">
        <v>241</v>
      </c>
      <c r="M108" s="33">
        <v>30000</v>
      </c>
      <c r="N108" s="20">
        <f t="shared" si="53"/>
        <v>15000</v>
      </c>
      <c r="O108" s="20">
        <f t="shared" si="66"/>
        <v>7500</v>
      </c>
      <c r="P108" s="20">
        <f t="shared" si="67"/>
        <v>3750</v>
      </c>
      <c r="Q108" s="20">
        <f t="shared" si="68"/>
        <v>3750</v>
      </c>
      <c r="R108" s="20">
        <v>0</v>
      </c>
      <c r="S108" s="20">
        <f t="shared" si="60"/>
        <v>30000</v>
      </c>
      <c r="T108" s="20">
        <v>0</v>
      </c>
      <c r="U108" s="22">
        <v>26</v>
      </c>
      <c r="V108" s="22">
        <v>4</v>
      </c>
      <c r="W108" s="22">
        <v>0</v>
      </c>
      <c r="X108" s="22">
        <f t="shared" si="61"/>
        <v>30</v>
      </c>
      <c r="Y108" s="20">
        <f t="shared" si="54"/>
        <v>30000</v>
      </c>
      <c r="Z108" s="42">
        <v>0</v>
      </c>
      <c r="AA108" s="20">
        <f t="shared" si="62"/>
        <v>30000</v>
      </c>
      <c r="AB108" s="20">
        <f t="shared" si="55"/>
        <v>13000</v>
      </c>
      <c r="AC108" s="20">
        <v>0</v>
      </c>
      <c r="AD108" s="20">
        <v>0</v>
      </c>
      <c r="AE108" s="20">
        <v>0</v>
      </c>
      <c r="AF108" s="20">
        <v>0</v>
      </c>
      <c r="AG108" s="20">
        <f t="shared" si="63"/>
        <v>200</v>
      </c>
      <c r="AH108" s="24"/>
      <c r="AI108" s="80">
        <v>0</v>
      </c>
      <c r="AJ108" s="24">
        <v>0</v>
      </c>
      <c r="AK108" s="24">
        <v>0</v>
      </c>
      <c r="AL108" s="24">
        <v>0</v>
      </c>
      <c r="AM108" s="25">
        <f t="shared" si="56"/>
        <v>0</v>
      </c>
      <c r="AN108" s="26">
        <f t="shared" si="64"/>
        <v>29800</v>
      </c>
      <c r="AO108" s="56"/>
      <c r="AP108" s="56"/>
      <c r="AQ108" s="170" t="s">
        <v>312</v>
      </c>
      <c r="AR108" s="56"/>
      <c r="AS108" s="56"/>
      <c r="AT108" s="57"/>
      <c r="AU108" s="58"/>
      <c r="AV108" s="53"/>
      <c r="AW108" s="54"/>
      <c r="AX108" s="51"/>
      <c r="AY108" s="51"/>
      <c r="AZ108" s="51"/>
      <c r="BA108" s="51"/>
      <c r="BC108" s="152">
        <f t="shared" si="65"/>
        <v>30000</v>
      </c>
    </row>
    <row r="109" spans="1:55" s="50" customFormat="1" ht="15.75" x14ac:dyDescent="0.25">
      <c r="B109" s="198">
        <v>21400</v>
      </c>
      <c r="C109" s="155">
        <v>20000</v>
      </c>
      <c r="D109" s="78">
        <v>20000</v>
      </c>
      <c r="E109" s="30" t="s">
        <v>421</v>
      </c>
      <c r="F109" s="104" t="s">
        <v>150</v>
      </c>
      <c r="G109" s="112">
        <v>45597</v>
      </c>
      <c r="H109" s="51"/>
      <c r="I109" s="51"/>
      <c r="J109" s="41">
        <f t="shared" si="57"/>
        <v>91</v>
      </c>
      <c r="K109" s="86" t="s">
        <v>239</v>
      </c>
      <c r="L109" s="52" t="s">
        <v>243</v>
      </c>
      <c r="M109" s="33">
        <v>21400</v>
      </c>
      <c r="N109" s="20">
        <f t="shared" si="53"/>
        <v>13897</v>
      </c>
      <c r="O109" s="20">
        <f t="shared" si="66"/>
        <v>3752</v>
      </c>
      <c r="P109" s="20">
        <f t="shared" si="67"/>
        <v>1876</v>
      </c>
      <c r="Q109" s="20">
        <f t="shared" si="68"/>
        <v>1876</v>
      </c>
      <c r="R109" s="20">
        <v>0</v>
      </c>
      <c r="S109" s="20">
        <f t="shared" si="60"/>
        <v>21401</v>
      </c>
      <c r="T109" s="20">
        <v>0</v>
      </c>
      <c r="U109" s="22">
        <v>24</v>
      </c>
      <c r="V109" s="22">
        <v>3</v>
      </c>
      <c r="W109" s="22">
        <v>0</v>
      </c>
      <c r="X109" s="22">
        <f t="shared" si="61"/>
        <v>27</v>
      </c>
      <c r="Y109" s="20">
        <f t="shared" si="54"/>
        <v>19260</v>
      </c>
      <c r="Z109" s="42"/>
      <c r="AA109" s="20">
        <f t="shared" si="62"/>
        <v>19260</v>
      </c>
      <c r="AB109" s="20">
        <f t="shared" si="55"/>
        <v>11117.6</v>
      </c>
      <c r="AC109" s="20">
        <v>0</v>
      </c>
      <c r="AD109" s="20">
        <v>0</v>
      </c>
      <c r="AE109" s="20">
        <v>0</v>
      </c>
      <c r="AF109" s="20">
        <v>0</v>
      </c>
      <c r="AG109" s="20">
        <f t="shared" si="63"/>
        <v>200</v>
      </c>
      <c r="AH109" s="24"/>
      <c r="AI109" s="80">
        <v>0</v>
      </c>
      <c r="AJ109" s="24">
        <v>0</v>
      </c>
      <c r="AK109" s="24">
        <v>0</v>
      </c>
      <c r="AL109" s="24">
        <v>0</v>
      </c>
      <c r="AM109" s="25">
        <f t="shared" si="56"/>
        <v>0</v>
      </c>
      <c r="AN109" s="26">
        <f t="shared" si="64"/>
        <v>19060</v>
      </c>
      <c r="AO109" s="56"/>
      <c r="AP109" s="56"/>
      <c r="AQ109" s="51" t="s">
        <v>378</v>
      </c>
      <c r="AR109" s="56"/>
      <c r="AS109" s="56"/>
      <c r="AT109" s="57"/>
      <c r="AU109" s="58"/>
      <c r="AV109" s="53"/>
      <c r="AW109" s="54"/>
      <c r="AX109" s="51"/>
      <c r="AY109" s="51"/>
      <c r="AZ109" s="51"/>
      <c r="BA109" s="51"/>
      <c r="BC109" s="152">
        <f t="shared" si="65"/>
        <v>19260</v>
      </c>
    </row>
    <row r="110" spans="1:55" s="50" customFormat="1" ht="15.75" x14ac:dyDescent="0.25">
      <c r="B110" s="196"/>
      <c r="C110" s="198">
        <v>0</v>
      </c>
      <c r="D110" s="78">
        <v>11000</v>
      </c>
      <c r="E110" s="16" t="s">
        <v>438</v>
      </c>
      <c r="F110" s="104" t="s">
        <v>249</v>
      </c>
      <c r="G110" s="112">
        <v>45627</v>
      </c>
      <c r="H110" s="51"/>
      <c r="I110" s="51"/>
      <c r="J110" s="41">
        <f t="shared" si="57"/>
        <v>92</v>
      </c>
      <c r="K110" s="86" t="s">
        <v>246</v>
      </c>
      <c r="L110" s="92" t="s">
        <v>245</v>
      </c>
      <c r="M110" s="33">
        <v>22300</v>
      </c>
      <c r="N110" s="20">
        <f t="shared" si="53"/>
        <v>13897</v>
      </c>
      <c r="O110" s="20">
        <f t="shared" si="66"/>
        <v>4202</v>
      </c>
      <c r="P110" s="20">
        <f t="shared" si="67"/>
        <v>2101</v>
      </c>
      <c r="Q110" s="20">
        <f t="shared" si="68"/>
        <v>2101</v>
      </c>
      <c r="R110" s="20">
        <v>0</v>
      </c>
      <c r="S110" s="20">
        <f t="shared" si="60"/>
        <v>22301</v>
      </c>
      <c r="T110" s="20">
        <v>0</v>
      </c>
      <c r="U110" s="22">
        <v>13</v>
      </c>
      <c r="V110" s="22">
        <v>2</v>
      </c>
      <c r="W110" s="22">
        <v>0</v>
      </c>
      <c r="X110" s="22">
        <f t="shared" si="61"/>
        <v>15</v>
      </c>
      <c r="Y110" s="20">
        <f t="shared" si="54"/>
        <v>11150</v>
      </c>
      <c r="Z110" s="42">
        <v>0</v>
      </c>
      <c r="AA110" s="20">
        <f t="shared" si="62"/>
        <v>11150</v>
      </c>
      <c r="AB110" s="20">
        <f t="shared" si="55"/>
        <v>6022.0333333333338</v>
      </c>
      <c r="AC110" s="20">
        <v>0</v>
      </c>
      <c r="AD110" s="20">
        <v>0</v>
      </c>
      <c r="AE110" s="20">
        <v>0</v>
      </c>
      <c r="AF110" s="20">
        <v>0</v>
      </c>
      <c r="AG110" s="20">
        <f t="shared" si="63"/>
        <v>150</v>
      </c>
      <c r="AH110" s="24"/>
      <c r="AI110" s="80">
        <v>0</v>
      </c>
      <c r="AJ110" s="24">
        <v>0</v>
      </c>
      <c r="AK110" s="24">
        <v>0</v>
      </c>
      <c r="AL110" s="24">
        <v>0</v>
      </c>
      <c r="AM110" s="25">
        <f t="shared" si="56"/>
        <v>0</v>
      </c>
      <c r="AN110" s="26">
        <f t="shared" si="64"/>
        <v>11000</v>
      </c>
      <c r="AO110" s="56"/>
      <c r="AP110" s="56"/>
      <c r="AQ110" s="171"/>
      <c r="AR110" s="56"/>
      <c r="AS110" s="56"/>
      <c r="AT110" s="57"/>
      <c r="AU110" s="58"/>
      <c r="AV110" s="53"/>
      <c r="AW110" s="54"/>
      <c r="AX110" s="51"/>
      <c r="AY110" s="51"/>
      <c r="AZ110" s="51"/>
      <c r="BA110" s="51"/>
      <c r="BC110" s="152">
        <f t="shared" si="65"/>
        <v>11150</v>
      </c>
    </row>
    <row r="111" spans="1:55" s="50" customFormat="1" ht="15.75" x14ac:dyDescent="0.25">
      <c r="B111" s="200">
        <v>58850</v>
      </c>
      <c r="C111" s="156">
        <v>0</v>
      </c>
      <c r="D111" s="78">
        <v>55000</v>
      </c>
      <c r="E111" s="16" t="s">
        <v>114</v>
      </c>
      <c r="F111" s="104" t="s">
        <v>250</v>
      </c>
      <c r="G111" s="112">
        <v>45717</v>
      </c>
      <c r="H111" s="51"/>
      <c r="I111" s="51"/>
      <c r="J111" s="41">
        <f t="shared" si="57"/>
        <v>93</v>
      </c>
      <c r="K111" s="86" t="s">
        <v>252</v>
      </c>
      <c r="L111" s="30" t="s">
        <v>251</v>
      </c>
      <c r="M111" s="33">
        <v>58850</v>
      </c>
      <c r="N111" s="20">
        <f t="shared" si="53"/>
        <v>29425</v>
      </c>
      <c r="O111" s="20">
        <f t="shared" si="66"/>
        <v>14713</v>
      </c>
      <c r="P111" s="20">
        <f t="shared" si="67"/>
        <v>7357</v>
      </c>
      <c r="Q111" s="20">
        <f t="shared" si="68"/>
        <v>7357</v>
      </c>
      <c r="R111" s="20">
        <v>0</v>
      </c>
      <c r="S111" s="20">
        <f t="shared" si="60"/>
        <v>58852</v>
      </c>
      <c r="T111" s="20">
        <v>0</v>
      </c>
      <c r="U111" s="22">
        <v>26</v>
      </c>
      <c r="V111" s="22">
        <v>4</v>
      </c>
      <c r="W111" s="22">
        <v>0</v>
      </c>
      <c r="X111" s="22">
        <f t="shared" si="61"/>
        <v>30</v>
      </c>
      <c r="Y111" s="20">
        <f t="shared" si="54"/>
        <v>58850</v>
      </c>
      <c r="Z111" s="42"/>
      <c r="AA111" s="20">
        <f t="shared" si="62"/>
        <v>58850</v>
      </c>
      <c r="AB111" s="20">
        <f t="shared" si="55"/>
        <v>25501.666666666668</v>
      </c>
      <c r="AC111" s="20">
        <v>0</v>
      </c>
      <c r="AD111" s="20">
        <v>0</v>
      </c>
      <c r="AE111" s="20">
        <v>0</v>
      </c>
      <c r="AF111" s="20">
        <v>0</v>
      </c>
      <c r="AG111" s="20">
        <f t="shared" si="63"/>
        <v>200</v>
      </c>
      <c r="AH111" s="24"/>
      <c r="AI111" s="80">
        <v>0</v>
      </c>
      <c r="AJ111" s="24">
        <v>0</v>
      </c>
      <c r="AK111" s="24">
        <v>0</v>
      </c>
      <c r="AL111" s="24">
        <v>0</v>
      </c>
      <c r="AM111" s="25">
        <f t="shared" si="56"/>
        <v>0</v>
      </c>
      <c r="AN111" s="26">
        <f t="shared" si="64"/>
        <v>58650</v>
      </c>
      <c r="AO111" s="56"/>
      <c r="AP111" s="56"/>
      <c r="AQ111" s="51" t="s">
        <v>354</v>
      </c>
      <c r="AR111" s="56"/>
      <c r="AS111" s="56"/>
      <c r="AT111" s="57"/>
      <c r="AU111" s="58"/>
      <c r="AV111" s="53"/>
      <c r="AW111" s="54"/>
      <c r="AX111" s="51"/>
      <c r="AY111" s="51"/>
      <c r="AZ111" s="51"/>
      <c r="BA111" s="51"/>
      <c r="BC111" s="152">
        <f t="shared" si="65"/>
        <v>58850</v>
      </c>
    </row>
    <row r="112" spans="1:55" s="50" customFormat="1" ht="15.75" x14ac:dyDescent="0.25">
      <c r="B112" s="162"/>
      <c r="C112" s="104"/>
      <c r="D112" s="8">
        <v>10000</v>
      </c>
      <c r="E112" s="48" t="s">
        <v>212</v>
      </c>
      <c r="F112" s="104" t="s">
        <v>257</v>
      </c>
      <c r="G112" s="112">
        <v>45748</v>
      </c>
      <c r="H112" s="30"/>
      <c r="I112" s="30"/>
      <c r="J112" s="41">
        <f t="shared" si="57"/>
        <v>94</v>
      </c>
      <c r="K112" s="86" t="s">
        <v>258</v>
      </c>
      <c r="L112" s="88" t="s">
        <v>255</v>
      </c>
      <c r="M112" s="33">
        <v>75200</v>
      </c>
      <c r="N112" s="20">
        <f t="shared" si="53"/>
        <v>37600</v>
      </c>
      <c r="O112" s="20">
        <f t="shared" si="66"/>
        <v>18800</v>
      </c>
      <c r="P112" s="20">
        <f t="shared" si="67"/>
        <v>9400</v>
      </c>
      <c r="Q112" s="20">
        <f t="shared" si="68"/>
        <v>9400</v>
      </c>
      <c r="R112" s="20"/>
      <c r="S112" s="20">
        <f t="shared" si="60"/>
        <v>75200</v>
      </c>
      <c r="T112" s="20"/>
      <c r="U112" s="22">
        <v>26</v>
      </c>
      <c r="V112" s="22">
        <v>4</v>
      </c>
      <c r="W112" s="22">
        <v>0</v>
      </c>
      <c r="X112" s="22">
        <f t="shared" si="61"/>
        <v>30</v>
      </c>
      <c r="Y112" s="20">
        <f t="shared" si="54"/>
        <v>75200</v>
      </c>
      <c r="Z112" s="42"/>
      <c r="AA112" s="20">
        <f t="shared" si="62"/>
        <v>75200</v>
      </c>
      <c r="AB112" s="20">
        <f t="shared" si="55"/>
        <v>32586.666666666664</v>
      </c>
      <c r="AC112" s="20">
        <v>0</v>
      </c>
      <c r="AD112" s="20">
        <v>0</v>
      </c>
      <c r="AE112" s="20">
        <v>0</v>
      </c>
      <c r="AF112" s="20">
        <v>0</v>
      </c>
      <c r="AG112" s="20">
        <f t="shared" si="63"/>
        <v>200</v>
      </c>
      <c r="AH112" s="24"/>
      <c r="AI112" s="80">
        <v>0</v>
      </c>
      <c r="AJ112" s="24">
        <v>0</v>
      </c>
      <c r="AK112" s="24">
        <v>0</v>
      </c>
      <c r="AL112" s="24">
        <v>0</v>
      </c>
      <c r="AM112" s="25">
        <f t="shared" si="56"/>
        <v>0</v>
      </c>
      <c r="AN112" s="26">
        <f t="shared" si="64"/>
        <v>75000</v>
      </c>
      <c r="AO112" s="51"/>
      <c r="AP112" s="51"/>
      <c r="AQ112" s="165" t="s">
        <v>299</v>
      </c>
      <c r="AR112" s="51"/>
      <c r="AS112" s="51"/>
      <c r="AT112" s="51"/>
      <c r="AU112" s="58"/>
      <c r="AV112" s="53"/>
      <c r="AW112" s="54"/>
      <c r="AX112" s="51"/>
      <c r="AY112" s="51"/>
      <c r="AZ112" s="51"/>
      <c r="BA112" s="51"/>
      <c r="BC112" s="152">
        <f t="shared" si="65"/>
        <v>75200</v>
      </c>
    </row>
    <row r="113" spans="2:55" s="50" customFormat="1" ht="15.75" x14ac:dyDescent="0.25">
      <c r="B113" s="198">
        <v>28500</v>
      </c>
      <c r="C113" s="156">
        <v>0</v>
      </c>
      <c r="D113" s="154">
        <v>25000</v>
      </c>
      <c r="E113" s="30" t="s">
        <v>71</v>
      </c>
      <c r="F113" s="104" t="s">
        <v>150</v>
      </c>
      <c r="G113" s="112">
        <v>45748</v>
      </c>
      <c r="H113" s="30"/>
      <c r="I113" s="30"/>
      <c r="J113" s="41">
        <f t="shared" si="57"/>
        <v>95</v>
      </c>
      <c r="K113" s="86" t="s">
        <v>258</v>
      </c>
      <c r="L113" s="30" t="s">
        <v>256</v>
      </c>
      <c r="M113" s="33">
        <v>28500</v>
      </c>
      <c r="N113" s="20">
        <f t="shared" si="53"/>
        <v>14250</v>
      </c>
      <c r="O113" s="20">
        <f t="shared" si="66"/>
        <v>7125</v>
      </c>
      <c r="P113" s="20">
        <f t="shared" si="67"/>
        <v>3563</v>
      </c>
      <c r="Q113" s="20">
        <f t="shared" si="68"/>
        <v>3563</v>
      </c>
      <c r="R113" s="20"/>
      <c r="S113" s="20">
        <f t="shared" si="60"/>
        <v>28501</v>
      </c>
      <c r="T113" s="20"/>
      <c r="U113" s="22">
        <v>26</v>
      </c>
      <c r="V113" s="22">
        <v>4</v>
      </c>
      <c r="W113" s="22">
        <v>0</v>
      </c>
      <c r="X113" s="22">
        <f t="shared" si="61"/>
        <v>30</v>
      </c>
      <c r="Y113" s="20">
        <f t="shared" si="54"/>
        <v>28500</v>
      </c>
      <c r="Z113" s="42"/>
      <c r="AA113" s="20">
        <f t="shared" si="62"/>
        <v>28500</v>
      </c>
      <c r="AB113" s="20">
        <f t="shared" si="55"/>
        <v>12350</v>
      </c>
      <c r="AC113" s="20">
        <v>0</v>
      </c>
      <c r="AD113" s="20">
        <v>0</v>
      </c>
      <c r="AE113" s="20">
        <v>0</v>
      </c>
      <c r="AF113" s="20">
        <v>0</v>
      </c>
      <c r="AG113" s="20">
        <f t="shared" si="63"/>
        <v>200</v>
      </c>
      <c r="AH113" s="24"/>
      <c r="AI113" s="80">
        <v>0</v>
      </c>
      <c r="AJ113" s="24">
        <v>0</v>
      </c>
      <c r="AK113" s="24">
        <v>0</v>
      </c>
      <c r="AL113" s="24">
        <v>0</v>
      </c>
      <c r="AM113" s="25">
        <f t="shared" si="56"/>
        <v>0</v>
      </c>
      <c r="AN113" s="26">
        <f t="shared" si="64"/>
        <v>28300</v>
      </c>
      <c r="AO113" s="56"/>
      <c r="AP113" s="56"/>
      <c r="AQ113" s="51"/>
      <c r="AR113" s="56"/>
      <c r="AS113" s="56"/>
      <c r="AT113" s="57"/>
      <c r="AU113" s="58"/>
      <c r="AV113" s="53"/>
      <c r="AW113" s="54"/>
      <c r="AX113" s="51"/>
      <c r="AY113" s="51"/>
      <c r="AZ113" s="51"/>
      <c r="BA113" s="51"/>
      <c r="BC113" s="152">
        <f t="shared" si="65"/>
        <v>28500</v>
      </c>
    </row>
    <row r="114" spans="2:55" s="50" customFormat="1" ht="15.75" x14ac:dyDescent="0.25">
      <c r="B114" s="200">
        <v>64000</v>
      </c>
      <c r="C114" s="156">
        <v>0</v>
      </c>
      <c r="D114" s="15">
        <v>60000</v>
      </c>
      <c r="E114" s="16" t="s">
        <v>260</v>
      </c>
      <c r="F114" s="104" t="s">
        <v>145</v>
      </c>
      <c r="G114" s="112">
        <v>45748</v>
      </c>
      <c r="H114" s="51"/>
      <c r="I114" s="51"/>
      <c r="J114" s="41">
        <f t="shared" si="57"/>
        <v>96</v>
      </c>
      <c r="K114" s="86" t="s">
        <v>258</v>
      </c>
      <c r="L114" s="55" t="s">
        <v>261</v>
      </c>
      <c r="M114" s="33">
        <v>64000</v>
      </c>
      <c r="N114" s="20">
        <f t="shared" si="53"/>
        <v>32000</v>
      </c>
      <c r="O114" s="20">
        <f t="shared" si="66"/>
        <v>16000</v>
      </c>
      <c r="P114" s="20">
        <f t="shared" si="67"/>
        <v>8000</v>
      </c>
      <c r="Q114" s="20">
        <f t="shared" si="68"/>
        <v>8000</v>
      </c>
      <c r="R114" s="20"/>
      <c r="S114" s="20">
        <f t="shared" si="60"/>
        <v>64000</v>
      </c>
      <c r="T114" s="20"/>
      <c r="U114" s="22">
        <v>25</v>
      </c>
      <c r="V114" s="22">
        <v>4</v>
      </c>
      <c r="W114" s="22">
        <v>0</v>
      </c>
      <c r="X114" s="22">
        <f t="shared" si="61"/>
        <v>29</v>
      </c>
      <c r="Y114" s="20">
        <f t="shared" si="54"/>
        <v>61866.666666666672</v>
      </c>
      <c r="Z114" s="42"/>
      <c r="AA114" s="20">
        <f t="shared" si="62"/>
        <v>61866.666666666672</v>
      </c>
      <c r="AB114" s="20">
        <f t="shared" si="55"/>
        <v>26666.666666666668</v>
      </c>
      <c r="AC114" s="20">
        <v>0</v>
      </c>
      <c r="AD114" s="20">
        <v>0</v>
      </c>
      <c r="AE114" s="20">
        <v>0</v>
      </c>
      <c r="AF114" s="20">
        <v>0</v>
      </c>
      <c r="AG114" s="20">
        <f t="shared" si="63"/>
        <v>200</v>
      </c>
      <c r="AH114" s="24"/>
      <c r="AI114" s="80">
        <v>0</v>
      </c>
      <c r="AJ114" s="24">
        <v>0</v>
      </c>
      <c r="AK114" s="24">
        <v>0</v>
      </c>
      <c r="AL114" s="24">
        <v>0</v>
      </c>
      <c r="AM114" s="25">
        <f t="shared" si="56"/>
        <v>0</v>
      </c>
      <c r="AN114" s="26">
        <f t="shared" si="64"/>
        <v>61666.666666666672</v>
      </c>
      <c r="AO114" s="56"/>
      <c r="AP114" s="56"/>
      <c r="AQ114" s="165" t="s">
        <v>338</v>
      </c>
      <c r="AR114" s="56"/>
      <c r="AS114" s="56"/>
      <c r="AT114" s="57"/>
      <c r="AU114" s="58"/>
      <c r="AV114" s="53"/>
      <c r="AW114" s="54"/>
      <c r="AX114" s="51"/>
      <c r="AY114" s="51"/>
      <c r="AZ114" s="51"/>
      <c r="BA114" s="51"/>
      <c r="BC114" s="152">
        <f t="shared" si="65"/>
        <v>61866.666666666672</v>
      </c>
    </row>
    <row r="115" spans="2:55" s="50" customFormat="1" ht="15.75" x14ac:dyDescent="0.25">
      <c r="B115" s="200">
        <v>33600</v>
      </c>
      <c r="C115" s="156">
        <v>0</v>
      </c>
      <c r="D115" s="15">
        <v>32000</v>
      </c>
      <c r="E115" s="16" t="s">
        <v>260</v>
      </c>
      <c r="F115" s="104" t="s">
        <v>150</v>
      </c>
      <c r="G115" s="112">
        <v>45748</v>
      </c>
      <c r="H115" s="51"/>
      <c r="I115" s="51"/>
      <c r="J115" s="41">
        <f t="shared" si="57"/>
        <v>97</v>
      </c>
      <c r="K115" s="86" t="s">
        <v>258</v>
      </c>
      <c r="L115" s="55" t="s">
        <v>262</v>
      </c>
      <c r="M115" s="33">
        <v>33600</v>
      </c>
      <c r="N115" s="20">
        <f t="shared" si="53"/>
        <v>16800</v>
      </c>
      <c r="O115" s="20">
        <f t="shared" si="66"/>
        <v>8400</v>
      </c>
      <c r="P115" s="20">
        <f t="shared" si="67"/>
        <v>4200</v>
      </c>
      <c r="Q115" s="20">
        <f t="shared" si="68"/>
        <v>4200</v>
      </c>
      <c r="R115" s="20"/>
      <c r="S115" s="20">
        <f t="shared" si="60"/>
        <v>33600</v>
      </c>
      <c r="T115" s="20"/>
      <c r="U115" s="22">
        <v>26</v>
      </c>
      <c r="V115" s="22">
        <v>4</v>
      </c>
      <c r="W115" s="22">
        <v>0</v>
      </c>
      <c r="X115" s="22">
        <f t="shared" si="61"/>
        <v>30</v>
      </c>
      <c r="Y115" s="20">
        <f t="shared" si="54"/>
        <v>33600</v>
      </c>
      <c r="Z115" s="42"/>
      <c r="AA115" s="20">
        <f t="shared" si="62"/>
        <v>33600</v>
      </c>
      <c r="AB115" s="20">
        <f t="shared" si="55"/>
        <v>14560</v>
      </c>
      <c r="AC115" s="20">
        <v>0</v>
      </c>
      <c r="AD115" s="20">
        <v>0</v>
      </c>
      <c r="AE115" s="20">
        <v>0</v>
      </c>
      <c r="AF115" s="20">
        <v>0</v>
      </c>
      <c r="AG115" s="20">
        <f t="shared" si="63"/>
        <v>200</v>
      </c>
      <c r="AH115" s="24"/>
      <c r="AI115" s="80">
        <v>0</v>
      </c>
      <c r="AJ115" s="24">
        <v>0</v>
      </c>
      <c r="AK115" s="24">
        <v>0</v>
      </c>
      <c r="AL115" s="24">
        <v>0</v>
      </c>
      <c r="AM115" s="25">
        <f t="shared" si="56"/>
        <v>0</v>
      </c>
      <c r="AN115" s="26">
        <f t="shared" si="64"/>
        <v>33400</v>
      </c>
      <c r="AO115" s="56"/>
      <c r="AP115" s="56"/>
      <c r="AQ115" s="51" t="s">
        <v>404</v>
      </c>
      <c r="AR115" s="56"/>
      <c r="AS115" s="56"/>
      <c r="AT115" s="57"/>
      <c r="AU115" s="58"/>
      <c r="AV115" s="53"/>
      <c r="AW115" s="54"/>
      <c r="AX115" s="51"/>
      <c r="AY115" s="51"/>
      <c r="AZ115" s="51"/>
      <c r="BA115" s="51"/>
      <c r="BC115" s="152">
        <f t="shared" si="65"/>
        <v>33600</v>
      </c>
    </row>
    <row r="116" spans="2:55" s="50" customFormat="1" ht="15.75" x14ac:dyDescent="0.25">
      <c r="B116" s="200">
        <v>25680</v>
      </c>
      <c r="C116" s="156">
        <v>24000</v>
      </c>
      <c r="D116" s="15">
        <v>24000</v>
      </c>
      <c r="E116" s="30" t="s">
        <v>421</v>
      </c>
      <c r="F116" s="104" t="s">
        <v>191</v>
      </c>
      <c r="G116" s="112">
        <v>45748</v>
      </c>
      <c r="H116" s="51"/>
      <c r="I116" s="51"/>
      <c r="J116" s="41">
        <f t="shared" si="57"/>
        <v>98</v>
      </c>
      <c r="K116" s="86" t="s">
        <v>258</v>
      </c>
      <c r="L116" s="55" t="s">
        <v>263</v>
      </c>
      <c r="M116" s="33">
        <v>25680</v>
      </c>
      <c r="N116" s="20">
        <f t="shared" si="53"/>
        <v>13897</v>
      </c>
      <c r="O116" s="20">
        <f t="shared" si="66"/>
        <v>5892</v>
      </c>
      <c r="P116" s="20">
        <f t="shared" si="67"/>
        <v>2946</v>
      </c>
      <c r="Q116" s="20">
        <f t="shared" si="68"/>
        <v>2946</v>
      </c>
      <c r="R116" s="20"/>
      <c r="S116" s="20">
        <f t="shared" si="60"/>
        <v>25681</v>
      </c>
      <c r="T116" s="20"/>
      <c r="U116" s="22">
        <v>26</v>
      </c>
      <c r="V116" s="22">
        <v>4</v>
      </c>
      <c r="W116" s="22">
        <v>0</v>
      </c>
      <c r="X116" s="22">
        <f t="shared" si="61"/>
        <v>30</v>
      </c>
      <c r="Y116" s="20">
        <f t="shared" si="54"/>
        <v>25680</v>
      </c>
      <c r="Z116" s="42"/>
      <c r="AA116" s="20">
        <f t="shared" si="62"/>
        <v>25680</v>
      </c>
      <c r="AB116" s="20">
        <f t="shared" si="55"/>
        <v>12044.066666666668</v>
      </c>
      <c r="AC116" s="20">
        <v>0</v>
      </c>
      <c r="AD116" s="20">
        <v>0</v>
      </c>
      <c r="AE116" s="20">
        <v>0</v>
      </c>
      <c r="AF116" s="20">
        <v>0</v>
      </c>
      <c r="AG116" s="20">
        <f t="shared" si="63"/>
        <v>200</v>
      </c>
      <c r="AH116" s="24"/>
      <c r="AI116" s="80">
        <v>0</v>
      </c>
      <c r="AJ116" s="24">
        <v>0</v>
      </c>
      <c r="AK116" s="24">
        <v>0</v>
      </c>
      <c r="AL116" s="24">
        <v>0</v>
      </c>
      <c r="AM116" s="25">
        <f t="shared" si="56"/>
        <v>0</v>
      </c>
      <c r="AN116" s="26">
        <f t="shared" si="64"/>
        <v>25480</v>
      </c>
      <c r="AO116" s="56"/>
      <c r="AP116" s="56"/>
      <c r="AQ116" s="51" t="s">
        <v>374</v>
      </c>
      <c r="AR116" s="56"/>
      <c r="AS116" s="56"/>
      <c r="AT116" s="57"/>
      <c r="AU116" s="58"/>
      <c r="AV116" s="53"/>
      <c r="AW116" s="54"/>
      <c r="AX116" s="51"/>
      <c r="AY116" s="51"/>
      <c r="AZ116" s="51"/>
      <c r="BA116" s="51"/>
      <c r="BC116" s="152">
        <f t="shared" si="65"/>
        <v>25680</v>
      </c>
    </row>
    <row r="117" spans="2:55" s="50" customFormat="1" ht="15.75" x14ac:dyDescent="0.25">
      <c r="B117" s="220">
        <v>100000</v>
      </c>
      <c r="C117" s="104"/>
      <c r="D117" s="15">
        <v>100000</v>
      </c>
      <c r="E117" s="16" t="s">
        <v>265</v>
      </c>
      <c r="F117" s="104" t="s">
        <v>151</v>
      </c>
      <c r="G117" s="112">
        <v>45748</v>
      </c>
      <c r="H117" s="51"/>
      <c r="I117" s="51"/>
      <c r="J117" s="41">
        <f t="shared" si="57"/>
        <v>99</v>
      </c>
      <c r="K117" s="86" t="s">
        <v>258</v>
      </c>
      <c r="L117" s="223" t="s">
        <v>267</v>
      </c>
      <c r="M117" s="33">
        <v>100000</v>
      </c>
      <c r="N117" s="20">
        <f t="shared" si="53"/>
        <v>50000</v>
      </c>
      <c r="O117" s="20">
        <f t="shared" si="66"/>
        <v>25000</v>
      </c>
      <c r="P117" s="20">
        <f t="shared" si="67"/>
        <v>12500</v>
      </c>
      <c r="Q117" s="20">
        <f t="shared" si="68"/>
        <v>12500</v>
      </c>
      <c r="R117" s="20"/>
      <c r="S117" s="20">
        <f t="shared" si="60"/>
        <v>100000</v>
      </c>
      <c r="T117" s="20"/>
      <c r="U117" s="22">
        <v>26</v>
      </c>
      <c r="V117" s="22">
        <v>4</v>
      </c>
      <c r="W117" s="22">
        <v>0</v>
      </c>
      <c r="X117" s="22">
        <f t="shared" si="61"/>
        <v>30</v>
      </c>
      <c r="Y117" s="20">
        <f t="shared" si="54"/>
        <v>100000</v>
      </c>
      <c r="Z117" s="42"/>
      <c r="AA117" s="20">
        <f t="shared" si="62"/>
        <v>100000</v>
      </c>
      <c r="AB117" s="20">
        <f t="shared" si="55"/>
        <v>43333.333333333336</v>
      </c>
      <c r="AC117" s="20">
        <v>0</v>
      </c>
      <c r="AD117" s="20">
        <v>0</v>
      </c>
      <c r="AE117" s="20">
        <v>0</v>
      </c>
      <c r="AF117" s="20">
        <v>0</v>
      </c>
      <c r="AG117" s="20">
        <f t="shared" si="63"/>
        <v>200</v>
      </c>
      <c r="AH117" s="24"/>
      <c r="AI117" s="80">
        <v>0</v>
      </c>
      <c r="AJ117" s="24">
        <v>0</v>
      </c>
      <c r="AK117" s="24">
        <v>0</v>
      </c>
      <c r="AL117" s="24">
        <v>0</v>
      </c>
      <c r="AM117" s="25">
        <f t="shared" si="56"/>
        <v>0</v>
      </c>
      <c r="AN117" s="26">
        <f t="shared" si="64"/>
        <v>99800</v>
      </c>
      <c r="AO117" s="56"/>
      <c r="AP117" s="56"/>
      <c r="AQ117" s="51"/>
      <c r="AR117" s="56"/>
      <c r="AS117" s="56"/>
      <c r="AT117" s="57"/>
      <c r="AU117" s="58"/>
      <c r="AV117" s="53"/>
      <c r="AW117" s="54"/>
      <c r="AX117" s="51"/>
      <c r="AY117" s="51"/>
      <c r="AZ117" s="51"/>
      <c r="BA117" s="51"/>
      <c r="BC117" s="152">
        <f t="shared" si="65"/>
        <v>100000</v>
      </c>
    </row>
    <row r="118" spans="2:55" s="50" customFormat="1" ht="15.75" x14ac:dyDescent="0.25">
      <c r="B118" s="162">
        <v>35000</v>
      </c>
      <c r="C118" s="104">
        <v>0</v>
      </c>
      <c r="D118" s="15">
        <v>35000</v>
      </c>
      <c r="E118" s="48" t="s">
        <v>247</v>
      </c>
      <c r="F118" s="104" t="s">
        <v>146</v>
      </c>
      <c r="G118" s="112">
        <v>45748</v>
      </c>
      <c r="H118" s="51"/>
      <c r="I118" s="51"/>
      <c r="J118" s="41">
        <f t="shared" si="57"/>
        <v>100</v>
      </c>
      <c r="K118" s="86" t="s">
        <v>258</v>
      </c>
      <c r="L118" s="30" t="s">
        <v>264</v>
      </c>
      <c r="M118" s="33">
        <v>35000</v>
      </c>
      <c r="N118" s="20">
        <f t="shared" si="53"/>
        <v>17500</v>
      </c>
      <c r="O118" s="20">
        <f t="shared" si="66"/>
        <v>8750</v>
      </c>
      <c r="P118" s="20">
        <f t="shared" si="67"/>
        <v>4375</v>
      </c>
      <c r="Q118" s="20">
        <f t="shared" si="68"/>
        <v>4375</v>
      </c>
      <c r="R118" s="20"/>
      <c r="S118" s="20">
        <f t="shared" si="60"/>
        <v>35000</v>
      </c>
      <c r="T118" s="20"/>
      <c r="U118" s="22">
        <v>26</v>
      </c>
      <c r="V118" s="22">
        <v>4</v>
      </c>
      <c r="W118" s="22">
        <v>0</v>
      </c>
      <c r="X118" s="22">
        <f t="shared" si="61"/>
        <v>30</v>
      </c>
      <c r="Y118" s="20">
        <f t="shared" si="54"/>
        <v>35000</v>
      </c>
      <c r="Z118" s="42"/>
      <c r="AA118" s="20">
        <f t="shared" si="62"/>
        <v>35000</v>
      </c>
      <c r="AB118" s="20">
        <f t="shared" si="55"/>
        <v>15166.666666666668</v>
      </c>
      <c r="AC118" s="20">
        <v>0</v>
      </c>
      <c r="AD118" s="20">
        <v>0</v>
      </c>
      <c r="AE118" s="20">
        <v>0</v>
      </c>
      <c r="AF118" s="20">
        <v>0</v>
      </c>
      <c r="AG118" s="20">
        <f t="shared" si="63"/>
        <v>200</v>
      </c>
      <c r="AH118" s="24"/>
      <c r="AI118" s="80">
        <v>0</v>
      </c>
      <c r="AJ118" s="24">
        <v>0</v>
      </c>
      <c r="AK118" s="24">
        <v>0</v>
      </c>
      <c r="AL118" s="24">
        <v>0</v>
      </c>
      <c r="AM118" s="25">
        <f t="shared" si="56"/>
        <v>0</v>
      </c>
      <c r="AN118" s="26">
        <f t="shared" si="64"/>
        <v>34800</v>
      </c>
      <c r="AO118" s="56"/>
      <c r="AP118" s="56"/>
      <c r="AQ118" s="51" t="s">
        <v>381</v>
      </c>
      <c r="AR118" s="56"/>
      <c r="AS118" s="56"/>
      <c r="AT118" s="57"/>
      <c r="AU118" s="58"/>
      <c r="AV118" s="53"/>
      <c r="AW118" s="54"/>
      <c r="AX118" s="51"/>
      <c r="AY118" s="51"/>
      <c r="AZ118" s="51"/>
      <c r="BA118" s="51"/>
      <c r="BC118" s="152">
        <f t="shared" si="65"/>
        <v>35000</v>
      </c>
    </row>
    <row r="119" spans="2:55" s="50" customFormat="1" ht="15.75" x14ac:dyDescent="0.25">
      <c r="B119" s="220">
        <v>48000</v>
      </c>
      <c r="C119" s="104"/>
      <c r="D119" s="15">
        <v>42000</v>
      </c>
      <c r="E119" s="16" t="s">
        <v>265</v>
      </c>
      <c r="F119" s="104" t="s">
        <v>150</v>
      </c>
      <c r="G119" s="112">
        <v>45778</v>
      </c>
      <c r="H119" s="30"/>
      <c r="I119" s="30"/>
      <c r="J119" s="41">
        <f t="shared" si="57"/>
        <v>101</v>
      </c>
      <c r="K119" s="86" t="s">
        <v>270</v>
      </c>
      <c r="L119" s="30" t="s">
        <v>268</v>
      </c>
      <c r="M119" s="33">
        <v>48000</v>
      </c>
      <c r="N119" s="20">
        <f t="shared" si="53"/>
        <v>24000</v>
      </c>
      <c r="O119" s="20">
        <f t="shared" si="66"/>
        <v>12000</v>
      </c>
      <c r="P119" s="20">
        <f t="shared" si="67"/>
        <v>6000</v>
      </c>
      <c r="Q119" s="20">
        <f t="shared" si="68"/>
        <v>6000</v>
      </c>
      <c r="R119" s="20"/>
      <c r="S119" s="20">
        <f t="shared" si="60"/>
        <v>48000</v>
      </c>
      <c r="T119" s="20"/>
      <c r="U119" s="22">
        <v>26</v>
      </c>
      <c r="V119" s="22">
        <v>4</v>
      </c>
      <c r="W119" s="22">
        <v>0</v>
      </c>
      <c r="X119" s="22">
        <f t="shared" si="61"/>
        <v>30</v>
      </c>
      <c r="Y119" s="20">
        <f t="shared" si="54"/>
        <v>48000</v>
      </c>
      <c r="Z119" s="42"/>
      <c r="AA119" s="20">
        <f t="shared" si="62"/>
        <v>48000</v>
      </c>
      <c r="AB119" s="20">
        <f t="shared" si="55"/>
        <v>20800</v>
      </c>
      <c r="AC119" s="20">
        <v>0</v>
      </c>
      <c r="AD119" s="20">
        <v>0</v>
      </c>
      <c r="AE119" s="20">
        <v>0</v>
      </c>
      <c r="AF119" s="20">
        <v>0</v>
      </c>
      <c r="AG119" s="20">
        <f t="shared" si="63"/>
        <v>200</v>
      </c>
      <c r="AH119" s="24"/>
      <c r="AI119" s="80">
        <v>0</v>
      </c>
      <c r="AJ119" s="24">
        <v>0</v>
      </c>
      <c r="AK119" s="24">
        <v>0</v>
      </c>
      <c r="AL119" s="24">
        <v>0</v>
      </c>
      <c r="AM119" s="25">
        <f t="shared" si="56"/>
        <v>0</v>
      </c>
      <c r="AN119" s="26">
        <f t="shared" si="64"/>
        <v>47800</v>
      </c>
      <c r="AO119" s="56"/>
      <c r="AP119" s="56"/>
      <c r="AQ119" s="51" t="s">
        <v>402</v>
      </c>
      <c r="AR119" s="56"/>
      <c r="AS119" s="56"/>
      <c r="AT119" s="57"/>
      <c r="AU119" s="58"/>
      <c r="AV119" s="53"/>
      <c r="AW119" s="54"/>
      <c r="AX119" s="51"/>
      <c r="AY119" s="51"/>
      <c r="AZ119" s="51"/>
      <c r="BA119" s="51"/>
      <c r="BC119" s="152">
        <f t="shared" si="65"/>
        <v>48000</v>
      </c>
    </row>
    <row r="120" spans="2:55" s="50" customFormat="1" ht="15.75" x14ac:dyDescent="0.25">
      <c r="B120" s="220">
        <v>50000</v>
      </c>
      <c r="C120" s="104"/>
      <c r="D120" s="15">
        <v>43000</v>
      </c>
      <c r="E120" s="16" t="s">
        <v>265</v>
      </c>
      <c r="F120" s="104" t="s">
        <v>150</v>
      </c>
      <c r="G120" s="112">
        <v>45778</v>
      </c>
      <c r="H120" s="30"/>
      <c r="I120" s="30"/>
      <c r="J120" s="41">
        <f t="shared" si="57"/>
        <v>102</v>
      </c>
      <c r="K120" s="86" t="s">
        <v>270</v>
      </c>
      <c r="L120" s="30" t="s">
        <v>269</v>
      </c>
      <c r="M120" s="33">
        <v>50000</v>
      </c>
      <c r="N120" s="20">
        <f t="shared" si="53"/>
        <v>25000</v>
      </c>
      <c r="O120" s="20">
        <f t="shared" si="66"/>
        <v>12500</v>
      </c>
      <c r="P120" s="20">
        <f t="shared" si="67"/>
        <v>6250</v>
      </c>
      <c r="Q120" s="20">
        <f t="shared" si="68"/>
        <v>6250</v>
      </c>
      <c r="R120" s="20"/>
      <c r="S120" s="20">
        <f t="shared" si="60"/>
        <v>50000</v>
      </c>
      <c r="T120" s="20"/>
      <c r="U120" s="22">
        <v>26</v>
      </c>
      <c r="V120" s="22">
        <v>4</v>
      </c>
      <c r="W120" s="22">
        <v>0</v>
      </c>
      <c r="X120" s="22">
        <f t="shared" si="61"/>
        <v>30</v>
      </c>
      <c r="Y120" s="20">
        <f t="shared" si="54"/>
        <v>50000</v>
      </c>
      <c r="Z120" s="42"/>
      <c r="AA120" s="20">
        <f t="shared" si="62"/>
        <v>50000</v>
      </c>
      <c r="AB120" s="20">
        <f t="shared" si="55"/>
        <v>21666.666666666668</v>
      </c>
      <c r="AC120" s="20">
        <v>0</v>
      </c>
      <c r="AD120" s="20">
        <v>0</v>
      </c>
      <c r="AE120" s="20">
        <v>0</v>
      </c>
      <c r="AF120" s="20">
        <v>0</v>
      </c>
      <c r="AG120" s="20">
        <f t="shared" si="63"/>
        <v>200</v>
      </c>
      <c r="AH120" s="24"/>
      <c r="AI120" s="80">
        <v>0</v>
      </c>
      <c r="AJ120" s="24">
        <v>0</v>
      </c>
      <c r="AK120" s="24">
        <v>0</v>
      </c>
      <c r="AL120" s="24">
        <v>0</v>
      </c>
      <c r="AM120" s="25">
        <f t="shared" si="56"/>
        <v>0</v>
      </c>
      <c r="AN120" s="26">
        <f t="shared" si="64"/>
        <v>49800</v>
      </c>
      <c r="AO120" s="56"/>
      <c r="AP120" s="56"/>
      <c r="AQ120" s="51" t="s">
        <v>400</v>
      </c>
      <c r="AR120" s="56"/>
      <c r="AS120" s="56"/>
      <c r="AT120" s="57"/>
      <c r="AU120" s="58"/>
      <c r="AV120" s="53"/>
      <c r="AW120" s="54"/>
      <c r="AX120" s="51"/>
      <c r="AY120" s="51"/>
      <c r="AZ120" s="51"/>
      <c r="BA120" s="51"/>
      <c r="BC120" s="152">
        <f t="shared" si="65"/>
        <v>50000</v>
      </c>
    </row>
    <row r="121" spans="2:55" s="50" customFormat="1" ht="18" customHeight="1" x14ac:dyDescent="0.3">
      <c r="B121" s="162"/>
      <c r="C121" s="104">
        <v>30000</v>
      </c>
      <c r="D121" s="161"/>
      <c r="E121" s="30"/>
      <c r="F121" s="104" t="s">
        <v>147</v>
      </c>
      <c r="G121" s="112">
        <v>45839</v>
      </c>
      <c r="H121" s="30"/>
      <c r="I121" s="30"/>
      <c r="J121" s="41">
        <f t="shared" si="57"/>
        <v>103</v>
      </c>
      <c r="K121" s="86" t="s">
        <v>284</v>
      </c>
      <c r="L121" s="30" t="s">
        <v>283</v>
      </c>
      <c r="M121" s="33">
        <v>30200</v>
      </c>
      <c r="N121" s="20">
        <f t="shared" si="53"/>
        <v>15100</v>
      </c>
      <c r="O121" s="20">
        <f t="shared" si="66"/>
        <v>7550</v>
      </c>
      <c r="P121" s="20">
        <f t="shared" si="67"/>
        <v>3775</v>
      </c>
      <c r="Q121" s="20">
        <f t="shared" si="68"/>
        <v>3775</v>
      </c>
      <c r="R121" s="20"/>
      <c r="S121" s="20">
        <f t="shared" si="60"/>
        <v>30200</v>
      </c>
      <c r="T121" s="20"/>
      <c r="U121" s="22">
        <v>26</v>
      </c>
      <c r="V121" s="22">
        <v>4</v>
      </c>
      <c r="W121" s="22">
        <v>0</v>
      </c>
      <c r="X121" s="22">
        <f t="shared" si="61"/>
        <v>30</v>
      </c>
      <c r="Y121" s="20">
        <f t="shared" si="54"/>
        <v>30200</v>
      </c>
      <c r="Z121" s="42"/>
      <c r="AA121" s="20">
        <f t="shared" si="62"/>
        <v>30200</v>
      </c>
      <c r="AB121" s="20">
        <f t="shared" si="55"/>
        <v>13086.666666666666</v>
      </c>
      <c r="AC121" s="20">
        <v>0</v>
      </c>
      <c r="AD121" s="20">
        <v>0</v>
      </c>
      <c r="AE121" s="20">
        <v>0</v>
      </c>
      <c r="AF121" s="20">
        <v>0</v>
      </c>
      <c r="AG121" s="20">
        <f t="shared" si="63"/>
        <v>200</v>
      </c>
      <c r="AH121" s="24"/>
      <c r="AI121" s="80">
        <v>0</v>
      </c>
      <c r="AJ121" s="24">
        <v>0</v>
      </c>
      <c r="AK121" s="24">
        <v>0</v>
      </c>
      <c r="AL121" s="24">
        <v>0</v>
      </c>
      <c r="AM121" s="25">
        <f t="shared" si="56"/>
        <v>0</v>
      </c>
      <c r="AN121" s="26">
        <f t="shared" si="64"/>
        <v>30000</v>
      </c>
      <c r="AO121" s="51"/>
      <c r="AP121" s="51"/>
      <c r="AQ121" s="51"/>
      <c r="AR121" s="51"/>
      <c r="AS121" s="51"/>
      <c r="AT121" s="51"/>
      <c r="AU121" s="58"/>
      <c r="AV121" s="53"/>
      <c r="AW121" s="54"/>
      <c r="AX121" s="51"/>
      <c r="AY121" s="51"/>
      <c r="AZ121" s="51"/>
      <c r="BA121" s="51"/>
      <c r="BC121" s="152">
        <f t="shared" si="65"/>
        <v>30200</v>
      </c>
    </row>
    <row r="122" spans="2:55" s="50" customFormat="1" ht="15.75" customHeight="1" x14ac:dyDescent="0.3">
      <c r="B122" s="162">
        <v>25000</v>
      </c>
      <c r="C122" s="200">
        <v>21000</v>
      </c>
      <c r="D122" s="161"/>
      <c r="E122" s="16" t="s">
        <v>438</v>
      </c>
      <c r="F122" s="104"/>
      <c r="G122" s="112">
        <v>45839</v>
      </c>
      <c r="H122" s="30"/>
      <c r="I122" s="30"/>
      <c r="J122" s="41">
        <f t="shared" si="57"/>
        <v>104</v>
      </c>
      <c r="K122" s="86" t="s">
        <v>284</v>
      </c>
      <c r="L122" s="143" t="s">
        <v>274</v>
      </c>
      <c r="M122" s="33">
        <v>25000</v>
      </c>
      <c r="N122" s="20">
        <f t="shared" si="53"/>
        <v>13897</v>
      </c>
      <c r="O122" s="20">
        <f t="shared" si="66"/>
        <v>5552</v>
      </c>
      <c r="P122" s="20">
        <f t="shared" si="67"/>
        <v>2776</v>
      </c>
      <c r="Q122" s="20">
        <f t="shared" si="68"/>
        <v>2776</v>
      </c>
      <c r="R122" s="20"/>
      <c r="S122" s="20">
        <f t="shared" si="60"/>
        <v>25001</v>
      </c>
      <c r="T122" s="20"/>
      <c r="U122" s="22">
        <v>14</v>
      </c>
      <c r="V122" s="22">
        <v>2</v>
      </c>
      <c r="W122" s="22">
        <v>0.5</v>
      </c>
      <c r="X122" s="22">
        <f t="shared" si="61"/>
        <v>16.5</v>
      </c>
      <c r="Y122" s="20">
        <f t="shared" si="54"/>
        <v>13750</v>
      </c>
      <c r="Z122" s="42">
        <v>0</v>
      </c>
      <c r="AA122" s="20">
        <f t="shared" si="62"/>
        <v>13750</v>
      </c>
      <c r="AB122" s="20">
        <f t="shared" si="55"/>
        <v>6485.2666666666664</v>
      </c>
      <c r="AC122" s="20">
        <v>0</v>
      </c>
      <c r="AD122" s="20">
        <v>0</v>
      </c>
      <c r="AE122" s="20">
        <v>0</v>
      </c>
      <c r="AF122" s="20">
        <v>0</v>
      </c>
      <c r="AG122" s="20">
        <f t="shared" si="63"/>
        <v>200</v>
      </c>
      <c r="AH122" s="24"/>
      <c r="AI122" s="80">
        <v>0</v>
      </c>
      <c r="AJ122" s="24">
        <v>0</v>
      </c>
      <c r="AK122" s="24">
        <v>0</v>
      </c>
      <c r="AL122" s="24">
        <v>0</v>
      </c>
      <c r="AM122" s="25">
        <f t="shared" si="56"/>
        <v>0</v>
      </c>
      <c r="AN122" s="26">
        <f t="shared" si="64"/>
        <v>13550</v>
      </c>
      <c r="AO122" s="56"/>
      <c r="AP122" s="56"/>
      <c r="AQ122" s="4" t="s">
        <v>357</v>
      </c>
      <c r="AR122" s="56"/>
      <c r="AS122" s="56"/>
      <c r="AT122" s="57"/>
      <c r="AU122" s="58"/>
      <c r="AV122" s="53"/>
      <c r="AW122" s="54"/>
      <c r="AX122" s="51"/>
      <c r="AY122" s="51"/>
      <c r="AZ122" s="51"/>
      <c r="BA122" s="51"/>
      <c r="BC122" s="152">
        <f t="shared" si="65"/>
        <v>13750</v>
      </c>
    </row>
    <row r="123" spans="2:55" s="50" customFormat="1" ht="15.75" customHeight="1" x14ac:dyDescent="0.3">
      <c r="B123" s="162">
        <v>18000</v>
      </c>
      <c r="C123" s="200">
        <v>14500</v>
      </c>
      <c r="D123" s="161"/>
      <c r="E123" s="16" t="s">
        <v>438</v>
      </c>
      <c r="F123" s="104"/>
      <c r="G123" s="112">
        <v>45839</v>
      </c>
      <c r="H123" s="30"/>
      <c r="I123" s="30"/>
      <c r="J123" s="41">
        <f t="shared" si="57"/>
        <v>105</v>
      </c>
      <c r="K123" s="86" t="s">
        <v>284</v>
      </c>
      <c r="L123" s="92" t="s">
        <v>275</v>
      </c>
      <c r="M123" s="33">
        <v>29000</v>
      </c>
      <c r="N123" s="20">
        <f t="shared" si="53"/>
        <v>14500</v>
      </c>
      <c r="O123" s="20">
        <f t="shared" si="66"/>
        <v>7250</v>
      </c>
      <c r="P123" s="20">
        <f t="shared" si="67"/>
        <v>3625</v>
      </c>
      <c r="Q123" s="20">
        <f t="shared" si="68"/>
        <v>3625</v>
      </c>
      <c r="R123" s="20"/>
      <c r="S123" s="20">
        <f t="shared" si="60"/>
        <v>29000</v>
      </c>
      <c r="T123" s="20"/>
      <c r="U123" s="22">
        <v>16</v>
      </c>
      <c r="V123" s="22">
        <v>2</v>
      </c>
      <c r="W123" s="22">
        <v>0.13800000000000001</v>
      </c>
      <c r="X123" s="22">
        <f t="shared" si="61"/>
        <v>18.138000000000002</v>
      </c>
      <c r="Y123" s="20">
        <f t="shared" si="54"/>
        <v>17533.400000000001</v>
      </c>
      <c r="Z123" s="42">
        <v>0</v>
      </c>
      <c r="AA123" s="20">
        <f t="shared" si="62"/>
        <v>17533.400000000001</v>
      </c>
      <c r="AB123" s="20">
        <f t="shared" si="55"/>
        <v>7733.333333333333</v>
      </c>
      <c r="AC123" s="20">
        <v>0</v>
      </c>
      <c r="AD123" s="20">
        <v>0</v>
      </c>
      <c r="AE123" s="20">
        <v>0</v>
      </c>
      <c r="AF123" s="20">
        <v>0</v>
      </c>
      <c r="AG123" s="20">
        <f t="shared" si="63"/>
        <v>200</v>
      </c>
      <c r="AH123" s="24"/>
      <c r="AI123" s="80">
        <v>0</v>
      </c>
      <c r="AJ123" s="24">
        <v>0</v>
      </c>
      <c r="AK123" s="24">
        <v>0</v>
      </c>
      <c r="AL123" s="24">
        <v>0</v>
      </c>
      <c r="AM123" s="25">
        <f t="shared" si="56"/>
        <v>0</v>
      </c>
      <c r="AN123" s="26">
        <f t="shared" si="64"/>
        <v>17333.400000000001</v>
      </c>
      <c r="AO123" s="56"/>
      <c r="AP123" s="56"/>
      <c r="AQ123" s="4" t="s">
        <v>358</v>
      </c>
      <c r="AR123" s="56"/>
      <c r="AS123" s="56"/>
      <c r="AT123" s="57"/>
      <c r="AU123" s="58"/>
      <c r="AV123" s="53"/>
      <c r="AW123" s="54"/>
      <c r="AX123" s="51"/>
      <c r="AY123" s="51"/>
      <c r="AZ123" s="51"/>
      <c r="BA123" s="51"/>
      <c r="BC123" s="152">
        <f t="shared" si="65"/>
        <v>17533.400000000001</v>
      </c>
    </row>
    <row r="124" spans="2:55" s="50" customFormat="1" ht="15.75" customHeight="1" x14ac:dyDescent="0.3">
      <c r="B124" s="162">
        <v>16500</v>
      </c>
      <c r="C124" s="200">
        <v>14500</v>
      </c>
      <c r="D124" s="161"/>
      <c r="E124" s="16" t="s">
        <v>438</v>
      </c>
      <c r="F124" s="104"/>
      <c r="G124" s="112">
        <v>45839</v>
      </c>
      <c r="H124" s="30"/>
      <c r="I124" s="30"/>
      <c r="J124" s="41">
        <f t="shared" si="57"/>
        <v>106</v>
      </c>
      <c r="K124" s="86" t="s">
        <v>284</v>
      </c>
      <c r="L124" s="92" t="s">
        <v>276</v>
      </c>
      <c r="M124" s="33">
        <v>29000</v>
      </c>
      <c r="N124" s="20">
        <f t="shared" si="53"/>
        <v>14500</v>
      </c>
      <c r="O124" s="20">
        <f t="shared" si="66"/>
        <v>7250</v>
      </c>
      <c r="P124" s="20">
        <f t="shared" si="67"/>
        <v>3625</v>
      </c>
      <c r="Q124" s="20">
        <f t="shared" si="68"/>
        <v>3625</v>
      </c>
      <c r="R124" s="20"/>
      <c r="S124" s="20">
        <f t="shared" si="60"/>
        <v>29000</v>
      </c>
      <c r="T124" s="20"/>
      <c r="U124" s="22">
        <v>13</v>
      </c>
      <c r="V124" s="22">
        <v>3</v>
      </c>
      <c r="W124" s="22">
        <v>0.83299999999999996</v>
      </c>
      <c r="X124" s="22">
        <f t="shared" si="61"/>
        <v>16.832999999999998</v>
      </c>
      <c r="Y124" s="20">
        <f t="shared" si="54"/>
        <v>16271.899999999998</v>
      </c>
      <c r="Z124" s="42">
        <v>0</v>
      </c>
      <c r="AA124" s="20">
        <f t="shared" si="62"/>
        <v>16271.899999999998</v>
      </c>
      <c r="AB124" s="20">
        <f t="shared" si="55"/>
        <v>6283.333333333333</v>
      </c>
      <c r="AC124" s="20">
        <v>0</v>
      </c>
      <c r="AD124" s="20">
        <v>0</v>
      </c>
      <c r="AE124" s="20">
        <v>0</v>
      </c>
      <c r="AF124" s="20">
        <v>0</v>
      </c>
      <c r="AG124" s="20">
        <f t="shared" si="63"/>
        <v>200</v>
      </c>
      <c r="AH124" s="24"/>
      <c r="AI124" s="80">
        <v>0</v>
      </c>
      <c r="AJ124" s="24">
        <v>0</v>
      </c>
      <c r="AK124" s="24">
        <v>0</v>
      </c>
      <c r="AL124" s="24">
        <v>0</v>
      </c>
      <c r="AM124" s="25">
        <f t="shared" si="56"/>
        <v>0</v>
      </c>
      <c r="AN124" s="26">
        <f t="shared" si="64"/>
        <v>16071.899999999998</v>
      </c>
      <c r="AO124" s="56"/>
      <c r="AP124" s="56"/>
      <c r="AQ124" s="4" t="s">
        <v>383</v>
      </c>
      <c r="AR124" s="56"/>
      <c r="AS124" s="56"/>
      <c r="AT124" s="57"/>
      <c r="AU124" s="58"/>
      <c r="AV124" s="53"/>
      <c r="AW124" s="54"/>
      <c r="AX124" s="51"/>
      <c r="AY124" s="51"/>
      <c r="AZ124" s="51"/>
      <c r="BA124" s="51"/>
      <c r="BC124" s="152">
        <f t="shared" si="65"/>
        <v>16271.899999999998</v>
      </c>
    </row>
    <row r="125" spans="2:55" s="50" customFormat="1" ht="15.75" x14ac:dyDescent="0.25">
      <c r="B125" s="200">
        <v>0</v>
      </c>
      <c r="C125" s="21">
        <v>0</v>
      </c>
      <c r="D125" s="21">
        <v>20000</v>
      </c>
      <c r="E125" s="30" t="s">
        <v>226</v>
      </c>
      <c r="F125" s="21" t="s">
        <v>277</v>
      </c>
      <c r="G125" s="112">
        <v>45839</v>
      </c>
      <c r="H125" s="30"/>
      <c r="I125" s="30"/>
      <c r="J125" s="41">
        <f t="shared" si="57"/>
        <v>107</v>
      </c>
      <c r="K125" s="86" t="s">
        <v>284</v>
      </c>
      <c r="L125" s="84" t="s">
        <v>279</v>
      </c>
      <c r="M125" s="33">
        <v>25000</v>
      </c>
      <c r="N125" s="20">
        <f t="shared" si="53"/>
        <v>13897</v>
      </c>
      <c r="O125" s="20">
        <f t="shared" si="66"/>
        <v>5552</v>
      </c>
      <c r="P125" s="20">
        <f t="shared" si="67"/>
        <v>2776</v>
      </c>
      <c r="Q125" s="20">
        <f t="shared" si="68"/>
        <v>2776</v>
      </c>
      <c r="R125" s="20"/>
      <c r="S125" s="20">
        <f t="shared" si="60"/>
        <v>25001</v>
      </c>
      <c r="T125" s="20"/>
      <c r="U125" s="22">
        <v>22</v>
      </c>
      <c r="V125" s="22">
        <v>2</v>
      </c>
      <c r="W125" s="22">
        <v>0</v>
      </c>
      <c r="X125" s="22">
        <f t="shared" si="61"/>
        <v>24</v>
      </c>
      <c r="Y125" s="20">
        <f t="shared" si="54"/>
        <v>20000</v>
      </c>
      <c r="Z125" s="42">
        <v>0</v>
      </c>
      <c r="AA125" s="20">
        <f t="shared" si="62"/>
        <v>20000</v>
      </c>
      <c r="AB125" s="20">
        <f t="shared" si="55"/>
        <v>10191.133333333333</v>
      </c>
      <c r="AC125" s="20">
        <v>0</v>
      </c>
      <c r="AD125" s="20">
        <v>0</v>
      </c>
      <c r="AE125" s="20">
        <v>0</v>
      </c>
      <c r="AF125" s="20">
        <v>0</v>
      </c>
      <c r="AG125" s="20">
        <f t="shared" si="63"/>
        <v>200</v>
      </c>
      <c r="AH125" s="24"/>
      <c r="AI125" s="80">
        <v>0</v>
      </c>
      <c r="AJ125" s="24">
        <v>0</v>
      </c>
      <c r="AK125" s="24">
        <v>0</v>
      </c>
      <c r="AL125" s="24">
        <v>0</v>
      </c>
      <c r="AM125" s="25">
        <f t="shared" si="56"/>
        <v>0</v>
      </c>
      <c r="AN125" s="26">
        <f t="shared" si="64"/>
        <v>19800</v>
      </c>
      <c r="AO125" s="56"/>
      <c r="AP125" s="56"/>
      <c r="AQ125" s="51"/>
      <c r="AR125" s="56"/>
      <c r="AS125" s="56"/>
      <c r="AT125" s="57"/>
      <c r="AU125" s="58"/>
      <c r="AV125" s="53"/>
      <c r="AW125" s="54"/>
      <c r="AX125" s="51"/>
      <c r="AY125" s="51"/>
      <c r="AZ125" s="51"/>
      <c r="BA125" s="51"/>
      <c r="BC125" s="152">
        <f t="shared" si="65"/>
        <v>20000</v>
      </c>
    </row>
    <row r="126" spans="2:55" s="50" customFormat="1" ht="15.75" customHeight="1" x14ac:dyDescent="0.3">
      <c r="B126" s="198">
        <v>40500</v>
      </c>
      <c r="C126" s="104">
        <v>37000</v>
      </c>
      <c r="D126" s="161"/>
      <c r="E126" s="16" t="s">
        <v>128</v>
      </c>
      <c r="F126" s="104" t="s">
        <v>259</v>
      </c>
      <c r="G126" s="112">
        <v>45839</v>
      </c>
      <c r="H126" s="30"/>
      <c r="I126" s="30"/>
      <c r="J126" s="41">
        <f t="shared" si="57"/>
        <v>108</v>
      </c>
      <c r="K126" s="86" t="s">
        <v>284</v>
      </c>
      <c r="L126" s="30" t="s">
        <v>410</v>
      </c>
      <c r="M126" s="33">
        <v>40500</v>
      </c>
      <c r="N126" s="20">
        <f t="shared" si="53"/>
        <v>20250</v>
      </c>
      <c r="O126" s="20">
        <f t="shared" si="66"/>
        <v>10125</v>
      </c>
      <c r="P126" s="20">
        <f t="shared" si="67"/>
        <v>5063</v>
      </c>
      <c r="Q126" s="20">
        <f t="shared" si="68"/>
        <v>5063</v>
      </c>
      <c r="R126" s="20"/>
      <c r="S126" s="20">
        <f t="shared" si="60"/>
        <v>40501</v>
      </c>
      <c r="T126" s="20"/>
      <c r="U126" s="22">
        <v>26</v>
      </c>
      <c r="V126" s="22">
        <v>4</v>
      </c>
      <c r="W126" s="22">
        <v>0</v>
      </c>
      <c r="X126" s="22">
        <f t="shared" si="61"/>
        <v>30</v>
      </c>
      <c r="Y126" s="20">
        <f t="shared" si="54"/>
        <v>40500</v>
      </c>
      <c r="Z126" s="42"/>
      <c r="AA126" s="20">
        <f t="shared" si="62"/>
        <v>40500</v>
      </c>
      <c r="AB126" s="20">
        <f t="shared" si="55"/>
        <v>17550</v>
      </c>
      <c r="AC126" s="20">
        <v>0</v>
      </c>
      <c r="AD126" s="20">
        <v>0</v>
      </c>
      <c r="AE126" s="20">
        <v>0</v>
      </c>
      <c r="AF126" s="20">
        <v>0</v>
      </c>
      <c r="AG126" s="20">
        <f t="shared" si="63"/>
        <v>200</v>
      </c>
      <c r="AH126" s="24"/>
      <c r="AI126" s="80">
        <v>0</v>
      </c>
      <c r="AJ126" s="24">
        <v>0</v>
      </c>
      <c r="AK126" s="24">
        <v>0</v>
      </c>
      <c r="AL126" s="24">
        <v>0</v>
      </c>
      <c r="AM126" s="25">
        <f t="shared" si="56"/>
        <v>0</v>
      </c>
      <c r="AN126" s="26">
        <f t="shared" si="64"/>
        <v>40300</v>
      </c>
      <c r="AO126" s="56"/>
      <c r="AP126" s="56"/>
      <c r="AQ126" s="51" t="s">
        <v>349</v>
      </c>
      <c r="AR126" s="56"/>
      <c r="AS126" s="56"/>
      <c r="AT126" s="57"/>
      <c r="AU126" s="58"/>
      <c r="AV126" s="53"/>
      <c r="AW126" s="54"/>
      <c r="AX126" s="51"/>
      <c r="AY126" s="51"/>
      <c r="AZ126" s="51"/>
      <c r="BA126" s="51"/>
      <c r="BC126" s="152">
        <f t="shared" si="65"/>
        <v>40500</v>
      </c>
    </row>
    <row r="127" spans="2:55" s="50" customFormat="1" ht="15.75" customHeight="1" x14ac:dyDescent="0.3">
      <c r="B127" s="200">
        <v>30000</v>
      </c>
      <c r="C127" s="104">
        <v>26000</v>
      </c>
      <c r="D127" s="161"/>
      <c r="E127" s="16" t="s">
        <v>114</v>
      </c>
      <c r="F127" s="104" t="s">
        <v>150</v>
      </c>
      <c r="G127" s="112">
        <v>45839</v>
      </c>
      <c r="H127" s="30"/>
      <c r="I127" s="30"/>
      <c r="J127" s="41">
        <f t="shared" si="57"/>
        <v>109</v>
      </c>
      <c r="K127" s="86" t="s">
        <v>284</v>
      </c>
      <c r="L127" s="30" t="s">
        <v>271</v>
      </c>
      <c r="M127" s="33">
        <v>30000</v>
      </c>
      <c r="N127" s="20">
        <f t="shared" si="53"/>
        <v>15000</v>
      </c>
      <c r="O127" s="20">
        <f t="shared" si="66"/>
        <v>7500</v>
      </c>
      <c r="P127" s="20">
        <f t="shared" si="67"/>
        <v>3750</v>
      </c>
      <c r="Q127" s="20">
        <f t="shared" si="68"/>
        <v>3750</v>
      </c>
      <c r="R127" s="20"/>
      <c r="S127" s="20">
        <f t="shared" si="60"/>
        <v>30000</v>
      </c>
      <c r="T127" s="20"/>
      <c r="U127" s="22">
        <v>26</v>
      </c>
      <c r="V127" s="22">
        <v>4</v>
      </c>
      <c r="W127" s="22">
        <v>0</v>
      </c>
      <c r="X127" s="22">
        <f t="shared" si="61"/>
        <v>30</v>
      </c>
      <c r="Y127" s="20">
        <f t="shared" si="54"/>
        <v>30000</v>
      </c>
      <c r="Z127" s="42"/>
      <c r="AA127" s="20">
        <f t="shared" si="62"/>
        <v>30000</v>
      </c>
      <c r="AB127" s="20">
        <f t="shared" si="55"/>
        <v>13000</v>
      </c>
      <c r="AC127" s="20">
        <v>0</v>
      </c>
      <c r="AD127" s="20">
        <v>0</v>
      </c>
      <c r="AE127" s="20">
        <v>0</v>
      </c>
      <c r="AF127" s="20">
        <v>0</v>
      </c>
      <c r="AG127" s="20">
        <f t="shared" si="63"/>
        <v>200</v>
      </c>
      <c r="AH127" s="24"/>
      <c r="AI127" s="80">
        <v>0</v>
      </c>
      <c r="AJ127" s="24">
        <v>0</v>
      </c>
      <c r="AK127" s="24">
        <v>0</v>
      </c>
      <c r="AL127" s="24">
        <v>0</v>
      </c>
      <c r="AM127" s="25">
        <f t="shared" si="56"/>
        <v>0</v>
      </c>
      <c r="AN127" s="26">
        <f t="shared" si="64"/>
        <v>29800</v>
      </c>
      <c r="AO127" s="56"/>
      <c r="AP127" s="56"/>
      <c r="AQ127" s="51" t="s">
        <v>353</v>
      </c>
      <c r="AR127" s="56"/>
      <c r="AS127" s="56"/>
      <c r="AT127" s="57"/>
      <c r="AU127" s="58"/>
      <c r="AV127" s="53"/>
      <c r="AW127" s="54"/>
      <c r="AX127" s="51"/>
      <c r="AY127" s="51"/>
      <c r="AZ127" s="51"/>
      <c r="BA127" s="51"/>
      <c r="BC127" s="152">
        <f t="shared" si="65"/>
        <v>30000</v>
      </c>
    </row>
    <row r="128" spans="2:55" s="50" customFormat="1" ht="15.75" customHeight="1" x14ac:dyDescent="0.3">
      <c r="B128" s="200">
        <v>26750</v>
      </c>
      <c r="C128" s="104">
        <v>25000</v>
      </c>
      <c r="D128" s="161"/>
      <c r="E128" s="16" t="s">
        <v>260</v>
      </c>
      <c r="F128" s="104" t="s">
        <v>150</v>
      </c>
      <c r="G128" s="112">
        <v>45839</v>
      </c>
      <c r="H128" s="30"/>
      <c r="I128" s="30"/>
      <c r="J128" s="41">
        <f t="shared" si="57"/>
        <v>110</v>
      </c>
      <c r="K128" s="86" t="s">
        <v>284</v>
      </c>
      <c r="L128" s="30" t="s">
        <v>278</v>
      </c>
      <c r="M128" s="33">
        <v>26750</v>
      </c>
      <c r="N128" s="20">
        <f t="shared" si="53"/>
        <v>13897</v>
      </c>
      <c r="O128" s="20">
        <f t="shared" si="66"/>
        <v>6427</v>
      </c>
      <c r="P128" s="20">
        <f t="shared" si="67"/>
        <v>3214</v>
      </c>
      <c r="Q128" s="20">
        <f t="shared" si="68"/>
        <v>3214</v>
      </c>
      <c r="R128" s="20"/>
      <c r="S128" s="20">
        <f t="shared" si="60"/>
        <v>26752</v>
      </c>
      <c r="T128" s="20"/>
      <c r="U128" s="22">
        <v>24</v>
      </c>
      <c r="V128" s="22">
        <v>3</v>
      </c>
      <c r="W128" s="22">
        <v>0</v>
      </c>
      <c r="X128" s="22">
        <f t="shared" si="61"/>
        <v>27</v>
      </c>
      <c r="Y128" s="20">
        <f t="shared" si="54"/>
        <v>24075</v>
      </c>
      <c r="Z128" s="42"/>
      <c r="AA128" s="20">
        <f t="shared" si="62"/>
        <v>24075</v>
      </c>
      <c r="AB128" s="20">
        <f t="shared" si="55"/>
        <v>11117.6</v>
      </c>
      <c r="AC128" s="20">
        <v>0</v>
      </c>
      <c r="AD128" s="20">
        <v>0</v>
      </c>
      <c r="AE128" s="20">
        <v>0</v>
      </c>
      <c r="AF128" s="20">
        <v>0</v>
      </c>
      <c r="AG128" s="20">
        <f t="shared" si="63"/>
        <v>200</v>
      </c>
      <c r="AH128" s="24"/>
      <c r="AI128" s="80">
        <v>0</v>
      </c>
      <c r="AJ128" s="24">
        <v>0</v>
      </c>
      <c r="AK128" s="24">
        <v>0</v>
      </c>
      <c r="AL128" s="24">
        <v>0</v>
      </c>
      <c r="AM128" s="25">
        <f t="shared" si="56"/>
        <v>0</v>
      </c>
      <c r="AN128" s="26">
        <f t="shared" si="64"/>
        <v>23875</v>
      </c>
      <c r="AO128" s="56"/>
      <c r="AP128" s="56"/>
      <c r="AQ128" s="51" t="s">
        <v>365</v>
      </c>
      <c r="AR128" s="56"/>
      <c r="AS128" s="56"/>
      <c r="AT128" s="57"/>
      <c r="AU128" s="58"/>
      <c r="AV128" s="53"/>
      <c r="AW128" s="54"/>
      <c r="AX128" s="51"/>
      <c r="AY128" s="51"/>
      <c r="AZ128" s="51"/>
      <c r="BA128" s="51"/>
      <c r="BC128" s="152">
        <f t="shared" si="65"/>
        <v>24075</v>
      </c>
    </row>
    <row r="129" spans="2:55" s="50" customFormat="1" ht="15.75" customHeight="1" x14ac:dyDescent="0.3">
      <c r="B129" s="200">
        <v>0</v>
      </c>
      <c r="C129" s="104">
        <v>25000</v>
      </c>
      <c r="D129" s="161"/>
      <c r="E129" s="30" t="s">
        <v>421</v>
      </c>
      <c r="F129" s="104"/>
      <c r="G129" s="112">
        <v>45839</v>
      </c>
      <c r="H129" s="30"/>
      <c r="I129" s="30"/>
      <c r="J129" s="41">
        <f t="shared" si="57"/>
        <v>111</v>
      </c>
      <c r="K129" s="86" t="s">
        <v>284</v>
      </c>
      <c r="L129" s="30" t="s">
        <v>370</v>
      </c>
      <c r="M129" s="33">
        <v>25000</v>
      </c>
      <c r="N129" s="20">
        <f t="shared" si="53"/>
        <v>13897</v>
      </c>
      <c r="O129" s="20">
        <f t="shared" si="66"/>
        <v>5552</v>
      </c>
      <c r="P129" s="20">
        <f t="shared" si="67"/>
        <v>2776</v>
      </c>
      <c r="Q129" s="20">
        <f t="shared" si="68"/>
        <v>2776</v>
      </c>
      <c r="R129" s="20"/>
      <c r="S129" s="20">
        <f t="shared" si="60"/>
        <v>25001</v>
      </c>
      <c r="T129" s="20"/>
      <c r="U129" s="22">
        <v>16</v>
      </c>
      <c r="V129" s="22">
        <v>2</v>
      </c>
      <c r="W129" s="22">
        <v>0</v>
      </c>
      <c r="X129" s="22">
        <f t="shared" si="61"/>
        <v>18</v>
      </c>
      <c r="Y129" s="20">
        <f t="shared" si="54"/>
        <v>15000</v>
      </c>
      <c r="Z129" s="42"/>
      <c r="AA129" s="20">
        <f t="shared" si="62"/>
        <v>15000</v>
      </c>
      <c r="AB129" s="20">
        <f t="shared" si="55"/>
        <v>7411.7333333333336</v>
      </c>
      <c r="AC129" s="20">
        <v>0</v>
      </c>
      <c r="AD129" s="20">
        <v>0</v>
      </c>
      <c r="AE129" s="20">
        <v>0</v>
      </c>
      <c r="AF129" s="20">
        <v>0</v>
      </c>
      <c r="AG129" s="20">
        <f t="shared" si="63"/>
        <v>200</v>
      </c>
      <c r="AH129" s="24"/>
      <c r="AI129" s="80">
        <v>0</v>
      </c>
      <c r="AJ129" s="24">
        <v>0</v>
      </c>
      <c r="AK129" s="24">
        <v>0</v>
      </c>
      <c r="AL129" s="24">
        <v>0</v>
      </c>
      <c r="AM129" s="25">
        <f t="shared" si="56"/>
        <v>0</v>
      </c>
      <c r="AN129" s="26">
        <f t="shared" si="64"/>
        <v>14800</v>
      </c>
      <c r="AO129" s="56"/>
      <c r="AP129" s="56"/>
      <c r="AQ129" s="51" t="s">
        <v>371</v>
      </c>
      <c r="AR129" s="56"/>
      <c r="AS129" s="56"/>
      <c r="AT129" s="57"/>
      <c r="AU129" s="58"/>
      <c r="AV129" s="53"/>
      <c r="AW129" s="54"/>
      <c r="AX129" s="51"/>
      <c r="AY129" s="51"/>
      <c r="AZ129" s="51"/>
      <c r="BA129" s="51"/>
      <c r="BC129" s="152">
        <f t="shared" si="65"/>
        <v>15000</v>
      </c>
    </row>
    <row r="130" spans="2:55" s="50" customFormat="1" ht="15.75" customHeight="1" x14ac:dyDescent="0.3">
      <c r="B130" s="200">
        <v>40000</v>
      </c>
      <c r="C130" s="104">
        <v>35000</v>
      </c>
      <c r="D130" s="161"/>
      <c r="E130" s="30" t="s">
        <v>236</v>
      </c>
      <c r="F130" s="104"/>
      <c r="G130" s="112">
        <v>45839</v>
      </c>
      <c r="H130" s="30"/>
      <c r="I130" s="30"/>
      <c r="J130" s="41">
        <f t="shared" si="57"/>
        <v>112</v>
      </c>
      <c r="K130" s="86" t="s">
        <v>284</v>
      </c>
      <c r="L130" s="30" t="s">
        <v>280</v>
      </c>
      <c r="M130" s="33">
        <v>40000</v>
      </c>
      <c r="N130" s="20">
        <f t="shared" si="53"/>
        <v>20000</v>
      </c>
      <c r="O130" s="20">
        <f t="shared" si="66"/>
        <v>10000</v>
      </c>
      <c r="P130" s="20">
        <f t="shared" si="67"/>
        <v>5000</v>
      </c>
      <c r="Q130" s="20">
        <f t="shared" si="68"/>
        <v>5000</v>
      </c>
      <c r="R130" s="20"/>
      <c r="S130" s="20">
        <f t="shared" si="60"/>
        <v>40000</v>
      </c>
      <c r="T130" s="20"/>
      <c r="U130" s="22">
        <v>26</v>
      </c>
      <c r="V130" s="22">
        <v>4</v>
      </c>
      <c r="W130" s="22">
        <v>0</v>
      </c>
      <c r="X130" s="22">
        <f t="shared" si="61"/>
        <v>30</v>
      </c>
      <c r="Y130" s="20">
        <f t="shared" si="54"/>
        <v>40000</v>
      </c>
      <c r="Z130" s="42"/>
      <c r="AA130" s="20">
        <f t="shared" si="62"/>
        <v>40000</v>
      </c>
      <c r="AB130" s="20">
        <f t="shared" si="55"/>
        <v>17333.333333333332</v>
      </c>
      <c r="AC130" s="20">
        <v>0</v>
      </c>
      <c r="AD130" s="20">
        <v>0</v>
      </c>
      <c r="AE130" s="20">
        <v>0</v>
      </c>
      <c r="AF130" s="20">
        <v>0</v>
      </c>
      <c r="AG130" s="20">
        <f t="shared" si="63"/>
        <v>200</v>
      </c>
      <c r="AH130" s="24"/>
      <c r="AI130" s="80">
        <v>0</v>
      </c>
      <c r="AJ130" s="24">
        <v>0</v>
      </c>
      <c r="AK130" s="24">
        <v>0</v>
      </c>
      <c r="AL130" s="24">
        <v>0</v>
      </c>
      <c r="AM130" s="25">
        <f t="shared" si="56"/>
        <v>0</v>
      </c>
      <c r="AN130" s="26">
        <f t="shared" si="64"/>
        <v>39800</v>
      </c>
      <c r="AO130" s="56"/>
      <c r="AP130" s="56"/>
      <c r="AQ130" s="51" t="s">
        <v>369</v>
      </c>
      <c r="AR130" s="56"/>
      <c r="AS130" s="56"/>
      <c r="AT130" s="57"/>
      <c r="AU130" s="58"/>
      <c r="AV130" s="53"/>
      <c r="AW130" s="54"/>
      <c r="AX130" s="51"/>
      <c r="AY130" s="51"/>
      <c r="AZ130" s="51"/>
      <c r="BA130" s="51"/>
      <c r="BC130" s="152">
        <f t="shared" si="65"/>
        <v>40000</v>
      </c>
    </row>
    <row r="131" spans="2:55" s="50" customFormat="1" ht="15.75" customHeight="1" x14ac:dyDescent="0.3">
      <c r="B131" s="200">
        <v>28350</v>
      </c>
      <c r="C131" s="104">
        <v>27000</v>
      </c>
      <c r="D131" s="161"/>
      <c r="E131" s="30" t="s">
        <v>236</v>
      </c>
      <c r="F131" s="104"/>
      <c r="G131" s="112">
        <v>45839</v>
      </c>
      <c r="H131" s="30"/>
      <c r="I131" s="30"/>
      <c r="J131" s="41">
        <f t="shared" si="57"/>
        <v>113</v>
      </c>
      <c r="K131" s="86" t="s">
        <v>284</v>
      </c>
      <c r="L131" s="30" t="s">
        <v>281</v>
      </c>
      <c r="M131" s="33">
        <v>28350</v>
      </c>
      <c r="N131" s="20">
        <f t="shared" si="53"/>
        <v>14175</v>
      </c>
      <c r="O131" s="20">
        <f t="shared" si="66"/>
        <v>7088</v>
      </c>
      <c r="P131" s="20">
        <f t="shared" si="67"/>
        <v>3544</v>
      </c>
      <c r="Q131" s="20">
        <f t="shared" si="68"/>
        <v>3544</v>
      </c>
      <c r="R131" s="20"/>
      <c r="S131" s="20">
        <f t="shared" si="60"/>
        <v>28351</v>
      </c>
      <c r="T131" s="20"/>
      <c r="U131" s="22">
        <v>26</v>
      </c>
      <c r="V131" s="22">
        <v>4</v>
      </c>
      <c r="W131" s="22">
        <v>0</v>
      </c>
      <c r="X131" s="22">
        <f t="shared" si="61"/>
        <v>30</v>
      </c>
      <c r="Y131" s="20">
        <f t="shared" si="54"/>
        <v>28350</v>
      </c>
      <c r="Z131" s="42"/>
      <c r="AA131" s="20">
        <f t="shared" si="62"/>
        <v>28350</v>
      </c>
      <c r="AB131" s="20">
        <f t="shared" si="55"/>
        <v>12285</v>
      </c>
      <c r="AC131" s="20">
        <v>0</v>
      </c>
      <c r="AD131" s="20">
        <v>0</v>
      </c>
      <c r="AE131" s="20">
        <v>0</v>
      </c>
      <c r="AF131" s="20">
        <v>0</v>
      </c>
      <c r="AG131" s="20">
        <f t="shared" si="63"/>
        <v>200</v>
      </c>
      <c r="AH131" s="24"/>
      <c r="AI131" s="80">
        <v>0</v>
      </c>
      <c r="AJ131" s="24">
        <v>0</v>
      </c>
      <c r="AK131" s="24">
        <v>0</v>
      </c>
      <c r="AL131" s="24">
        <v>0</v>
      </c>
      <c r="AM131" s="25">
        <f t="shared" si="56"/>
        <v>0</v>
      </c>
      <c r="AN131" s="26">
        <f t="shared" si="64"/>
        <v>28150</v>
      </c>
      <c r="AO131" s="56"/>
      <c r="AP131" s="56"/>
      <c r="AQ131" s="51" t="s">
        <v>372</v>
      </c>
      <c r="AR131" s="56"/>
      <c r="AS131" s="56"/>
      <c r="AT131" s="57"/>
      <c r="AU131" s="58"/>
      <c r="AV131" s="53"/>
      <c r="AW131" s="54"/>
      <c r="AX131" s="51"/>
      <c r="AY131" s="51"/>
      <c r="AZ131" s="51"/>
      <c r="BA131" s="51"/>
      <c r="BC131" s="152">
        <f t="shared" si="65"/>
        <v>28350</v>
      </c>
    </row>
    <row r="132" spans="2:55" s="50" customFormat="1" ht="15.75" customHeight="1" x14ac:dyDescent="0.3">
      <c r="B132" s="162">
        <v>28600</v>
      </c>
      <c r="C132" s="104">
        <v>26000</v>
      </c>
      <c r="D132" s="161"/>
      <c r="E132" s="30" t="s">
        <v>232</v>
      </c>
      <c r="F132" s="104"/>
      <c r="G132" s="112">
        <v>45839</v>
      </c>
      <c r="H132" s="30"/>
      <c r="I132" s="30"/>
      <c r="J132" s="41">
        <f t="shared" si="57"/>
        <v>114</v>
      </c>
      <c r="K132" s="86" t="s">
        <v>284</v>
      </c>
      <c r="L132" s="30" t="s">
        <v>272</v>
      </c>
      <c r="M132" s="33">
        <v>30000</v>
      </c>
      <c r="N132" s="20">
        <f t="shared" si="53"/>
        <v>15000</v>
      </c>
      <c r="O132" s="20">
        <f t="shared" si="66"/>
        <v>7500</v>
      </c>
      <c r="P132" s="20">
        <f t="shared" si="67"/>
        <v>3750</v>
      </c>
      <c r="Q132" s="20">
        <f t="shared" si="68"/>
        <v>3750</v>
      </c>
      <c r="R132" s="20"/>
      <c r="S132" s="20">
        <f t="shared" si="60"/>
        <v>30000</v>
      </c>
      <c r="T132" s="20"/>
      <c r="U132" s="22">
        <v>22</v>
      </c>
      <c r="V132" s="22">
        <v>3</v>
      </c>
      <c r="W132" s="22">
        <v>0</v>
      </c>
      <c r="X132" s="22">
        <f t="shared" si="61"/>
        <v>25</v>
      </c>
      <c r="Y132" s="20">
        <f t="shared" si="54"/>
        <v>25000</v>
      </c>
      <c r="Z132" s="42"/>
      <c r="AA132" s="20">
        <f t="shared" si="62"/>
        <v>25000</v>
      </c>
      <c r="AB132" s="20">
        <f t="shared" si="55"/>
        <v>11000</v>
      </c>
      <c r="AC132" s="20">
        <v>0</v>
      </c>
      <c r="AD132" s="20">
        <v>0</v>
      </c>
      <c r="AE132" s="20">
        <v>0</v>
      </c>
      <c r="AF132" s="20">
        <v>0</v>
      </c>
      <c r="AG132" s="20">
        <f t="shared" si="63"/>
        <v>200</v>
      </c>
      <c r="AH132" s="24"/>
      <c r="AI132" s="80">
        <v>0</v>
      </c>
      <c r="AJ132" s="24">
        <v>0</v>
      </c>
      <c r="AK132" s="24">
        <v>0</v>
      </c>
      <c r="AL132" s="24">
        <v>0</v>
      </c>
      <c r="AM132" s="25">
        <f t="shared" si="56"/>
        <v>0</v>
      </c>
      <c r="AN132" s="26">
        <f t="shared" si="64"/>
        <v>24800</v>
      </c>
      <c r="AO132" s="56"/>
      <c r="AP132" s="56"/>
      <c r="AQ132" s="51"/>
      <c r="AR132" s="56"/>
      <c r="AS132" s="56"/>
      <c r="AT132" s="57"/>
      <c r="AU132" s="58"/>
      <c r="AV132" s="53"/>
      <c r="AW132" s="54"/>
      <c r="AX132" s="51"/>
      <c r="AY132" s="51"/>
      <c r="AZ132" s="51"/>
      <c r="BA132" s="51"/>
      <c r="BC132" s="152">
        <f t="shared" si="65"/>
        <v>25000</v>
      </c>
    </row>
    <row r="133" spans="2:55" s="50" customFormat="1" ht="15.75" customHeight="1" x14ac:dyDescent="0.3">
      <c r="B133" s="200">
        <v>22470</v>
      </c>
      <c r="C133" s="104">
        <v>21000</v>
      </c>
      <c r="D133" s="161"/>
      <c r="E133" s="30" t="s">
        <v>232</v>
      </c>
      <c r="F133" s="104"/>
      <c r="G133" s="112">
        <v>45839</v>
      </c>
      <c r="H133" s="30"/>
      <c r="I133" s="30"/>
      <c r="J133" s="41">
        <f t="shared" si="57"/>
        <v>115</v>
      </c>
      <c r="K133" s="86" t="s">
        <v>284</v>
      </c>
      <c r="L133" s="30" t="s">
        <v>273</v>
      </c>
      <c r="M133" s="33">
        <v>21000</v>
      </c>
      <c r="N133" s="20">
        <f t="shared" si="53"/>
        <v>13897</v>
      </c>
      <c r="O133" s="20">
        <f t="shared" si="66"/>
        <v>3552</v>
      </c>
      <c r="P133" s="20">
        <f t="shared" si="67"/>
        <v>1776</v>
      </c>
      <c r="Q133" s="20">
        <f t="shared" si="68"/>
        <v>1776</v>
      </c>
      <c r="R133" s="20"/>
      <c r="S133" s="20">
        <f t="shared" si="60"/>
        <v>21001</v>
      </c>
      <c r="T133" s="20"/>
      <c r="U133" s="22">
        <v>24</v>
      </c>
      <c r="V133" s="22">
        <v>3</v>
      </c>
      <c r="W133" s="22">
        <v>0</v>
      </c>
      <c r="X133" s="22">
        <f t="shared" si="61"/>
        <v>27</v>
      </c>
      <c r="Y133" s="20">
        <f t="shared" si="54"/>
        <v>18900</v>
      </c>
      <c r="Z133" s="42"/>
      <c r="AA133" s="20">
        <f t="shared" si="62"/>
        <v>18900</v>
      </c>
      <c r="AB133" s="20">
        <f t="shared" si="55"/>
        <v>11117.6</v>
      </c>
      <c r="AC133" s="20">
        <v>0</v>
      </c>
      <c r="AD133" s="20">
        <v>0</v>
      </c>
      <c r="AE133" s="20">
        <v>0</v>
      </c>
      <c r="AF133" s="20">
        <v>0</v>
      </c>
      <c r="AG133" s="20">
        <f t="shared" si="63"/>
        <v>200</v>
      </c>
      <c r="AH133" s="24"/>
      <c r="AI133" s="80">
        <v>0</v>
      </c>
      <c r="AJ133" s="24">
        <v>0</v>
      </c>
      <c r="AK133" s="24">
        <v>0</v>
      </c>
      <c r="AL133" s="24">
        <v>0</v>
      </c>
      <c r="AM133" s="25">
        <f t="shared" si="56"/>
        <v>0</v>
      </c>
      <c r="AN133" s="26">
        <f t="shared" si="64"/>
        <v>18700</v>
      </c>
      <c r="AO133" s="56"/>
      <c r="AP133" s="56"/>
      <c r="AQ133" s="51" t="s">
        <v>387</v>
      </c>
      <c r="AR133" s="56"/>
      <c r="AS133" s="56"/>
      <c r="AT133" s="57"/>
      <c r="AU133" s="58"/>
      <c r="AV133" s="53"/>
      <c r="AW133" s="54"/>
      <c r="AX133" s="51"/>
      <c r="AY133" s="51"/>
      <c r="AZ133" s="51"/>
      <c r="BA133" s="51"/>
      <c r="BC133" s="152">
        <f t="shared" si="65"/>
        <v>18900</v>
      </c>
    </row>
    <row r="134" spans="2:55" s="50" customFormat="1" ht="15.75" customHeight="1" x14ac:dyDescent="0.3">
      <c r="B134" s="200">
        <v>32000</v>
      </c>
      <c r="C134" s="104">
        <v>27000</v>
      </c>
      <c r="D134" s="161"/>
      <c r="E134" s="30" t="s">
        <v>422</v>
      </c>
      <c r="F134" s="104"/>
      <c r="G134" s="112">
        <v>45839</v>
      </c>
      <c r="H134" s="30"/>
      <c r="I134" s="30"/>
      <c r="J134" s="41">
        <f t="shared" si="57"/>
        <v>116</v>
      </c>
      <c r="K134" s="86" t="s">
        <v>284</v>
      </c>
      <c r="L134" s="30" t="s">
        <v>282</v>
      </c>
      <c r="M134" s="33">
        <v>32000</v>
      </c>
      <c r="N134" s="20">
        <f t="shared" si="53"/>
        <v>16000</v>
      </c>
      <c r="O134" s="20">
        <f t="shared" si="66"/>
        <v>8000</v>
      </c>
      <c r="P134" s="20">
        <f t="shared" si="67"/>
        <v>4000</v>
      </c>
      <c r="Q134" s="20">
        <f t="shared" si="68"/>
        <v>4000</v>
      </c>
      <c r="R134" s="20"/>
      <c r="S134" s="20">
        <f t="shared" si="60"/>
        <v>32000</v>
      </c>
      <c r="T134" s="20"/>
      <c r="U134" s="22">
        <v>26</v>
      </c>
      <c r="V134" s="22">
        <v>4</v>
      </c>
      <c r="W134" s="22">
        <v>0</v>
      </c>
      <c r="X134" s="22">
        <f t="shared" si="61"/>
        <v>30</v>
      </c>
      <c r="Y134" s="20">
        <f t="shared" si="54"/>
        <v>32000.000000000004</v>
      </c>
      <c r="Z134" s="42"/>
      <c r="AA134" s="20">
        <f t="shared" si="62"/>
        <v>32000.000000000004</v>
      </c>
      <c r="AB134" s="20">
        <f t="shared" si="55"/>
        <v>13866.666666666668</v>
      </c>
      <c r="AC134" s="20">
        <v>0</v>
      </c>
      <c r="AD134" s="20">
        <v>0</v>
      </c>
      <c r="AE134" s="20">
        <v>0</v>
      </c>
      <c r="AF134" s="20">
        <v>0</v>
      </c>
      <c r="AG134" s="20">
        <f t="shared" si="63"/>
        <v>200</v>
      </c>
      <c r="AH134" s="24"/>
      <c r="AI134" s="80">
        <v>0</v>
      </c>
      <c r="AJ134" s="24">
        <v>0</v>
      </c>
      <c r="AK134" s="24">
        <v>0</v>
      </c>
      <c r="AL134" s="24">
        <v>0</v>
      </c>
      <c r="AM134" s="25">
        <f t="shared" si="56"/>
        <v>0</v>
      </c>
      <c r="AN134" s="26">
        <f t="shared" si="64"/>
        <v>31800.000000000004</v>
      </c>
      <c r="AO134" s="56"/>
      <c r="AP134" s="56"/>
      <c r="AQ134" s="51" t="s">
        <v>368</v>
      </c>
      <c r="AR134" s="56"/>
      <c r="AS134" s="56"/>
      <c r="AT134" s="57"/>
      <c r="AU134" s="58"/>
      <c r="AV134" s="53"/>
      <c r="AW134" s="54"/>
      <c r="AX134" s="51"/>
      <c r="AY134" s="51"/>
      <c r="AZ134" s="51"/>
      <c r="BA134" s="51"/>
      <c r="BC134" s="152">
        <f t="shared" si="65"/>
        <v>32000.000000000004</v>
      </c>
    </row>
    <row r="135" spans="2:55" s="50" customFormat="1" ht="15.75" customHeight="1" x14ac:dyDescent="0.25">
      <c r="B135" s="200">
        <v>37000</v>
      </c>
      <c r="C135" s="104">
        <v>0</v>
      </c>
      <c r="D135" s="15">
        <v>35000</v>
      </c>
      <c r="E135" s="16" t="s">
        <v>247</v>
      </c>
      <c r="F135" s="104"/>
      <c r="G135" s="112">
        <v>45870</v>
      </c>
      <c r="H135" s="30"/>
      <c r="I135" s="30"/>
      <c r="J135" s="41">
        <f t="shared" si="57"/>
        <v>117</v>
      </c>
      <c r="K135" s="86" t="s">
        <v>413</v>
      </c>
      <c r="L135" s="16" t="s">
        <v>412</v>
      </c>
      <c r="M135" s="33">
        <v>37000</v>
      </c>
      <c r="N135" s="20">
        <f t="shared" si="53"/>
        <v>18500</v>
      </c>
      <c r="O135" s="20">
        <f t="shared" si="66"/>
        <v>9250</v>
      </c>
      <c r="P135" s="20">
        <f t="shared" si="67"/>
        <v>4625</v>
      </c>
      <c r="Q135" s="20">
        <f t="shared" si="68"/>
        <v>4625</v>
      </c>
      <c r="R135" s="20"/>
      <c r="S135" s="20">
        <f t="shared" si="60"/>
        <v>37000</v>
      </c>
      <c r="T135" s="20"/>
      <c r="U135" s="22">
        <v>26</v>
      </c>
      <c r="V135" s="22">
        <v>4</v>
      </c>
      <c r="W135" s="22">
        <v>0</v>
      </c>
      <c r="X135" s="22">
        <f t="shared" si="61"/>
        <v>30</v>
      </c>
      <c r="Y135" s="20">
        <f t="shared" si="54"/>
        <v>37000</v>
      </c>
      <c r="Z135" s="42"/>
      <c r="AA135" s="20">
        <f t="shared" si="62"/>
        <v>37000</v>
      </c>
      <c r="AB135" s="20">
        <f t="shared" si="55"/>
        <v>16033.333333333332</v>
      </c>
      <c r="AC135" s="20">
        <v>0</v>
      </c>
      <c r="AD135" s="20">
        <v>0</v>
      </c>
      <c r="AE135" s="20">
        <v>0</v>
      </c>
      <c r="AF135" s="20">
        <v>0</v>
      </c>
      <c r="AG135" s="20">
        <f t="shared" si="63"/>
        <v>200</v>
      </c>
      <c r="AH135" s="24"/>
      <c r="AI135" s="80">
        <v>0</v>
      </c>
      <c r="AJ135" s="24">
        <v>0</v>
      </c>
      <c r="AK135" s="24">
        <v>0</v>
      </c>
      <c r="AL135" s="24">
        <v>0</v>
      </c>
      <c r="AM135" s="25">
        <f t="shared" si="56"/>
        <v>0</v>
      </c>
      <c r="AN135" s="26">
        <f t="shared" si="64"/>
        <v>36800</v>
      </c>
      <c r="AO135" s="56"/>
      <c r="AP135" s="56"/>
      <c r="AQ135" s="51"/>
      <c r="AR135" s="56"/>
      <c r="AS135" s="56"/>
      <c r="AT135" s="57"/>
      <c r="AU135" s="58"/>
      <c r="AV135" s="53"/>
      <c r="AW135" s="54"/>
      <c r="AX135" s="51"/>
      <c r="AY135" s="51"/>
      <c r="AZ135" s="51"/>
      <c r="BA135" s="51"/>
      <c r="BC135" s="152">
        <f t="shared" si="65"/>
        <v>37000</v>
      </c>
    </row>
    <row r="136" spans="2:55" s="50" customFormat="1" ht="15.75" customHeight="1" x14ac:dyDescent="0.3">
      <c r="B136" s="200">
        <v>0</v>
      </c>
      <c r="C136" s="104">
        <v>35000</v>
      </c>
      <c r="D136" s="161"/>
      <c r="E136" s="16" t="s">
        <v>114</v>
      </c>
      <c r="F136" s="104" t="s">
        <v>420</v>
      </c>
      <c r="G136" s="112">
        <v>45901</v>
      </c>
      <c r="H136" s="30"/>
      <c r="I136" s="30"/>
      <c r="J136" s="41">
        <f t="shared" si="57"/>
        <v>118</v>
      </c>
      <c r="K136" s="86" t="s">
        <v>416</v>
      </c>
      <c r="L136" s="30" t="s">
        <v>414</v>
      </c>
      <c r="M136" s="33">
        <v>35000</v>
      </c>
      <c r="N136" s="20">
        <f t="shared" si="53"/>
        <v>17500</v>
      </c>
      <c r="O136" s="20">
        <f t="shared" si="66"/>
        <v>8750</v>
      </c>
      <c r="P136" s="20">
        <f t="shared" si="67"/>
        <v>4375</v>
      </c>
      <c r="Q136" s="20">
        <f t="shared" si="68"/>
        <v>4375</v>
      </c>
      <c r="R136" s="20"/>
      <c r="S136" s="20">
        <f t="shared" si="60"/>
        <v>35000</v>
      </c>
      <c r="T136" s="20"/>
      <c r="U136" s="22">
        <v>25</v>
      </c>
      <c r="V136" s="22">
        <v>4</v>
      </c>
      <c r="W136" s="22">
        <v>0</v>
      </c>
      <c r="X136" s="22">
        <f t="shared" si="61"/>
        <v>29</v>
      </c>
      <c r="Y136" s="20">
        <f t="shared" si="54"/>
        <v>33833.333333333336</v>
      </c>
      <c r="Z136" s="42"/>
      <c r="AA136" s="20">
        <f t="shared" si="62"/>
        <v>33833.333333333336</v>
      </c>
      <c r="AB136" s="20">
        <f t="shared" si="55"/>
        <v>14583.333333333334</v>
      </c>
      <c r="AC136" s="20">
        <v>0</v>
      </c>
      <c r="AD136" s="20">
        <v>0</v>
      </c>
      <c r="AE136" s="20">
        <v>0</v>
      </c>
      <c r="AF136" s="20">
        <v>0</v>
      </c>
      <c r="AG136" s="20">
        <f t="shared" si="63"/>
        <v>200</v>
      </c>
      <c r="AH136" s="24"/>
      <c r="AI136" s="80">
        <v>0</v>
      </c>
      <c r="AJ136" s="24">
        <v>0</v>
      </c>
      <c r="AK136" s="24">
        <v>0</v>
      </c>
      <c r="AL136" s="24">
        <v>0</v>
      </c>
      <c r="AM136" s="25">
        <f t="shared" si="56"/>
        <v>0</v>
      </c>
      <c r="AN136" s="26">
        <f t="shared" si="64"/>
        <v>33633.333333333336</v>
      </c>
      <c r="AO136" s="56"/>
      <c r="AP136" s="56"/>
      <c r="AQ136" s="51"/>
      <c r="AR136" s="56"/>
      <c r="AS136" s="56"/>
      <c r="AT136" s="57"/>
      <c r="AU136" s="58"/>
      <c r="AV136" s="53"/>
      <c r="AW136" s="54"/>
      <c r="AX136" s="51"/>
      <c r="AY136" s="51"/>
      <c r="AZ136" s="51"/>
      <c r="BA136" s="51"/>
      <c r="BC136" s="152">
        <f t="shared" si="65"/>
        <v>33833.333333333336</v>
      </c>
    </row>
    <row r="137" spans="2:55" s="50" customFormat="1" ht="15" customHeight="1" x14ac:dyDescent="0.3">
      <c r="B137" s="220">
        <v>75000</v>
      </c>
      <c r="C137" s="104">
        <v>67000</v>
      </c>
      <c r="D137" s="161"/>
      <c r="E137" s="16" t="s">
        <v>265</v>
      </c>
      <c r="F137" s="104"/>
      <c r="G137" s="112">
        <v>45931</v>
      </c>
      <c r="H137" s="30"/>
      <c r="I137" s="30"/>
      <c r="J137" s="41">
        <f t="shared" si="57"/>
        <v>119</v>
      </c>
      <c r="K137" s="86" t="s">
        <v>417</v>
      </c>
      <c r="L137" s="30" t="s">
        <v>418</v>
      </c>
      <c r="M137" s="33">
        <v>75000</v>
      </c>
      <c r="N137" s="20">
        <f t="shared" si="53"/>
        <v>37500</v>
      </c>
      <c r="O137" s="20">
        <f t="shared" si="66"/>
        <v>18750</v>
      </c>
      <c r="P137" s="20">
        <f t="shared" si="67"/>
        <v>9375</v>
      </c>
      <c r="Q137" s="20">
        <f t="shared" si="68"/>
        <v>9375</v>
      </c>
      <c r="R137" s="20"/>
      <c r="S137" s="20">
        <f t="shared" si="60"/>
        <v>75000</v>
      </c>
      <c r="T137" s="20"/>
      <c r="U137" s="22">
        <v>26</v>
      </c>
      <c r="V137" s="22">
        <v>4</v>
      </c>
      <c r="W137" s="22">
        <v>0</v>
      </c>
      <c r="X137" s="22">
        <f t="shared" si="61"/>
        <v>30</v>
      </c>
      <c r="Y137" s="20">
        <f t="shared" si="54"/>
        <v>75000</v>
      </c>
      <c r="Z137" s="42"/>
      <c r="AA137" s="20">
        <f t="shared" si="62"/>
        <v>75000</v>
      </c>
      <c r="AB137" s="20">
        <f t="shared" si="55"/>
        <v>32500</v>
      </c>
      <c r="AC137" s="20">
        <v>0</v>
      </c>
      <c r="AD137" s="20">
        <v>0</v>
      </c>
      <c r="AE137" s="20">
        <v>0</v>
      </c>
      <c r="AF137" s="20">
        <v>0</v>
      </c>
      <c r="AG137" s="20">
        <f t="shared" si="63"/>
        <v>200</v>
      </c>
      <c r="AH137" s="24"/>
      <c r="AI137" s="80">
        <v>0</v>
      </c>
      <c r="AJ137" s="24">
        <v>0</v>
      </c>
      <c r="AK137" s="24">
        <v>0</v>
      </c>
      <c r="AL137" s="24">
        <v>0</v>
      </c>
      <c r="AM137" s="25">
        <f t="shared" si="56"/>
        <v>0</v>
      </c>
      <c r="AN137" s="26">
        <f t="shared" si="64"/>
        <v>74800</v>
      </c>
      <c r="AO137" s="56"/>
      <c r="AP137" s="56"/>
      <c r="AQ137" s="51"/>
      <c r="AR137" s="56"/>
      <c r="AS137" s="56"/>
      <c r="AT137" s="57"/>
      <c r="AU137" s="58"/>
      <c r="AV137" s="53"/>
      <c r="AW137" s="54"/>
      <c r="AX137" s="51"/>
      <c r="AY137" s="51"/>
      <c r="AZ137" s="51"/>
      <c r="BA137" s="51"/>
      <c r="BC137" s="152">
        <f t="shared" si="65"/>
        <v>75000</v>
      </c>
    </row>
    <row r="138" spans="2:55" s="50" customFormat="1" ht="15" customHeight="1" x14ac:dyDescent="0.3">
      <c r="B138" s="200">
        <v>0</v>
      </c>
      <c r="C138" s="104">
        <v>30000</v>
      </c>
      <c r="D138" s="161"/>
      <c r="E138" s="16" t="s">
        <v>114</v>
      </c>
      <c r="F138" s="104" t="s">
        <v>148</v>
      </c>
      <c r="G138" s="112">
        <v>45962</v>
      </c>
      <c r="H138" s="30"/>
      <c r="I138" s="30"/>
      <c r="J138" s="41">
        <f t="shared" si="57"/>
        <v>120</v>
      </c>
      <c r="K138" s="86" t="s">
        <v>424</v>
      </c>
      <c r="L138" s="30" t="s">
        <v>419</v>
      </c>
      <c r="M138" s="33">
        <v>30000</v>
      </c>
      <c r="N138" s="20">
        <f t="shared" si="53"/>
        <v>15000</v>
      </c>
      <c r="O138" s="20">
        <f t="shared" si="66"/>
        <v>7500</v>
      </c>
      <c r="P138" s="20">
        <f t="shared" si="67"/>
        <v>3750</v>
      </c>
      <c r="Q138" s="20">
        <f t="shared" si="68"/>
        <v>3750</v>
      </c>
      <c r="R138" s="20"/>
      <c r="S138" s="20">
        <f t="shared" si="60"/>
        <v>30000</v>
      </c>
      <c r="T138" s="20"/>
      <c r="U138" s="22">
        <v>24</v>
      </c>
      <c r="V138" s="22">
        <v>4</v>
      </c>
      <c r="W138" s="22">
        <v>0</v>
      </c>
      <c r="X138" s="22">
        <f t="shared" si="61"/>
        <v>28</v>
      </c>
      <c r="Y138" s="20">
        <f t="shared" si="54"/>
        <v>28000</v>
      </c>
      <c r="Z138" s="42"/>
      <c r="AA138" s="20">
        <f t="shared" si="62"/>
        <v>28000</v>
      </c>
      <c r="AB138" s="20">
        <f t="shared" si="55"/>
        <v>12000</v>
      </c>
      <c r="AC138" s="20">
        <v>0</v>
      </c>
      <c r="AD138" s="20">
        <v>0</v>
      </c>
      <c r="AE138" s="20">
        <v>0</v>
      </c>
      <c r="AF138" s="20">
        <v>0</v>
      </c>
      <c r="AG138" s="20">
        <f t="shared" si="63"/>
        <v>200</v>
      </c>
      <c r="AH138" s="24"/>
      <c r="AI138" s="80">
        <v>0</v>
      </c>
      <c r="AJ138" s="24">
        <v>0</v>
      </c>
      <c r="AK138" s="24">
        <v>0</v>
      </c>
      <c r="AL138" s="24">
        <v>0</v>
      </c>
      <c r="AM138" s="25">
        <f t="shared" si="56"/>
        <v>0</v>
      </c>
      <c r="AN138" s="26">
        <f t="shared" si="64"/>
        <v>27800</v>
      </c>
      <c r="AO138" s="56"/>
      <c r="AP138" s="56"/>
      <c r="AQ138" s="51"/>
      <c r="AR138" s="56"/>
      <c r="AS138" s="56"/>
      <c r="AT138" s="57"/>
      <c r="AU138" s="58"/>
      <c r="AV138" s="53"/>
      <c r="AW138" s="54"/>
      <c r="AX138" s="51"/>
      <c r="AY138" s="51"/>
      <c r="AZ138" s="51"/>
      <c r="BA138" s="51"/>
      <c r="BC138" s="152">
        <f t="shared" si="65"/>
        <v>28000</v>
      </c>
    </row>
    <row r="139" spans="2:55" s="50" customFormat="1" ht="15" customHeight="1" x14ac:dyDescent="0.3">
      <c r="B139" s="200">
        <v>0</v>
      </c>
      <c r="C139" s="21">
        <v>34000</v>
      </c>
      <c r="D139" s="161"/>
      <c r="E139" s="30" t="s">
        <v>227</v>
      </c>
      <c r="F139" s="104"/>
      <c r="G139" s="112">
        <v>45962</v>
      </c>
      <c r="H139" s="30"/>
      <c r="I139" s="30"/>
      <c r="J139" s="41">
        <f t="shared" si="57"/>
        <v>121</v>
      </c>
      <c r="K139" s="86" t="s">
        <v>424</v>
      </c>
      <c r="L139" s="88" t="s">
        <v>425</v>
      </c>
      <c r="M139" s="33">
        <v>34000</v>
      </c>
      <c r="N139" s="20">
        <f t="shared" si="53"/>
        <v>17000</v>
      </c>
      <c r="O139" s="20">
        <f t="shared" si="66"/>
        <v>8500</v>
      </c>
      <c r="P139" s="20">
        <f t="shared" si="67"/>
        <v>4250</v>
      </c>
      <c r="Q139" s="20">
        <f t="shared" si="68"/>
        <v>4250</v>
      </c>
      <c r="R139" s="20"/>
      <c r="S139" s="20">
        <f t="shared" si="60"/>
        <v>34000</v>
      </c>
      <c r="T139" s="20"/>
      <c r="U139" s="22">
        <v>26</v>
      </c>
      <c r="V139" s="22">
        <v>4</v>
      </c>
      <c r="W139" s="22">
        <v>0</v>
      </c>
      <c r="X139" s="22">
        <f t="shared" si="61"/>
        <v>30</v>
      </c>
      <c r="Y139" s="20">
        <f t="shared" si="54"/>
        <v>34000</v>
      </c>
      <c r="Z139" s="42">
        <v>0</v>
      </c>
      <c r="AA139" s="20">
        <f t="shared" si="62"/>
        <v>34000</v>
      </c>
      <c r="AB139" s="20">
        <f t="shared" si="55"/>
        <v>14733.333333333332</v>
      </c>
      <c r="AC139" s="20">
        <v>0</v>
      </c>
      <c r="AD139" s="20">
        <v>0</v>
      </c>
      <c r="AE139" s="20">
        <v>0</v>
      </c>
      <c r="AF139" s="20">
        <v>0</v>
      </c>
      <c r="AG139" s="20">
        <f t="shared" si="63"/>
        <v>200</v>
      </c>
      <c r="AH139" s="24"/>
      <c r="AI139" s="80">
        <v>0</v>
      </c>
      <c r="AJ139" s="24">
        <v>0</v>
      </c>
      <c r="AK139" s="24">
        <v>0</v>
      </c>
      <c r="AL139" s="24">
        <v>0</v>
      </c>
      <c r="AM139" s="25">
        <f t="shared" si="56"/>
        <v>0</v>
      </c>
      <c r="AN139" s="26">
        <f t="shared" si="64"/>
        <v>33800</v>
      </c>
      <c r="AO139" s="56"/>
      <c r="AP139" s="56"/>
      <c r="AQ139" s="51"/>
      <c r="AR139" s="56"/>
      <c r="AS139" s="56"/>
      <c r="AT139" s="57"/>
      <c r="AU139" s="58"/>
      <c r="AV139" s="53"/>
      <c r="AW139" s="54"/>
      <c r="AX139" s="51"/>
      <c r="AY139" s="51"/>
      <c r="AZ139" s="51"/>
      <c r="BA139" s="51"/>
      <c r="BC139" s="152">
        <f t="shared" si="65"/>
        <v>34000</v>
      </c>
    </row>
    <row r="140" spans="2:55" s="50" customFormat="1" ht="15" customHeight="1" x14ac:dyDescent="0.3">
      <c r="B140" s="200">
        <v>0</v>
      </c>
      <c r="C140" s="21">
        <v>30000</v>
      </c>
      <c r="D140" s="161"/>
      <c r="E140" s="30" t="s">
        <v>227</v>
      </c>
      <c r="F140" s="104" t="s">
        <v>150</v>
      </c>
      <c r="G140" s="112">
        <v>45962</v>
      </c>
      <c r="H140" s="30"/>
      <c r="I140" s="30"/>
      <c r="J140" s="41">
        <f t="shared" si="57"/>
        <v>122</v>
      </c>
      <c r="K140" s="86" t="s">
        <v>424</v>
      </c>
      <c r="L140" s="30" t="s">
        <v>423</v>
      </c>
      <c r="M140" s="33">
        <v>30000</v>
      </c>
      <c r="N140" s="20">
        <f t="shared" si="53"/>
        <v>15000</v>
      </c>
      <c r="O140" s="20">
        <f t="shared" si="66"/>
        <v>7500</v>
      </c>
      <c r="P140" s="20">
        <f t="shared" si="67"/>
        <v>3750</v>
      </c>
      <c r="Q140" s="20">
        <f t="shared" si="68"/>
        <v>3750</v>
      </c>
      <c r="R140" s="20"/>
      <c r="S140" s="20">
        <f t="shared" si="60"/>
        <v>30000</v>
      </c>
      <c r="T140" s="20"/>
      <c r="U140" s="22">
        <v>26</v>
      </c>
      <c r="V140" s="22">
        <v>4</v>
      </c>
      <c r="W140" s="22">
        <v>0</v>
      </c>
      <c r="X140" s="22">
        <f t="shared" si="61"/>
        <v>30</v>
      </c>
      <c r="Y140" s="20">
        <f t="shared" si="54"/>
        <v>30000</v>
      </c>
      <c r="Z140" s="42">
        <v>0</v>
      </c>
      <c r="AA140" s="20">
        <f t="shared" si="62"/>
        <v>30000</v>
      </c>
      <c r="AB140" s="20">
        <f t="shared" si="55"/>
        <v>13000</v>
      </c>
      <c r="AC140" s="20">
        <v>0</v>
      </c>
      <c r="AD140" s="20">
        <v>0</v>
      </c>
      <c r="AE140" s="20">
        <v>0</v>
      </c>
      <c r="AF140" s="20">
        <v>0</v>
      </c>
      <c r="AG140" s="20">
        <f t="shared" si="63"/>
        <v>200</v>
      </c>
      <c r="AH140" s="24"/>
      <c r="AI140" s="80">
        <v>0</v>
      </c>
      <c r="AJ140" s="24">
        <v>0</v>
      </c>
      <c r="AK140" s="24">
        <v>0</v>
      </c>
      <c r="AL140" s="24">
        <v>0</v>
      </c>
      <c r="AM140" s="25">
        <f t="shared" si="56"/>
        <v>0</v>
      </c>
      <c r="AN140" s="26">
        <f>+AA140-(AC140+AE140+AG140+AH140+AI140+AJ140+AK140+AL140)</f>
        <v>29800</v>
      </c>
      <c r="AO140" s="56"/>
      <c r="AP140" s="56"/>
      <c r="AQ140" s="51"/>
      <c r="AR140" s="56"/>
      <c r="AS140" s="56"/>
      <c r="AT140" s="57"/>
      <c r="AU140" s="58"/>
      <c r="AV140" s="53"/>
      <c r="AW140" s="54"/>
      <c r="AX140" s="51"/>
      <c r="AY140" s="51"/>
      <c r="AZ140" s="51"/>
      <c r="BA140" s="51"/>
      <c r="BC140" s="152">
        <f>AC140+AE140+AG140+AN140</f>
        <v>30000</v>
      </c>
    </row>
    <row r="141" spans="2:55" s="50" customFormat="1" ht="15" customHeight="1" x14ac:dyDescent="0.3">
      <c r="B141" s="200">
        <v>0</v>
      </c>
      <c r="C141" s="104">
        <v>35000</v>
      </c>
      <c r="D141" s="161"/>
      <c r="E141" s="30" t="s">
        <v>227</v>
      </c>
      <c r="F141" s="104"/>
      <c r="G141" s="112">
        <v>46054</v>
      </c>
      <c r="H141" s="30"/>
      <c r="I141" s="30"/>
      <c r="J141" s="41">
        <f t="shared" si="57"/>
        <v>123</v>
      </c>
      <c r="K141" s="86" t="s">
        <v>429</v>
      </c>
      <c r="L141" s="30" t="s">
        <v>427</v>
      </c>
      <c r="M141" s="33">
        <v>35000</v>
      </c>
      <c r="N141" s="20">
        <f t="shared" si="53"/>
        <v>17500</v>
      </c>
      <c r="O141" s="20">
        <f t="shared" si="66"/>
        <v>8750</v>
      </c>
      <c r="P141" s="20">
        <f t="shared" si="67"/>
        <v>4375</v>
      </c>
      <c r="Q141" s="20">
        <f t="shared" si="68"/>
        <v>4375</v>
      </c>
      <c r="R141" s="20"/>
      <c r="S141" s="20">
        <f t="shared" si="60"/>
        <v>35000</v>
      </c>
      <c r="T141" s="20"/>
      <c r="U141" s="22">
        <v>26</v>
      </c>
      <c r="V141" s="22">
        <v>4</v>
      </c>
      <c r="W141" s="22">
        <v>0</v>
      </c>
      <c r="X141" s="22">
        <f t="shared" si="61"/>
        <v>30</v>
      </c>
      <c r="Y141" s="20">
        <f t="shared" si="54"/>
        <v>35000</v>
      </c>
      <c r="Z141" s="42">
        <v>0</v>
      </c>
      <c r="AA141" s="20">
        <f t="shared" si="62"/>
        <v>35000</v>
      </c>
      <c r="AB141" s="20">
        <f t="shared" si="55"/>
        <v>15166.666666666668</v>
      </c>
      <c r="AC141" s="20">
        <v>0</v>
      </c>
      <c r="AD141" s="20">
        <v>0</v>
      </c>
      <c r="AE141" s="20">
        <v>0</v>
      </c>
      <c r="AF141" s="20">
        <v>0</v>
      </c>
      <c r="AG141" s="20">
        <f t="shared" si="63"/>
        <v>200</v>
      </c>
      <c r="AH141" s="24"/>
      <c r="AI141" s="80">
        <v>0</v>
      </c>
      <c r="AJ141" s="24">
        <v>0</v>
      </c>
      <c r="AK141" s="24">
        <v>0</v>
      </c>
      <c r="AL141" s="24">
        <v>0</v>
      </c>
      <c r="AM141" s="25">
        <f t="shared" si="56"/>
        <v>0</v>
      </c>
      <c r="AN141" s="26">
        <f t="shared" ref="AN141:AN143" si="69">+AA141-(AC141+AE141+AG141+AH141+AI141+AJ141+AK141+AL141)</f>
        <v>34800</v>
      </c>
      <c r="AO141" s="56"/>
      <c r="AP141" s="56"/>
      <c r="AQ141" s="51"/>
      <c r="AR141" s="56"/>
      <c r="AS141" s="56"/>
      <c r="AT141" s="57"/>
      <c r="AU141" s="58"/>
      <c r="AV141" s="53"/>
      <c r="AW141" s="54"/>
      <c r="AX141" s="51"/>
      <c r="AY141" s="51"/>
      <c r="AZ141" s="51"/>
      <c r="BA141" s="51"/>
      <c r="BC141" s="152">
        <f>AC141+AE141+AG141+AN141</f>
        <v>35000</v>
      </c>
    </row>
    <row r="142" spans="2:55" s="50" customFormat="1" ht="15" customHeight="1" x14ac:dyDescent="0.3">
      <c r="B142" s="200">
        <v>0</v>
      </c>
      <c r="C142" s="104">
        <v>33000</v>
      </c>
      <c r="D142" s="161"/>
      <c r="E142" s="30" t="s">
        <v>227</v>
      </c>
      <c r="F142" s="104"/>
      <c r="G142" s="112">
        <v>46054</v>
      </c>
      <c r="H142" s="30"/>
      <c r="I142" s="30"/>
      <c r="J142" s="41">
        <f t="shared" si="57"/>
        <v>124</v>
      </c>
      <c r="K142" s="86" t="s">
        <v>429</v>
      </c>
      <c r="L142" s="30" t="s">
        <v>428</v>
      </c>
      <c r="M142" s="33">
        <v>33000</v>
      </c>
      <c r="N142" s="20">
        <f t="shared" si="53"/>
        <v>16500</v>
      </c>
      <c r="O142" s="20">
        <f t="shared" si="66"/>
        <v>8250</v>
      </c>
      <c r="P142" s="20">
        <f t="shared" si="67"/>
        <v>4125</v>
      </c>
      <c r="Q142" s="20">
        <f t="shared" si="68"/>
        <v>4125</v>
      </c>
      <c r="R142" s="20"/>
      <c r="S142" s="20">
        <f t="shared" si="60"/>
        <v>33000</v>
      </c>
      <c r="T142" s="20"/>
      <c r="U142" s="22">
        <v>23</v>
      </c>
      <c r="V142" s="22">
        <v>3</v>
      </c>
      <c r="W142" s="22">
        <v>0</v>
      </c>
      <c r="X142" s="22">
        <f t="shared" si="61"/>
        <v>26</v>
      </c>
      <c r="Y142" s="20">
        <f t="shared" si="54"/>
        <v>28600</v>
      </c>
      <c r="Z142" s="42"/>
      <c r="AA142" s="20">
        <f t="shared" si="62"/>
        <v>28600</v>
      </c>
      <c r="AB142" s="20">
        <f t="shared" si="55"/>
        <v>12650</v>
      </c>
      <c r="AC142" s="20">
        <v>0</v>
      </c>
      <c r="AD142" s="20">
        <v>0</v>
      </c>
      <c r="AE142" s="20">
        <v>0</v>
      </c>
      <c r="AF142" s="20">
        <v>0</v>
      </c>
      <c r="AG142" s="20">
        <f t="shared" si="63"/>
        <v>200</v>
      </c>
      <c r="AH142" s="24"/>
      <c r="AI142" s="80">
        <v>0</v>
      </c>
      <c r="AJ142" s="24">
        <v>0</v>
      </c>
      <c r="AK142" s="24">
        <v>0</v>
      </c>
      <c r="AL142" s="24">
        <v>0</v>
      </c>
      <c r="AM142" s="25">
        <f t="shared" si="56"/>
        <v>0</v>
      </c>
      <c r="AN142" s="26">
        <f t="shared" si="69"/>
        <v>28400</v>
      </c>
      <c r="AO142" s="56"/>
      <c r="AP142" s="56"/>
      <c r="AQ142" s="51"/>
      <c r="AR142" s="56"/>
      <c r="AS142" s="56"/>
      <c r="AT142" s="57"/>
      <c r="AU142" s="58"/>
      <c r="AV142" s="53"/>
      <c r="AW142" s="54"/>
      <c r="AX142" s="51"/>
      <c r="AY142" s="51"/>
      <c r="AZ142" s="51"/>
      <c r="BA142" s="51"/>
      <c r="BC142" s="152">
        <f t="shared" ref="BC142:BC143" si="70">AC142+AE142+AG142+AN142</f>
        <v>28600</v>
      </c>
    </row>
    <row r="143" spans="2:55" s="50" customFormat="1" ht="15" customHeight="1" x14ac:dyDescent="0.3">
      <c r="B143" s="200">
        <v>0</v>
      </c>
      <c r="C143" s="104">
        <v>70000</v>
      </c>
      <c r="D143" s="161"/>
      <c r="E143" s="16" t="s">
        <v>54</v>
      </c>
      <c r="F143" s="104" t="s">
        <v>145</v>
      </c>
      <c r="G143" s="112">
        <v>46082</v>
      </c>
      <c r="H143" s="30"/>
      <c r="I143" s="30"/>
      <c r="J143" s="41">
        <f t="shared" si="57"/>
        <v>125</v>
      </c>
      <c r="K143" s="86" t="s">
        <v>431</v>
      </c>
      <c r="L143" s="30" t="s">
        <v>430</v>
      </c>
      <c r="M143" s="33">
        <v>70000</v>
      </c>
      <c r="N143" s="20">
        <f t="shared" si="53"/>
        <v>35000</v>
      </c>
      <c r="O143" s="20">
        <f t="shared" si="66"/>
        <v>17500</v>
      </c>
      <c r="P143" s="20">
        <f t="shared" si="67"/>
        <v>8750</v>
      </c>
      <c r="Q143" s="20">
        <f t="shared" si="68"/>
        <v>8750</v>
      </c>
      <c r="R143" s="20"/>
      <c r="S143" s="20">
        <f t="shared" si="60"/>
        <v>70000</v>
      </c>
      <c r="T143" s="20"/>
      <c r="U143" s="22">
        <v>26</v>
      </c>
      <c r="V143" s="22">
        <v>4</v>
      </c>
      <c r="W143" s="22">
        <v>0</v>
      </c>
      <c r="X143" s="22">
        <f t="shared" si="61"/>
        <v>30</v>
      </c>
      <c r="Y143" s="20">
        <f t="shared" si="54"/>
        <v>70000</v>
      </c>
      <c r="Z143" s="42">
        <v>0</v>
      </c>
      <c r="AA143" s="20">
        <f t="shared" si="62"/>
        <v>70000</v>
      </c>
      <c r="AB143" s="20">
        <f t="shared" si="55"/>
        <v>30333.333333333336</v>
      </c>
      <c r="AC143" s="20">
        <v>0</v>
      </c>
      <c r="AD143" s="20">
        <v>0</v>
      </c>
      <c r="AE143" s="20">
        <v>0</v>
      </c>
      <c r="AF143" s="20">
        <v>0</v>
      </c>
      <c r="AG143" s="20">
        <f t="shared" si="63"/>
        <v>200</v>
      </c>
      <c r="AH143" s="24"/>
      <c r="AI143" s="80">
        <v>0</v>
      </c>
      <c r="AJ143" s="24">
        <v>0</v>
      </c>
      <c r="AK143" s="24">
        <v>0</v>
      </c>
      <c r="AL143" s="24">
        <v>0</v>
      </c>
      <c r="AM143" s="25">
        <f t="shared" si="56"/>
        <v>0</v>
      </c>
      <c r="AN143" s="26">
        <f t="shared" si="69"/>
        <v>69800</v>
      </c>
      <c r="AO143" s="56"/>
      <c r="AP143" s="56"/>
      <c r="AQ143" s="51"/>
      <c r="AR143" s="56"/>
      <c r="AS143" s="56"/>
      <c r="AT143" s="57"/>
      <c r="AU143" s="58"/>
      <c r="AV143" s="53"/>
      <c r="AW143" s="54"/>
      <c r="AX143" s="51"/>
      <c r="AY143" s="51"/>
      <c r="AZ143" s="51"/>
      <c r="BA143" s="51"/>
      <c r="BC143" s="152">
        <f t="shared" si="70"/>
        <v>70000</v>
      </c>
    </row>
    <row r="144" spans="2:55" s="50" customFormat="1" ht="15" customHeight="1" x14ac:dyDescent="0.3">
      <c r="B144" s="162"/>
      <c r="C144" s="104"/>
      <c r="D144" s="161"/>
      <c r="E144" s="16"/>
      <c r="F144" s="104"/>
      <c r="G144" s="112">
        <v>46113</v>
      </c>
      <c r="H144" s="30"/>
      <c r="I144" s="30"/>
      <c r="J144" s="41">
        <f t="shared" si="57"/>
        <v>126</v>
      </c>
      <c r="K144" s="86" t="s">
        <v>447</v>
      </c>
      <c r="L144" s="30" t="s">
        <v>435</v>
      </c>
      <c r="M144" s="33">
        <v>50200</v>
      </c>
      <c r="N144" s="20">
        <f t="shared" si="53"/>
        <v>25100</v>
      </c>
      <c r="O144" s="20">
        <f>ROUND((M144-N144)/2,)</f>
        <v>12550</v>
      </c>
      <c r="P144" s="20">
        <f>ROUND(O144*50%,)</f>
        <v>6275</v>
      </c>
      <c r="Q144" s="20">
        <f>ROUND(O144*50/100,)</f>
        <v>6275</v>
      </c>
      <c r="R144" s="20"/>
      <c r="S144" s="20">
        <f>N144+O144+P144+Q144+R144</f>
        <v>50200</v>
      </c>
      <c r="T144" s="20"/>
      <c r="U144" s="22">
        <v>26</v>
      </c>
      <c r="V144" s="22">
        <v>4</v>
      </c>
      <c r="W144" s="22">
        <v>0</v>
      </c>
      <c r="X144" s="22">
        <f>+U144+V144+W144</f>
        <v>30</v>
      </c>
      <c r="Y144" s="20">
        <f>+M144/30*X144</f>
        <v>50200</v>
      </c>
      <c r="Z144" s="42">
        <v>0</v>
      </c>
      <c r="AA144" s="20">
        <f>+Y144+Z144</f>
        <v>50200</v>
      </c>
      <c r="AB144" s="20">
        <f>+(N144/30)*U144</f>
        <v>21753.333333333332</v>
      </c>
      <c r="AC144" s="20">
        <v>0</v>
      </c>
      <c r="AD144" s="20">
        <v>0</v>
      </c>
      <c r="AE144" s="20">
        <v>0</v>
      </c>
      <c r="AF144" s="20">
        <v>0</v>
      </c>
      <c r="AG144" s="20">
        <f t="shared" si="63"/>
        <v>200</v>
      </c>
      <c r="AH144" s="24"/>
      <c r="AI144" s="80">
        <v>0</v>
      </c>
      <c r="AJ144" s="24">
        <v>0</v>
      </c>
      <c r="AK144" s="24">
        <v>0</v>
      </c>
      <c r="AL144" s="24">
        <v>0</v>
      </c>
      <c r="AM144" s="25">
        <f>SUM(AI144:AL144)</f>
        <v>0</v>
      </c>
      <c r="AN144" s="26">
        <f>+AA144-(AC144+AE144+AG144+AH144+AI144+AJ144+AK144+AL144)</f>
        <v>50000</v>
      </c>
      <c r="AO144" s="56"/>
      <c r="AP144" s="56"/>
      <c r="AQ144" s="51"/>
      <c r="AR144" s="56"/>
      <c r="AS144" s="56"/>
      <c r="AT144" s="57"/>
      <c r="AU144" s="58"/>
      <c r="AV144" s="53"/>
      <c r="AW144" s="54"/>
      <c r="AX144" s="51"/>
      <c r="AY144" s="51"/>
      <c r="AZ144" s="51"/>
      <c r="BA144" s="51"/>
      <c r="BC144" s="152">
        <f>AC144+AE144+AG144+AN144</f>
        <v>50200</v>
      </c>
    </row>
    <row r="145" spans="2:55" s="50" customFormat="1" ht="15" customHeight="1" x14ac:dyDescent="0.3">
      <c r="B145" s="162"/>
      <c r="C145" s="104"/>
      <c r="D145" s="161"/>
      <c r="E145" s="16"/>
      <c r="F145" s="104"/>
      <c r="G145" s="112">
        <v>46113</v>
      </c>
      <c r="H145" s="30"/>
      <c r="I145" s="30"/>
      <c r="J145" s="41">
        <f t="shared" si="57"/>
        <v>127</v>
      </c>
      <c r="K145" s="86" t="s">
        <v>447</v>
      </c>
      <c r="L145" s="30" t="s">
        <v>433</v>
      </c>
      <c r="M145" s="33">
        <v>60200</v>
      </c>
      <c r="N145" s="20">
        <f t="shared" si="53"/>
        <v>30100</v>
      </c>
      <c r="O145" s="20">
        <f>ROUND((M145-N145)/2,)</f>
        <v>15050</v>
      </c>
      <c r="P145" s="20">
        <f>ROUND(O145*50%,)</f>
        <v>7525</v>
      </c>
      <c r="Q145" s="20">
        <f>ROUND(O145*50/100,)</f>
        <v>7525</v>
      </c>
      <c r="R145" s="20"/>
      <c r="S145" s="20">
        <f>N145+O145+P145+Q145+R145</f>
        <v>60200</v>
      </c>
      <c r="T145" s="20"/>
      <c r="U145" s="22">
        <v>26</v>
      </c>
      <c r="V145" s="22">
        <v>4</v>
      </c>
      <c r="W145" s="22">
        <v>0</v>
      </c>
      <c r="X145" s="22">
        <f>+U145+V145+W145</f>
        <v>30</v>
      </c>
      <c r="Y145" s="20">
        <f>+M145/30*X145</f>
        <v>60200</v>
      </c>
      <c r="Z145" s="42">
        <v>0</v>
      </c>
      <c r="AA145" s="20">
        <f>+Y145+Z145</f>
        <v>60200</v>
      </c>
      <c r="AB145" s="20">
        <f>+(N145/30)*U145</f>
        <v>26086.666666666668</v>
      </c>
      <c r="AC145" s="20">
        <v>0</v>
      </c>
      <c r="AD145" s="20">
        <v>0</v>
      </c>
      <c r="AE145" s="20">
        <v>0</v>
      </c>
      <c r="AF145" s="20">
        <v>0</v>
      </c>
      <c r="AG145" s="20">
        <f t="shared" si="63"/>
        <v>200</v>
      </c>
      <c r="AH145" s="24"/>
      <c r="AI145" s="80">
        <v>0</v>
      </c>
      <c r="AJ145" s="24">
        <v>0</v>
      </c>
      <c r="AK145" s="24">
        <v>0</v>
      </c>
      <c r="AL145" s="24">
        <v>0</v>
      </c>
      <c r="AM145" s="25">
        <f>SUM(AI145:AL145)</f>
        <v>0</v>
      </c>
      <c r="AN145" s="26">
        <f>+AA145-(AC145+AE145+AG145+AH145+AI145+AJ145+AK145+AL145)</f>
        <v>60000</v>
      </c>
      <c r="AO145" s="56"/>
      <c r="AP145" s="56"/>
      <c r="AQ145" s="51"/>
      <c r="AR145" s="56"/>
      <c r="AS145" s="56"/>
      <c r="AT145" s="57"/>
      <c r="AU145" s="58"/>
      <c r="AV145" s="53"/>
      <c r="AW145" s="54"/>
      <c r="AX145" s="51"/>
      <c r="AY145" s="51"/>
      <c r="AZ145" s="51"/>
      <c r="BA145" s="51"/>
      <c r="BC145" s="152">
        <f>AC145+AE145+AG145+AN145</f>
        <v>60200</v>
      </c>
    </row>
    <row r="146" spans="2:55" s="50" customFormat="1" ht="15" customHeight="1" x14ac:dyDescent="0.3">
      <c r="B146" s="162"/>
      <c r="C146" s="104"/>
      <c r="D146" s="161"/>
      <c r="E146" s="16"/>
      <c r="F146" s="104"/>
      <c r="G146" s="112">
        <v>46113</v>
      </c>
      <c r="H146" s="30"/>
      <c r="I146" s="30"/>
      <c r="J146" s="41">
        <f t="shared" si="57"/>
        <v>128</v>
      </c>
      <c r="K146" s="86" t="s">
        <v>447</v>
      </c>
      <c r="L146" s="30" t="s">
        <v>434</v>
      </c>
      <c r="M146" s="33">
        <v>50200</v>
      </c>
      <c r="N146" s="20">
        <f t="shared" si="53"/>
        <v>25100</v>
      </c>
      <c r="O146" s="20">
        <f>ROUND((M146-N146)/2,)</f>
        <v>12550</v>
      </c>
      <c r="P146" s="20">
        <f>ROUND(O146*50%,)</f>
        <v>6275</v>
      </c>
      <c r="Q146" s="20">
        <f>ROUND(O146*50/100,)</f>
        <v>6275</v>
      </c>
      <c r="R146" s="20"/>
      <c r="S146" s="20">
        <f>N146+O146+P146+Q146+R146</f>
        <v>50200</v>
      </c>
      <c r="T146" s="20"/>
      <c r="U146" s="22">
        <v>26</v>
      </c>
      <c r="V146" s="22">
        <v>4</v>
      </c>
      <c r="W146" s="22">
        <v>0</v>
      </c>
      <c r="X146" s="22">
        <f>+U146+V146+W146</f>
        <v>30</v>
      </c>
      <c r="Y146" s="20">
        <f>+M146/30*X146</f>
        <v>50200</v>
      </c>
      <c r="Z146" s="42">
        <v>0</v>
      </c>
      <c r="AA146" s="20">
        <f>+Y146+Z146</f>
        <v>50200</v>
      </c>
      <c r="AB146" s="20">
        <f>+(N146/30)*U146</f>
        <v>21753.333333333332</v>
      </c>
      <c r="AC146" s="20">
        <v>0</v>
      </c>
      <c r="AD146" s="20">
        <v>0</v>
      </c>
      <c r="AE146" s="20">
        <v>0</v>
      </c>
      <c r="AF146" s="20">
        <v>0</v>
      </c>
      <c r="AG146" s="20">
        <f t="shared" si="63"/>
        <v>200</v>
      </c>
      <c r="AH146" s="24"/>
      <c r="AI146" s="80">
        <v>0</v>
      </c>
      <c r="AJ146" s="24">
        <v>0</v>
      </c>
      <c r="AK146" s="24">
        <v>0</v>
      </c>
      <c r="AL146" s="24">
        <v>0</v>
      </c>
      <c r="AM146" s="25">
        <f>SUM(AI146:AL146)</f>
        <v>0</v>
      </c>
      <c r="AN146" s="26">
        <f>+AA146-(AC146+AE146+AG146+AH146+AI146+AJ146+AK146+AL146)</f>
        <v>50000</v>
      </c>
      <c r="AO146" s="56"/>
      <c r="AP146" s="56"/>
      <c r="AQ146" s="51"/>
      <c r="AR146" s="56"/>
      <c r="AS146" s="56"/>
      <c r="AT146" s="57"/>
      <c r="AU146" s="58"/>
      <c r="AV146" s="53"/>
      <c r="AW146" s="54"/>
      <c r="AX146" s="51"/>
      <c r="AY146" s="51"/>
      <c r="AZ146" s="51"/>
      <c r="BA146" s="51"/>
      <c r="BC146" s="152">
        <f>AC146+AE146+AG146+AN146</f>
        <v>50200</v>
      </c>
    </row>
    <row r="147" spans="2:55" s="50" customFormat="1" ht="15" customHeight="1" x14ac:dyDescent="0.3">
      <c r="B147" s="162"/>
      <c r="C147" s="104"/>
      <c r="D147" s="161"/>
      <c r="E147" s="16" t="s">
        <v>265</v>
      </c>
      <c r="F147" s="104"/>
      <c r="G147" s="112">
        <v>46113</v>
      </c>
      <c r="H147" s="30"/>
      <c r="I147" s="30"/>
      <c r="J147" s="41">
        <f t="shared" si="57"/>
        <v>129</v>
      </c>
      <c r="K147" s="86" t="s">
        <v>447</v>
      </c>
      <c r="L147" s="30" t="s">
        <v>448</v>
      </c>
      <c r="M147" s="33">
        <v>50200</v>
      </c>
      <c r="N147" s="20">
        <f t="shared" si="53"/>
        <v>25100</v>
      </c>
      <c r="O147" s="20">
        <f>ROUND((M147-N147)/2,)</f>
        <v>12550</v>
      </c>
      <c r="P147" s="20">
        <f>ROUND(O147*50%,)</f>
        <v>6275</v>
      </c>
      <c r="Q147" s="20">
        <f>ROUND(O147*50/100,)</f>
        <v>6275</v>
      </c>
      <c r="R147" s="20"/>
      <c r="S147" s="20">
        <f>N147+O147+P147+Q147+R147</f>
        <v>50200</v>
      </c>
      <c r="T147" s="20"/>
      <c r="U147" s="22">
        <v>26</v>
      </c>
      <c r="V147" s="22">
        <v>4</v>
      </c>
      <c r="W147" s="22">
        <v>0</v>
      </c>
      <c r="X147" s="22">
        <f>+U147+V147+W147</f>
        <v>30</v>
      </c>
      <c r="Y147" s="20">
        <f>+M147/30*X147</f>
        <v>50200</v>
      </c>
      <c r="Z147" s="42">
        <v>0</v>
      </c>
      <c r="AA147" s="20">
        <f>+Y147+Z147</f>
        <v>50200</v>
      </c>
      <c r="AB147" s="20">
        <f>+(N147/30)*U147</f>
        <v>21753.333333333332</v>
      </c>
      <c r="AC147" s="20">
        <v>0</v>
      </c>
      <c r="AD147" s="20">
        <v>0</v>
      </c>
      <c r="AE147" s="20">
        <v>0</v>
      </c>
      <c r="AF147" s="20">
        <v>0</v>
      </c>
      <c r="AG147" s="20">
        <f t="shared" si="63"/>
        <v>200</v>
      </c>
      <c r="AH147" s="24"/>
      <c r="AI147" s="80">
        <v>0</v>
      </c>
      <c r="AJ147" s="24">
        <v>0</v>
      </c>
      <c r="AK147" s="24">
        <v>0</v>
      </c>
      <c r="AL147" s="24">
        <v>0</v>
      </c>
      <c r="AM147" s="25">
        <f>SUM(AI147:AL147)</f>
        <v>0</v>
      </c>
      <c r="AN147" s="26">
        <f>+AA147-(AC147+AE147+AG147+AH147+AI147+AJ147+AK147+AL147)</f>
        <v>50000</v>
      </c>
      <c r="AO147" s="56"/>
      <c r="AP147" s="56"/>
      <c r="AQ147" s="51"/>
      <c r="AR147" s="56"/>
      <c r="AS147" s="56"/>
      <c r="AT147" s="57"/>
      <c r="AU147" s="58"/>
      <c r="AV147" s="53"/>
      <c r="AW147" s="54"/>
      <c r="AX147" s="51"/>
      <c r="AY147" s="51"/>
      <c r="AZ147" s="51"/>
      <c r="BA147" s="51"/>
      <c r="BC147" s="152">
        <f>AC147+AE147+AG147+AN147</f>
        <v>50200</v>
      </c>
    </row>
    <row r="148" spans="2:55" s="50" customFormat="1" ht="15" customHeight="1" x14ac:dyDescent="0.3">
      <c r="B148" s="162"/>
      <c r="C148" s="104"/>
      <c r="D148" s="161"/>
      <c r="E148" s="30" t="s">
        <v>227</v>
      </c>
      <c r="F148" s="104" t="s">
        <v>150</v>
      </c>
      <c r="G148" s="112">
        <v>46113</v>
      </c>
      <c r="H148" s="30"/>
      <c r="I148" s="30"/>
      <c r="J148" s="41">
        <f t="shared" si="57"/>
        <v>130</v>
      </c>
      <c r="K148" s="86" t="s">
        <v>447</v>
      </c>
      <c r="L148" s="30" t="s">
        <v>443</v>
      </c>
      <c r="M148" s="33">
        <v>31500</v>
      </c>
      <c r="N148" s="20">
        <f t="shared" ref="N148:N156" si="71">ROUND(IF((M148*50%)&lt;13897,13897,(M148*50/100)),)</f>
        <v>15750</v>
      </c>
      <c r="O148" s="20">
        <f t="shared" ref="O148:O156" si="72">ROUND((M148-N148)/2,)</f>
        <v>7875</v>
      </c>
      <c r="P148" s="20">
        <f t="shared" ref="P148:P156" si="73">ROUND(O148*50%,)</f>
        <v>3938</v>
      </c>
      <c r="Q148" s="20">
        <f t="shared" ref="Q148:Q156" si="74">ROUND(O148*50/100,)</f>
        <v>3938</v>
      </c>
      <c r="R148" s="20"/>
      <c r="S148" s="20">
        <f t="shared" ref="S148:S156" si="75">N148+O148+P148+Q148+R148</f>
        <v>31501</v>
      </c>
      <c r="T148" s="20"/>
      <c r="U148" s="22">
        <v>24</v>
      </c>
      <c r="V148" s="22">
        <v>3</v>
      </c>
      <c r="W148" s="22">
        <v>0</v>
      </c>
      <c r="X148" s="22">
        <f t="shared" ref="X148:X164" si="76">+U148+V148+W148</f>
        <v>27</v>
      </c>
      <c r="Y148" s="20">
        <f t="shared" ref="Y148:Y159" si="77">+M148/30*X148</f>
        <v>28350</v>
      </c>
      <c r="Z148" s="42">
        <v>0</v>
      </c>
      <c r="AA148" s="20">
        <f t="shared" ref="AA148:AA159" si="78">+Y148+Z148</f>
        <v>28350</v>
      </c>
      <c r="AB148" s="20">
        <f t="shared" ref="AB148:AB159" si="79">+(N148/30)*U148</f>
        <v>12600</v>
      </c>
      <c r="AC148" s="20">
        <v>0</v>
      </c>
      <c r="AD148" s="20">
        <v>0</v>
      </c>
      <c r="AE148" s="20">
        <v>0</v>
      </c>
      <c r="AF148" s="20">
        <v>0</v>
      </c>
      <c r="AG148" s="20">
        <f t="shared" si="63"/>
        <v>200</v>
      </c>
      <c r="AH148" s="24"/>
      <c r="AI148" s="80">
        <v>0</v>
      </c>
      <c r="AJ148" s="24">
        <v>0</v>
      </c>
      <c r="AK148" s="24">
        <v>0</v>
      </c>
      <c r="AL148" s="24">
        <v>0</v>
      </c>
      <c r="AM148" s="25">
        <f t="shared" ref="AM148:AM160" si="80">SUM(AI148:AL148)</f>
        <v>0</v>
      </c>
      <c r="AN148" s="26">
        <f t="shared" ref="AN148:AN160" si="81">+AA148-(AC148+AE148+AG148+AH148+AI148+AJ148+AK148+AL148)</f>
        <v>28150</v>
      </c>
      <c r="AO148" s="56"/>
      <c r="AP148" s="56"/>
      <c r="AQ148" s="51"/>
      <c r="AR148" s="56"/>
      <c r="AS148" s="56"/>
      <c r="AT148" s="57"/>
      <c r="AU148" s="58"/>
      <c r="AV148" s="53"/>
      <c r="AW148" s="54"/>
      <c r="AX148" s="51"/>
      <c r="AY148" s="51"/>
      <c r="AZ148" s="51"/>
      <c r="BA148" s="51"/>
      <c r="BC148" s="152">
        <f t="shared" ref="BC148:BC160" si="82">AC148+AE148+AG148+AN148</f>
        <v>28350</v>
      </c>
    </row>
    <row r="149" spans="2:55" s="50" customFormat="1" ht="15" customHeight="1" x14ac:dyDescent="0.3">
      <c r="B149" s="162"/>
      <c r="C149" s="104"/>
      <c r="D149" s="161"/>
      <c r="E149" s="16" t="s">
        <v>187</v>
      </c>
      <c r="F149" s="104" t="s">
        <v>150</v>
      </c>
      <c r="G149" s="112">
        <v>46113</v>
      </c>
      <c r="H149" s="30"/>
      <c r="I149" s="30"/>
      <c r="J149" s="41">
        <f t="shared" ref="J149:J156" si="83">J148+1</f>
        <v>131</v>
      </c>
      <c r="K149" s="86" t="s">
        <v>447</v>
      </c>
      <c r="L149" s="30" t="s">
        <v>450</v>
      </c>
      <c r="M149" s="33">
        <v>23000</v>
      </c>
      <c r="N149" s="20">
        <f t="shared" si="71"/>
        <v>13897</v>
      </c>
      <c r="O149" s="20">
        <f t="shared" si="72"/>
        <v>4552</v>
      </c>
      <c r="P149" s="20">
        <f t="shared" si="73"/>
        <v>2276</v>
      </c>
      <c r="Q149" s="20">
        <f t="shared" si="74"/>
        <v>2276</v>
      </c>
      <c r="R149" s="20"/>
      <c r="S149" s="20">
        <f t="shared" si="75"/>
        <v>23001</v>
      </c>
      <c r="T149" s="20"/>
      <c r="U149" s="22">
        <v>26</v>
      </c>
      <c r="V149" s="22">
        <v>4</v>
      </c>
      <c r="W149" s="22">
        <v>0</v>
      </c>
      <c r="X149" s="22">
        <f t="shared" si="76"/>
        <v>30</v>
      </c>
      <c r="Y149" s="20">
        <f t="shared" si="77"/>
        <v>23000</v>
      </c>
      <c r="Z149" s="42">
        <v>0</v>
      </c>
      <c r="AA149" s="20">
        <f t="shared" si="78"/>
        <v>23000</v>
      </c>
      <c r="AB149" s="20">
        <f t="shared" si="79"/>
        <v>12044.066666666668</v>
      </c>
      <c r="AC149" s="20">
        <v>0</v>
      </c>
      <c r="AD149" s="20">
        <v>0</v>
      </c>
      <c r="AE149" s="20">
        <v>0</v>
      </c>
      <c r="AF149" s="20">
        <v>0</v>
      </c>
      <c r="AG149" s="20">
        <f t="shared" si="63"/>
        <v>200</v>
      </c>
      <c r="AH149" s="24"/>
      <c r="AI149" s="80">
        <v>0</v>
      </c>
      <c r="AJ149" s="24">
        <v>0</v>
      </c>
      <c r="AK149" s="24">
        <v>0</v>
      </c>
      <c r="AL149" s="24">
        <v>0</v>
      </c>
      <c r="AM149" s="25">
        <f t="shared" si="80"/>
        <v>0</v>
      </c>
      <c r="AN149" s="26">
        <f t="shared" si="81"/>
        <v>22800</v>
      </c>
      <c r="AO149" s="56"/>
      <c r="AP149" s="56"/>
      <c r="AQ149" s="51"/>
      <c r="AR149" s="56"/>
      <c r="AS149" s="56"/>
      <c r="AT149" s="57"/>
      <c r="AU149" s="58"/>
      <c r="AV149" s="53"/>
      <c r="AW149" s="54"/>
      <c r="AX149" s="51"/>
      <c r="AY149" s="51"/>
      <c r="AZ149" s="51"/>
      <c r="BA149" s="51"/>
      <c r="BC149" s="152">
        <f t="shared" si="82"/>
        <v>23000</v>
      </c>
    </row>
    <row r="150" spans="2:55" s="50" customFormat="1" ht="15" customHeight="1" x14ac:dyDescent="0.3">
      <c r="B150" s="162"/>
      <c r="C150" s="104"/>
      <c r="D150" s="161"/>
      <c r="E150" s="16" t="s">
        <v>187</v>
      </c>
      <c r="F150" s="104" t="s">
        <v>150</v>
      </c>
      <c r="G150" s="112">
        <v>46113</v>
      </c>
      <c r="H150" s="30"/>
      <c r="I150" s="30"/>
      <c r="J150" s="41">
        <f t="shared" si="83"/>
        <v>132</v>
      </c>
      <c r="K150" s="86" t="s">
        <v>447</v>
      </c>
      <c r="L150" s="30" t="s">
        <v>451</v>
      </c>
      <c r="M150" s="33">
        <v>30000</v>
      </c>
      <c r="N150" s="20">
        <f t="shared" si="71"/>
        <v>15000</v>
      </c>
      <c r="O150" s="20">
        <f t="shared" si="72"/>
        <v>7500</v>
      </c>
      <c r="P150" s="20">
        <f t="shared" si="73"/>
        <v>3750</v>
      </c>
      <c r="Q150" s="20">
        <f t="shared" si="74"/>
        <v>3750</v>
      </c>
      <c r="R150" s="20"/>
      <c r="S150" s="20">
        <f t="shared" si="75"/>
        <v>30000</v>
      </c>
      <c r="T150" s="20"/>
      <c r="U150" s="22">
        <v>25</v>
      </c>
      <c r="V150" s="22">
        <v>4</v>
      </c>
      <c r="W150" s="22">
        <v>0</v>
      </c>
      <c r="X150" s="22">
        <f t="shared" si="76"/>
        <v>29</v>
      </c>
      <c r="Y150" s="20">
        <f t="shared" si="77"/>
        <v>29000</v>
      </c>
      <c r="Z150" s="42">
        <v>0</v>
      </c>
      <c r="AA150" s="20">
        <f t="shared" si="78"/>
        <v>29000</v>
      </c>
      <c r="AB150" s="20">
        <f t="shared" si="79"/>
        <v>12500</v>
      </c>
      <c r="AC150" s="20">
        <v>0</v>
      </c>
      <c r="AD150" s="20">
        <v>0</v>
      </c>
      <c r="AE150" s="20">
        <v>0</v>
      </c>
      <c r="AF150" s="20">
        <v>0</v>
      </c>
      <c r="AG150" s="20">
        <f t="shared" si="63"/>
        <v>200</v>
      </c>
      <c r="AH150" s="24"/>
      <c r="AI150" s="80">
        <v>0</v>
      </c>
      <c r="AJ150" s="24">
        <v>0</v>
      </c>
      <c r="AK150" s="24">
        <v>0</v>
      </c>
      <c r="AL150" s="24">
        <v>0</v>
      </c>
      <c r="AM150" s="25">
        <f t="shared" si="80"/>
        <v>0</v>
      </c>
      <c r="AN150" s="26">
        <f t="shared" si="81"/>
        <v>28800</v>
      </c>
      <c r="AO150" s="56"/>
      <c r="AP150" s="56"/>
      <c r="AQ150" s="51"/>
      <c r="AR150" s="56"/>
      <c r="AS150" s="56"/>
      <c r="AT150" s="57"/>
      <c r="AU150" s="58"/>
      <c r="AV150" s="53"/>
      <c r="AW150" s="54"/>
      <c r="AX150" s="51"/>
      <c r="AY150" s="51"/>
      <c r="AZ150" s="51"/>
      <c r="BA150" s="51"/>
      <c r="BC150" s="152">
        <f t="shared" si="82"/>
        <v>29000</v>
      </c>
    </row>
    <row r="151" spans="2:55" s="50" customFormat="1" ht="15" customHeight="1" x14ac:dyDescent="0.3">
      <c r="B151" s="162"/>
      <c r="C151" s="104"/>
      <c r="D151" s="161"/>
      <c r="E151" s="16" t="s">
        <v>187</v>
      </c>
      <c r="F151" s="104" t="s">
        <v>150</v>
      </c>
      <c r="G151" s="112">
        <v>46113</v>
      </c>
      <c r="H151" s="30"/>
      <c r="I151" s="30"/>
      <c r="J151" s="41">
        <f t="shared" si="83"/>
        <v>133</v>
      </c>
      <c r="K151" s="86" t="s">
        <v>447</v>
      </c>
      <c r="L151" s="30" t="s">
        <v>449</v>
      </c>
      <c r="M151" s="33">
        <v>30000</v>
      </c>
      <c r="N151" s="20">
        <f t="shared" si="71"/>
        <v>15000</v>
      </c>
      <c r="O151" s="20">
        <f t="shared" si="72"/>
        <v>7500</v>
      </c>
      <c r="P151" s="20">
        <f t="shared" si="73"/>
        <v>3750</v>
      </c>
      <c r="Q151" s="20">
        <f t="shared" si="74"/>
        <v>3750</v>
      </c>
      <c r="R151" s="20"/>
      <c r="S151" s="20">
        <f t="shared" si="75"/>
        <v>30000</v>
      </c>
      <c r="T151" s="20"/>
      <c r="U151" s="22">
        <v>26</v>
      </c>
      <c r="V151" s="22">
        <v>4</v>
      </c>
      <c r="W151" s="22">
        <v>0</v>
      </c>
      <c r="X151" s="22">
        <f t="shared" si="76"/>
        <v>30</v>
      </c>
      <c r="Y151" s="20">
        <f t="shared" si="77"/>
        <v>30000</v>
      </c>
      <c r="Z151" s="42">
        <v>0</v>
      </c>
      <c r="AA151" s="20">
        <f t="shared" si="78"/>
        <v>30000</v>
      </c>
      <c r="AB151" s="20">
        <f t="shared" si="79"/>
        <v>13000</v>
      </c>
      <c r="AC151" s="20">
        <v>0</v>
      </c>
      <c r="AD151" s="20">
        <v>0</v>
      </c>
      <c r="AE151" s="20">
        <v>0</v>
      </c>
      <c r="AF151" s="20">
        <v>0</v>
      </c>
      <c r="AG151" s="20">
        <f t="shared" si="63"/>
        <v>200</v>
      </c>
      <c r="AH151" s="24"/>
      <c r="AI151" s="80">
        <v>0</v>
      </c>
      <c r="AJ151" s="24">
        <v>0</v>
      </c>
      <c r="AK151" s="24">
        <v>0</v>
      </c>
      <c r="AL151" s="24">
        <v>0</v>
      </c>
      <c r="AM151" s="25">
        <f t="shared" si="80"/>
        <v>0</v>
      </c>
      <c r="AN151" s="26">
        <f t="shared" si="81"/>
        <v>29800</v>
      </c>
      <c r="AO151" s="56"/>
      <c r="AP151" s="56"/>
      <c r="AQ151" s="51"/>
      <c r="AR151" s="56"/>
      <c r="AS151" s="56"/>
      <c r="AT151" s="57"/>
      <c r="AU151" s="58"/>
      <c r="AV151" s="53"/>
      <c r="AW151" s="54"/>
      <c r="AX151" s="51"/>
      <c r="AY151" s="51"/>
      <c r="AZ151" s="51"/>
      <c r="BA151" s="51"/>
      <c r="BC151" s="152">
        <f t="shared" si="82"/>
        <v>30000</v>
      </c>
    </row>
    <row r="152" spans="2:55" s="50" customFormat="1" ht="15" customHeight="1" x14ac:dyDescent="0.3">
      <c r="B152" s="162"/>
      <c r="C152" s="104"/>
      <c r="D152" s="161"/>
      <c r="E152" s="30" t="s">
        <v>71</v>
      </c>
      <c r="F152" s="104" t="s">
        <v>150</v>
      </c>
      <c r="G152" s="112">
        <v>46113</v>
      </c>
      <c r="H152" s="30"/>
      <c r="I152" s="30"/>
      <c r="J152" s="41">
        <f t="shared" si="83"/>
        <v>134</v>
      </c>
      <c r="K152" s="86" t="s">
        <v>447</v>
      </c>
      <c r="L152" s="30" t="s">
        <v>444</v>
      </c>
      <c r="M152" s="33">
        <v>27500</v>
      </c>
      <c r="N152" s="20">
        <f t="shared" si="71"/>
        <v>13897</v>
      </c>
      <c r="O152" s="20">
        <f t="shared" si="72"/>
        <v>6802</v>
      </c>
      <c r="P152" s="20">
        <f t="shared" si="73"/>
        <v>3401</v>
      </c>
      <c r="Q152" s="20">
        <f t="shared" si="74"/>
        <v>3401</v>
      </c>
      <c r="R152" s="20"/>
      <c r="S152" s="20">
        <f t="shared" si="75"/>
        <v>27501</v>
      </c>
      <c r="T152" s="20"/>
      <c r="U152" s="22">
        <v>24</v>
      </c>
      <c r="V152" s="22">
        <v>4</v>
      </c>
      <c r="W152" s="22">
        <v>0</v>
      </c>
      <c r="X152" s="22">
        <f t="shared" si="76"/>
        <v>28</v>
      </c>
      <c r="Y152" s="20">
        <f t="shared" si="77"/>
        <v>25666.666666666664</v>
      </c>
      <c r="Z152" s="42">
        <v>0</v>
      </c>
      <c r="AA152" s="20">
        <f t="shared" si="78"/>
        <v>25666.666666666664</v>
      </c>
      <c r="AB152" s="20">
        <f t="shared" si="79"/>
        <v>11117.6</v>
      </c>
      <c r="AC152" s="20">
        <v>0</v>
      </c>
      <c r="AD152" s="20">
        <v>0</v>
      </c>
      <c r="AE152" s="20">
        <v>0</v>
      </c>
      <c r="AF152" s="20">
        <v>0</v>
      </c>
      <c r="AG152" s="20">
        <f t="shared" si="63"/>
        <v>200</v>
      </c>
      <c r="AH152" s="24"/>
      <c r="AI152" s="80">
        <v>0</v>
      </c>
      <c r="AJ152" s="24">
        <v>0</v>
      </c>
      <c r="AK152" s="24">
        <v>0</v>
      </c>
      <c r="AL152" s="24">
        <v>0</v>
      </c>
      <c r="AM152" s="25">
        <f t="shared" si="80"/>
        <v>0</v>
      </c>
      <c r="AN152" s="26">
        <f t="shared" si="81"/>
        <v>25466.666666666664</v>
      </c>
      <c r="AO152" s="56"/>
      <c r="AP152" s="56"/>
      <c r="AQ152" s="51"/>
      <c r="AR152" s="56"/>
      <c r="AS152" s="56"/>
      <c r="AT152" s="57"/>
      <c r="AU152" s="58"/>
      <c r="AV152" s="53"/>
      <c r="AW152" s="54"/>
      <c r="AX152" s="51"/>
      <c r="AY152" s="51"/>
      <c r="AZ152" s="51"/>
      <c r="BA152" s="51"/>
      <c r="BC152" s="152">
        <f t="shared" si="82"/>
        <v>25666.666666666664</v>
      </c>
    </row>
    <row r="153" spans="2:55" s="50" customFormat="1" ht="15" customHeight="1" x14ac:dyDescent="0.3">
      <c r="B153" s="162"/>
      <c r="C153" s="104"/>
      <c r="D153" s="161"/>
      <c r="E153" s="30" t="s">
        <v>71</v>
      </c>
      <c r="F153" s="104" t="s">
        <v>453</v>
      </c>
      <c r="G153" s="112">
        <v>46113</v>
      </c>
      <c r="H153" s="30"/>
      <c r="I153" s="30"/>
      <c r="J153" s="41">
        <f t="shared" si="83"/>
        <v>135</v>
      </c>
      <c r="K153" s="86" t="s">
        <v>447</v>
      </c>
      <c r="L153" s="30" t="s">
        <v>437</v>
      </c>
      <c r="M153" s="33">
        <v>85000</v>
      </c>
      <c r="N153" s="20">
        <f t="shared" si="71"/>
        <v>42500</v>
      </c>
      <c r="O153" s="20">
        <f t="shared" si="72"/>
        <v>21250</v>
      </c>
      <c r="P153" s="20">
        <f t="shared" si="73"/>
        <v>10625</v>
      </c>
      <c r="Q153" s="20">
        <f t="shared" si="74"/>
        <v>10625</v>
      </c>
      <c r="R153" s="20"/>
      <c r="S153" s="20">
        <f t="shared" si="75"/>
        <v>85000</v>
      </c>
      <c r="T153" s="20"/>
      <c r="U153" s="22">
        <v>26</v>
      </c>
      <c r="V153" s="22">
        <v>4</v>
      </c>
      <c r="W153" s="22">
        <v>0</v>
      </c>
      <c r="X153" s="22">
        <f t="shared" si="76"/>
        <v>30</v>
      </c>
      <c r="Y153" s="20">
        <f t="shared" si="77"/>
        <v>85000</v>
      </c>
      <c r="Z153" s="42">
        <v>0</v>
      </c>
      <c r="AA153" s="20">
        <f t="shared" si="78"/>
        <v>85000</v>
      </c>
      <c r="AB153" s="20">
        <f t="shared" si="79"/>
        <v>36833.333333333336</v>
      </c>
      <c r="AC153" s="20">
        <v>0</v>
      </c>
      <c r="AD153" s="20">
        <v>0</v>
      </c>
      <c r="AE153" s="20">
        <v>0</v>
      </c>
      <c r="AF153" s="20">
        <v>0</v>
      </c>
      <c r="AG153" s="20">
        <f t="shared" si="63"/>
        <v>200</v>
      </c>
      <c r="AH153" s="24"/>
      <c r="AI153" s="80">
        <v>0</v>
      </c>
      <c r="AJ153" s="24">
        <v>0</v>
      </c>
      <c r="AK153" s="24">
        <v>0</v>
      </c>
      <c r="AL153" s="24">
        <v>0</v>
      </c>
      <c r="AM153" s="25">
        <f t="shared" si="80"/>
        <v>0</v>
      </c>
      <c r="AN153" s="26">
        <f t="shared" si="81"/>
        <v>84800</v>
      </c>
      <c r="AO153" s="56"/>
      <c r="AP153" s="56"/>
      <c r="AQ153" s="51"/>
      <c r="AR153" s="56"/>
      <c r="AS153" s="56"/>
      <c r="AT153" s="57"/>
      <c r="AU153" s="58"/>
      <c r="AV153" s="53"/>
      <c r="AW153" s="54"/>
      <c r="AX153" s="51"/>
      <c r="AY153" s="51"/>
      <c r="AZ153" s="51"/>
      <c r="BA153" s="51"/>
      <c r="BC153" s="152">
        <f t="shared" si="82"/>
        <v>85000</v>
      </c>
    </row>
    <row r="154" spans="2:55" s="50" customFormat="1" ht="15" customHeight="1" x14ac:dyDescent="0.3">
      <c r="B154" s="162"/>
      <c r="C154" s="104"/>
      <c r="D154" s="161"/>
      <c r="E154" s="30" t="s">
        <v>90</v>
      </c>
      <c r="F154" s="104" t="s">
        <v>150</v>
      </c>
      <c r="G154" s="112">
        <v>46113</v>
      </c>
      <c r="H154" s="30"/>
      <c r="I154" s="30"/>
      <c r="J154" s="41">
        <f t="shared" si="83"/>
        <v>136</v>
      </c>
      <c r="K154" s="86" t="s">
        <v>447</v>
      </c>
      <c r="L154" s="30" t="s">
        <v>445</v>
      </c>
      <c r="M154" s="33">
        <v>24000</v>
      </c>
      <c r="N154" s="20">
        <f t="shared" si="71"/>
        <v>13897</v>
      </c>
      <c r="O154" s="20">
        <f t="shared" si="72"/>
        <v>5052</v>
      </c>
      <c r="P154" s="20">
        <f t="shared" si="73"/>
        <v>2526</v>
      </c>
      <c r="Q154" s="20">
        <f t="shared" si="74"/>
        <v>2526</v>
      </c>
      <c r="R154" s="20"/>
      <c r="S154" s="20">
        <f t="shared" si="75"/>
        <v>24001</v>
      </c>
      <c r="T154" s="20"/>
      <c r="U154" s="22">
        <v>26</v>
      </c>
      <c r="V154" s="22">
        <v>4</v>
      </c>
      <c r="W154" s="22">
        <v>0</v>
      </c>
      <c r="X154" s="22">
        <f t="shared" si="76"/>
        <v>30</v>
      </c>
      <c r="Y154" s="20">
        <f t="shared" si="77"/>
        <v>24000</v>
      </c>
      <c r="Z154" s="42">
        <v>0</v>
      </c>
      <c r="AA154" s="20">
        <f t="shared" si="78"/>
        <v>24000</v>
      </c>
      <c r="AB154" s="20">
        <f t="shared" si="79"/>
        <v>12044.066666666668</v>
      </c>
      <c r="AC154" s="20">
        <v>0</v>
      </c>
      <c r="AD154" s="20">
        <v>0</v>
      </c>
      <c r="AE154" s="20">
        <v>0</v>
      </c>
      <c r="AF154" s="20">
        <v>0</v>
      </c>
      <c r="AG154" s="20">
        <f t="shared" si="63"/>
        <v>200</v>
      </c>
      <c r="AH154" s="24"/>
      <c r="AI154" s="80">
        <v>0</v>
      </c>
      <c r="AJ154" s="24">
        <v>0</v>
      </c>
      <c r="AK154" s="24">
        <v>0</v>
      </c>
      <c r="AL154" s="24">
        <v>0</v>
      </c>
      <c r="AM154" s="25">
        <f t="shared" si="80"/>
        <v>0</v>
      </c>
      <c r="AN154" s="26">
        <f t="shared" si="81"/>
        <v>23800</v>
      </c>
      <c r="AO154" s="56"/>
      <c r="AP154" s="56"/>
      <c r="AQ154" s="51"/>
      <c r="AR154" s="56"/>
      <c r="AS154" s="56"/>
      <c r="AT154" s="57"/>
      <c r="AU154" s="58"/>
      <c r="AV154" s="53"/>
      <c r="AW154" s="54"/>
      <c r="AX154" s="51"/>
      <c r="AY154" s="51"/>
      <c r="AZ154" s="51"/>
      <c r="BA154" s="51"/>
      <c r="BC154" s="152">
        <f t="shared" si="82"/>
        <v>24000</v>
      </c>
    </row>
    <row r="155" spans="2:55" s="50" customFormat="1" ht="15" customHeight="1" x14ac:dyDescent="0.3">
      <c r="B155" s="162"/>
      <c r="C155" s="104"/>
      <c r="D155" s="161"/>
      <c r="E155" s="16" t="s">
        <v>114</v>
      </c>
      <c r="F155" s="104" t="s">
        <v>420</v>
      </c>
      <c r="G155" s="112">
        <v>46113</v>
      </c>
      <c r="H155" s="30"/>
      <c r="I155" s="30"/>
      <c r="J155" s="41">
        <f t="shared" si="83"/>
        <v>137</v>
      </c>
      <c r="K155" s="86" t="s">
        <v>447</v>
      </c>
      <c r="L155" s="30" t="s">
        <v>452</v>
      </c>
      <c r="M155" s="33">
        <v>35000</v>
      </c>
      <c r="N155" s="20">
        <f t="shared" si="71"/>
        <v>17500</v>
      </c>
      <c r="O155" s="20">
        <f t="shared" si="72"/>
        <v>8750</v>
      </c>
      <c r="P155" s="20">
        <f t="shared" si="73"/>
        <v>4375</v>
      </c>
      <c r="Q155" s="20">
        <f t="shared" si="74"/>
        <v>4375</v>
      </c>
      <c r="R155" s="20"/>
      <c r="S155" s="20">
        <f t="shared" si="75"/>
        <v>35000</v>
      </c>
      <c r="T155" s="20"/>
      <c r="U155" s="22">
        <v>26</v>
      </c>
      <c r="V155" s="22">
        <v>4</v>
      </c>
      <c r="W155" s="22">
        <v>0</v>
      </c>
      <c r="X155" s="22">
        <f t="shared" si="76"/>
        <v>30</v>
      </c>
      <c r="Y155" s="20">
        <f t="shared" si="77"/>
        <v>35000</v>
      </c>
      <c r="Z155" s="42">
        <v>0</v>
      </c>
      <c r="AA155" s="20">
        <f t="shared" si="78"/>
        <v>35000</v>
      </c>
      <c r="AB155" s="20">
        <f t="shared" si="79"/>
        <v>15166.666666666668</v>
      </c>
      <c r="AC155" s="20">
        <v>0</v>
      </c>
      <c r="AD155" s="20">
        <v>0</v>
      </c>
      <c r="AE155" s="20">
        <v>0</v>
      </c>
      <c r="AF155" s="20">
        <v>0</v>
      </c>
      <c r="AG155" s="20">
        <f t="shared" si="63"/>
        <v>200</v>
      </c>
      <c r="AH155" s="24"/>
      <c r="AI155" s="80">
        <v>0</v>
      </c>
      <c r="AJ155" s="24">
        <v>0</v>
      </c>
      <c r="AK155" s="24">
        <v>0</v>
      </c>
      <c r="AL155" s="24">
        <v>0</v>
      </c>
      <c r="AM155" s="25">
        <f t="shared" si="80"/>
        <v>0</v>
      </c>
      <c r="AN155" s="26">
        <f t="shared" si="81"/>
        <v>34800</v>
      </c>
      <c r="AO155" s="56"/>
      <c r="AP155" s="56"/>
      <c r="AQ155" s="51"/>
      <c r="AR155" s="56"/>
      <c r="AS155" s="56"/>
      <c r="AT155" s="57"/>
      <c r="AU155" s="58"/>
      <c r="AV155" s="53"/>
      <c r="AW155" s="54"/>
      <c r="AX155" s="51"/>
      <c r="AY155" s="51"/>
      <c r="AZ155" s="51"/>
      <c r="BA155" s="51"/>
      <c r="BC155" s="152">
        <f t="shared" si="82"/>
        <v>35000</v>
      </c>
    </row>
    <row r="156" spans="2:55" s="50" customFormat="1" ht="15" customHeight="1" x14ac:dyDescent="0.3">
      <c r="B156" s="162"/>
      <c r="C156" s="104"/>
      <c r="D156" s="161"/>
      <c r="E156" s="16" t="s">
        <v>114</v>
      </c>
      <c r="F156" s="104" t="s">
        <v>420</v>
      </c>
      <c r="G156" s="112">
        <v>46113</v>
      </c>
      <c r="H156" s="30"/>
      <c r="I156" s="30"/>
      <c r="J156" s="41">
        <f t="shared" si="83"/>
        <v>138</v>
      </c>
      <c r="K156" s="86" t="s">
        <v>447</v>
      </c>
      <c r="L156" s="30" t="s">
        <v>446</v>
      </c>
      <c r="M156" s="33">
        <v>35000</v>
      </c>
      <c r="N156" s="20">
        <f t="shared" si="71"/>
        <v>17500</v>
      </c>
      <c r="O156" s="20">
        <f t="shared" si="72"/>
        <v>8750</v>
      </c>
      <c r="P156" s="20">
        <f t="shared" si="73"/>
        <v>4375</v>
      </c>
      <c r="Q156" s="20">
        <f t="shared" si="74"/>
        <v>4375</v>
      </c>
      <c r="R156" s="20"/>
      <c r="S156" s="20">
        <f t="shared" si="75"/>
        <v>35000</v>
      </c>
      <c r="T156" s="20"/>
      <c r="U156" s="22">
        <v>13</v>
      </c>
      <c r="V156" s="22">
        <v>2</v>
      </c>
      <c r="W156" s="22">
        <v>0</v>
      </c>
      <c r="X156" s="22">
        <f t="shared" si="76"/>
        <v>15</v>
      </c>
      <c r="Y156" s="20">
        <f t="shared" si="77"/>
        <v>17500</v>
      </c>
      <c r="Z156" s="42">
        <v>0</v>
      </c>
      <c r="AA156" s="20">
        <f t="shared" si="78"/>
        <v>17500</v>
      </c>
      <c r="AB156" s="20">
        <f t="shared" si="79"/>
        <v>7583.3333333333339</v>
      </c>
      <c r="AC156" s="20">
        <v>0</v>
      </c>
      <c r="AD156" s="20">
        <v>0</v>
      </c>
      <c r="AE156" s="20">
        <v>0</v>
      </c>
      <c r="AF156" s="20">
        <v>0</v>
      </c>
      <c r="AG156" s="20">
        <f t="shared" si="63"/>
        <v>200</v>
      </c>
      <c r="AH156" s="24"/>
      <c r="AI156" s="80">
        <v>0</v>
      </c>
      <c r="AJ156" s="24">
        <v>0</v>
      </c>
      <c r="AK156" s="24">
        <v>0</v>
      </c>
      <c r="AL156" s="24">
        <v>0</v>
      </c>
      <c r="AM156" s="25">
        <f t="shared" si="80"/>
        <v>0</v>
      </c>
      <c r="AN156" s="26">
        <f t="shared" si="81"/>
        <v>17300</v>
      </c>
      <c r="AO156" s="56"/>
      <c r="AP156" s="56"/>
      <c r="AQ156" s="51"/>
      <c r="AR156" s="56"/>
      <c r="AS156" s="56"/>
      <c r="AT156" s="57"/>
      <c r="AU156" s="58"/>
      <c r="AV156" s="53"/>
      <c r="AW156" s="54"/>
      <c r="AX156" s="51"/>
      <c r="AY156" s="51"/>
      <c r="AZ156" s="51"/>
      <c r="BA156" s="51"/>
      <c r="BC156" s="152">
        <f t="shared" si="82"/>
        <v>17500</v>
      </c>
    </row>
    <row r="157" spans="2:55" s="50" customFormat="1" ht="15" customHeight="1" x14ac:dyDescent="0.3">
      <c r="B157" s="162"/>
      <c r="C157" s="104"/>
      <c r="D157" s="161"/>
      <c r="E157" s="16"/>
      <c r="F157" s="104"/>
      <c r="G157" s="112"/>
      <c r="H157" s="30"/>
      <c r="I157" s="30"/>
      <c r="J157" s="41"/>
      <c r="K157" s="86"/>
      <c r="L157" s="30"/>
      <c r="M157" s="33"/>
      <c r="N157" s="20"/>
      <c r="O157" s="20"/>
      <c r="P157" s="20"/>
      <c r="Q157" s="20"/>
      <c r="R157" s="20"/>
      <c r="S157" s="20"/>
      <c r="T157" s="20"/>
      <c r="U157" s="22"/>
      <c r="V157" s="22"/>
      <c r="W157" s="22"/>
      <c r="X157" s="22">
        <f t="shared" si="76"/>
        <v>0</v>
      </c>
      <c r="Y157" s="20">
        <f t="shared" si="77"/>
        <v>0</v>
      </c>
      <c r="Z157" s="42"/>
      <c r="AA157" s="20">
        <f t="shared" si="78"/>
        <v>0</v>
      </c>
      <c r="AB157" s="20">
        <f t="shared" si="79"/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f t="shared" si="63"/>
        <v>0</v>
      </c>
      <c r="AH157" s="24"/>
      <c r="AI157" s="80">
        <v>0</v>
      </c>
      <c r="AJ157" s="24">
        <v>0</v>
      </c>
      <c r="AK157" s="24">
        <v>0</v>
      </c>
      <c r="AL157" s="24">
        <v>0</v>
      </c>
      <c r="AM157" s="25">
        <f t="shared" si="80"/>
        <v>0</v>
      </c>
      <c r="AN157" s="26">
        <f t="shared" si="81"/>
        <v>0</v>
      </c>
      <c r="AO157" s="56"/>
      <c r="AP157" s="56"/>
      <c r="AQ157" s="51"/>
      <c r="AR157" s="56"/>
      <c r="AS157" s="56"/>
      <c r="AT157" s="57"/>
      <c r="AU157" s="58"/>
      <c r="AV157" s="53"/>
      <c r="AW157" s="54"/>
      <c r="AX157" s="51"/>
      <c r="AY157" s="51"/>
      <c r="AZ157" s="51"/>
      <c r="BA157" s="51"/>
      <c r="BC157" s="152">
        <f t="shared" si="82"/>
        <v>0</v>
      </c>
    </row>
    <row r="158" spans="2:55" s="50" customFormat="1" ht="15" customHeight="1" x14ac:dyDescent="0.3">
      <c r="B158" s="162"/>
      <c r="C158" s="104"/>
      <c r="D158" s="161"/>
      <c r="E158" s="16"/>
      <c r="F158" s="104"/>
      <c r="G158" s="112"/>
      <c r="H158" s="30"/>
      <c r="I158" s="30"/>
      <c r="J158" s="41"/>
      <c r="K158" s="86"/>
      <c r="L158" s="30"/>
      <c r="M158" s="33"/>
      <c r="N158" s="20"/>
      <c r="O158" s="20"/>
      <c r="P158" s="20"/>
      <c r="Q158" s="20"/>
      <c r="R158" s="20"/>
      <c r="S158" s="20"/>
      <c r="T158" s="20"/>
      <c r="U158" s="22"/>
      <c r="V158" s="22"/>
      <c r="W158" s="22"/>
      <c r="X158" s="22">
        <f t="shared" si="76"/>
        <v>0</v>
      </c>
      <c r="Y158" s="20">
        <f t="shared" si="77"/>
        <v>0</v>
      </c>
      <c r="Z158" s="42"/>
      <c r="AA158" s="20">
        <f t="shared" si="78"/>
        <v>0</v>
      </c>
      <c r="AB158" s="20">
        <f t="shared" si="79"/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f t="shared" si="63"/>
        <v>0</v>
      </c>
      <c r="AH158" s="24"/>
      <c r="AI158" s="80">
        <v>0</v>
      </c>
      <c r="AJ158" s="24">
        <v>0</v>
      </c>
      <c r="AK158" s="24">
        <v>0</v>
      </c>
      <c r="AL158" s="24">
        <v>0</v>
      </c>
      <c r="AM158" s="25">
        <f t="shared" si="80"/>
        <v>0</v>
      </c>
      <c r="AN158" s="26">
        <f t="shared" si="81"/>
        <v>0</v>
      </c>
      <c r="AO158" s="56"/>
      <c r="AP158" s="56"/>
      <c r="AQ158" s="51"/>
      <c r="AR158" s="56"/>
      <c r="AS158" s="56"/>
      <c r="AT158" s="57"/>
      <c r="AU158" s="58"/>
      <c r="AV158" s="53"/>
      <c r="AW158" s="54"/>
      <c r="AX158" s="51"/>
      <c r="AY158" s="51"/>
      <c r="AZ158" s="51"/>
      <c r="BA158" s="51"/>
      <c r="BC158" s="152">
        <f t="shared" si="82"/>
        <v>0</v>
      </c>
    </row>
    <row r="159" spans="2:55" s="50" customFormat="1" ht="15" customHeight="1" x14ac:dyDescent="0.3">
      <c r="B159" s="162"/>
      <c r="C159" s="104"/>
      <c r="D159" s="161"/>
      <c r="E159" s="16"/>
      <c r="F159" s="104"/>
      <c r="G159" s="112"/>
      <c r="H159" s="30"/>
      <c r="I159" s="30"/>
      <c r="J159" s="41"/>
      <c r="K159" s="86"/>
      <c r="L159" s="30"/>
      <c r="M159" s="33"/>
      <c r="N159" s="20"/>
      <c r="O159" s="20"/>
      <c r="P159" s="20"/>
      <c r="Q159" s="20"/>
      <c r="R159" s="20"/>
      <c r="S159" s="20"/>
      <c r="T159" s="20"/>
      <c r="U159" s="22"/>
      <c r="V159" s="22"/>
      <c r="W159" s="22"/>
      <c r="X159" s="22">
        <f t="shared" si="76"/>
        <v>0</v>
      </c>
      <c r="Y159" s="20">
        <f t="shared" si="77"/>
        <v>0</v>
      </c>
      <c r="Z159" s="42"/>
      <c r="AA159" s="20">
        <f t="shared" si="78"/>
        <v>0</v>
      </c>
      <c r="AB159" s="20">
        <f t="shared" si="79"/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f t="shared" si="63"/>
        <v>0</v>
      </c>
      <c r="AH159" s="24"/>
      <c r="AI159" s="80">
        <v>0</v>
      </c>
      <c r="AJ159" s="24">
        <v>0</v>
      </c>
      <c r="AK159" s="24">
        <v>0</v>
      </c>
      <c r="AL159" s="24">
        <v>0</v>
      </c>
      <c r="AM159" s="25">
        <f t="shared" si="80"/>
        <v>0</v>
      </c>
      <c r="AN159" s="26">
        <f t="shared" si="81"/>
        <v>0</v>
      </c>
      <c r="AO159" s="56"/>
      <c r="AP159" s="56"/>
      <c r="AQ159" s="51"/>
      <c r="AR159" s="56"/>
      <c r="AS159" s="56"/>
      <c r="AT159" s="57"/>
      <c r="AU159" s="58"/>
      <c r="AV159" s="53"/>
      <c r="AW159" s="54"/>
      <c r="AX159" s="51"/>
      <c r="AY159" s="51"/>
      <c r="AZ159" s="51"/>
      <c r="BA159" s="51"/>
      <c r="BC159" s="152">
        <f t="shared" si="82"/>
        <v>0</v>
      </c>
    </row>
    <row r="160" spans="2:55" s="50" customFormat="1" ht="15" customHeight="1" thickBot="1" x14ac:dyDescent="0.3">
      <c r="B160" s="104"/>
      <c r="C160" s="104"/>
      <c r="D160" s="15"/>
      <c r="E160" s="16"/>
      <c r="F160" s="104"/>
      <c r="G160" s="112"/>
      <c r="H160" s="51"/>
      <c r="I160" s="51"/>
      <c r="J160" s="41"/>
      <c r="K160" s="86"/>
      <c r="L160" s="30"/>
      <c r="M160" s="33"/>
      <c r="N160" s="20"/>
      <c r="O160" s="20"/>
      <c r="P160" s="20"/>
      <c r="Q160" s="20"/>
      <c r="R160" s="20"/>
      <c r="S160" s="20"/>
      <c r="T160" s="20"/>
      <c r="U160" s="22"/>
      <c r="V160" s="22"/>
      <c r="W160" s="22"/>
      <c r="X160" s="22">
        <f t="shared" si="76"/>
        <v>0</v>
      </c>
      <c r="Y160" s="20">
        <f t="shared" ref="Y160" si="84">+M160/31*X160</f>
        <v>0</v>
      </c>
      <c r="Z160" s="42"/>
      <c r="AA160" s="20">
        <f t="shared" si="62"/>
        <v>0</v>
      </c>
      <c r="AB160" s="20">
        <f t="shared" ref="AB160:AB163" si="85">+(N160/31)*U160</f>
        <v>0</v>
      </c>
      <c r="AC160" s="20"/>
      <c r="AD160" s="20"/>
      <c r="AE160" s="20"/>
      <c r="AF160" s="20"/>
      <c r="AG160" s="20">
        <f t="shared" si="63"/>
        <v>0</v>
      </c>
      <c r="AH160" s="24"/>
      <c r="AI160" s="80"/>
      <c r="AJ160" s="24"/>
      <c r="AK160" s="24"/>
      <c r="AL160" s="24"/>
      <c r="AM160" s="25">
        <f t="shared" si="80"/>
        <v>0</v>
      </c>
      <c r="AN160" s="26">
        <f t="shared" si="81"/>
        <v>0</v>
      </c>
      <c r="AO160" s="56"/>
      <c r="AP160" s="56"/>
      <c r="AQ160" s="51"/>
      <c r="AR160" s="56"/>
      <c r="AS160" s="56"/>
      <c r="AT160" s="57"/>
      <c r="AU160" s="58"/>
      <c r="AV160" s="53"/>
      <c r="AW160" s="54"/>
      <c r="AX160" s="51"/>
      <c r="AY160" s="51"/>
      <c r="AZ160" s="51"/>
      <c r="BA160" s="51"/>
      <c r="BC160" s="152">
        <f t="shared" si="82"/>
        <v>0</v>
      </c>
    </row>
    <row r="161" spans="2:56" ht="15" customHeight="1" thickBot="1" x14ac:dyDescent="0.3">
      <c r="B161" s="115"/>
      <c r="C161" s="116">
        <f>SUM(C19:C160)</f>
        <v>2864315</v>
      </c>
      <c r="D161" s="116">
        <f>SUM(D19:D160)</f>
        <v>5321750</v>
      </c>
      <c r="E161" s="30"/>
      <c r="F161" s="104"/>
      <c r="G161" s="146"/>
      <c r="H161" s="117"/>
      <c r="I161" s="118"/>
      <c r="J161" s="41"/>
      <c r="K161" s="119"/>
      <c r="L161" s="116"/>
      <c r="M161" s="116">
        <f t="shared" ref="M161:AN161" si="86">SUM(M19:M160)</f>
        <v>7481215</v>
      </c>
      <c r="N161" s="116">
        <f t="shared" si="86"/>
        <v>3770389</v>
      </c>
      <c r="O161" s="116">
        <f t="shared" si="86"/>
        <v>1855425</v>
      </c>
      <c r="P161" s="116">
        <f t="shared" si="86"/>
        <v>927720</v>
      </c>
      <c r="Q161" s="116">
        <f t="shared" si="86"/>
        <v>927720</v>
      </c>
      <c r="R161" s="116">
        <f t="shared" si="86"/>
        <v>0</v>
      </c>
      <c r="S161" s="116">
        <f t="shared" si="86"/>
        <v>7478254</v>
      </c>
      <c r="T161" s="116">
        <f t="shared" si="86"/>
        <v>0</v>
      </c>
      <c r="U161" s="116">
        <f t="shared" si="86"/>
        <v>3401</v>
      </c>
      <c r="V161" s="116">
        <f t="shared" si="86"/>
        <v>515</v>
      </c>
      <c r="W161" s="116">
        <f t="shared" si="86"/>
        <v>3.7309999999999999</v>
      </c>
      <c r="X161" s="116">
        <f t="shared" si="86"/>
        <v>3919.7310000000002</v>
      </c>
      <c r="Y161" s="116">
        <f t="shared" si="86"/>
        <v>7269647.0000000009</v>
      </c>
      <c r="Z161" s="116">
        <f t="shared" si="86"/>
        <v>25987</v>
      </c>
      <c r="AA161" s="116">
        <f t="shared" si="86"/>
        <v>7295634.0000000009</v>
      </c>
      <c r="AB161" s="116">
        <f t="shared" si="86"/>
        <v>3174064.4333333345</v>
      </c>
      <c r="AC161" s="116">
        <f t="shared" si="86"/>
        <v>0</v>
      </c>
      <c r="AD161" s="116">
        <f t="shared" si="86"/>
        <v>0</v>
      </c>
      <c r="AE161" s="116">
        <f t="shared" si="86"/>
        <v>0</v>
      </c>
      <c r="AF161" s="116">
        <f t="shared" si="86"/>
        <v>0</v>
      </c>
      <c r="AG161" s="116">
        <f t="shared" si="86"/>
        <v>27350</v>
      </c>
      <c r="AH161" s="116">
        <f t="shared" si="86"/>
        <v>169000</v>
      </c>
      <c r="AI161" s="116">
        <f t="shared" si="86"/>
        <v>2200</v>
      </c>
      <c r="AJ161" s="116">
        <f t="shared" si="86"/>
        <v>0</v>
      </c>
      <c r="AK161" s="116">
        <f t="shared" si="86"/>
        <v>0</v>
      </c>
      <c r="AL161" s="116">
        <f t="shared" si="86"/>
        <v>0</v>
      </c>
      <c r="AM161" s="116">
        <f t="shared" si="86"/>
        <v>2000</v>
      </c>
      <c r="AN161" s="116">
        <f t="shared" si="86"/>
        <v>7097084.0000000009</v>
      </c>
      <c r="AO161" s="61"/>
      <c r="AP161" s="62"/>
      <c r="AQ161" s="60"/>
      <c r="AR161" s="63"/>
      <c r="AS161" s="63"/>
      <c r="AT161" s="64"/>
      <c r="AU161" s="29"/>
      <c r="AV161" s="30"/>
      <c r="AW161" s="30"/>
      <c r="AX161" s="30"/>
      <c r="AY161" s="30"/>
      <c r="AZ161" s="30"/>
      <c r="BA161" s="30"/>
      <c r="BB161" s="116">
        <f>SUM(BB19:BB160)</f>
        <v>10000</v>
      </c>
      <c r="BC161" s="116">
        <f>SUM(BC19:BC160)</f>
        <v>7141434.0000000009</v>
      </c>
      <c r="BD161" s="116"/>
    </row>
    <row r="162" spans="2:56" ht="15" customHeight="1" x14ac:dyDescent="0.25">
      <c r="B162" s="113"/>
      <c r="C162" s="113"/>
      <c r="D162" s="107"/>
      <c r="E162" s="48"/>
      <c r="F162" s="113"/>
      <c r="G162" s="108"/>
      <c r="H162" s="107"/>
      <c r="I162" s="107"/>
      <c r="J162" s="41"/>
      <c r="K162" s="114"/>
      <c r="L162" s="107"/>
      <c r="M162" s="108"/>
      <c r="N162" s="108"/>
      <c r="O162" s="108"/>
      <c r="P162" s="108"/>
      <c r="Q162" s="108"/>
      <c r="R162" s="107"/>
      <c r="S162" s="107"/>
      <c r="T162" s="42"/>
      <c r="U162" s="107"/>
      <c r="V162" s="107"/>
      <c r="W162" s="107"/>
      <c r="X162" s="22">
        <f t="shared" si="76"/>
        <v>0</v>
      </c>
      <c r="Y162" s="107"/>
      <c r="Z162" s="42">
        <v>0</v>
      </c>
      <c r="AA162" s="107"/>
      <c r="AB162" s="20">
        <f t="shared" si="85"/>
        <v>0</v>
      </c>
      <c r="AC162" s="107"/>
      <c r="AD162" s="15"/>
      <c r="AE162" s="15"/>
      <c r="AF162" s="15"/>
      <c r="AG162" s="20">
        <f t="shared" si="63"/>
        <v>0</v>
      </c>
      <c r="AH162" s="135"/>
      <c r="AI162" s="65"/>
      <c r="AJ162" s="15"/>
      <c r="AK162" s="15"/>
      <c r="AL162" s="15"/>
      <c r="AM162" s="66"/>
      <c r="AN162" s="67"/>
      <c r="AO162" s="15"/>
      <c r="AP162" s="27"/>
      <c r="AQ162" s="60"/>
      <c r="AR162" s="15"/>
      <c r="AS162" s="15"/>
      <c r="AT162" s="15"/>
      <c r="AU162" s="29"/>
      <c r="AV162" s="21"/>
      <c r="AW162" s="30"/>
      <c r="AX162" s="30"/>
      <c r="AY162" s="30"/>
      <c r="AZ162" s="8"/>
      <c r="BA162" s="30"/>
      <c r="BC162" s="158">
        <f>AC162+AE162+AG162+AN162</f>
        <v>0</v>
      </c>
    </row>
    <row r="163" spans="2:56" s="68" customFormat="1" ht="15" customHeight="1" x14ac:dyDescent="0.25">
      <c r="B163" s="105"/>
      <c r="C163" s="105"/>
      <c r="D163" s="75">
        <f>+D10+D18+D161</f>
        <v>5578745</v>
      </c>
      <c r="E163" s="71"/>
      <c r="F163" s="105"/>
      <c r="G163" s="69"/>
      <c r="H163" s="72"/>
      <c r="I163" s="72"/>
      <c r="J163" s="75">
        <f>+J17+J9+J156</f>
        <v>149</v>
      </c>
      <c r="K163" s="89" t="s">
        <v>101</v>
      </c>
      <c r="L163" s="72" t="s">
        <v>20</v>
      </c>
      <c r="M163" s="75">
        <f t="shared" ref="M163:AA163" si="87">+M10+M18+M161</f>
        <v>7810965</v>
      </c>
      <c r="N163" s="75">
        <f t="shared" si="87"/>
        <v>3941124</v>
      </c>
      <c r="O163" s="75">
        <f t="shared" si="87"/>
        <v>1967611</v>
      </c>
      <c r="P163" s="75">
        <f t="shared" si="87"/>
        <v>983814</v>
      </c>
      <c r="Q163" s="75">
        <f t="shared" si="87"/>
        <v>983814</v>
      </c>
      <c r="R163" s="75">
        <f t="shared" si="87"/>
        <v>0</v>
      </c>
      <c r="S163" s="75">
        <f t="shared" si="87"/>
        <v>7873363</v>
      </c>
      <c r="T163" s="75">
        <f t="shared" si="87"/>
        <v>105000</v>
      </c>
      <c r="U163" s="75">
        <f t="shared" si="87"/>
        <v>3684</v>
      </c>
      <c r="V163" s="75">
        <f t="shared" si="87"/>
        <v>558</v>
      </c>
      <c r="W163" s="75">
        <f t="shared" si="87"/>
        <v>3.7309999999999999</v>
      </c>
      <c r="X163" s="75">
        <f t="shared" si="87"/>
        <v>4245.7309999999998</v>
      </c>
      <c r="Y163" s="75">
        <f t="shared" si="87"/>
        <v>7595938.6666666679</v>
      </c>
      <c r="Z163" s="75">
        <f t="shared" si="87"/>
        <v>31172</v>
      </c>
      <c r="AA163" s="75">
        <f t="shared" si="87"/>
        <v>7627110.6666666679</v>
      </c>
      <c r="AB163" s="20">
        <f t="shared" si="85"/>
        <v>468358090.83870965</v>
      </c>
      <c r="AC163" s="75">
        <f t="shared" ref="AC163:AO163" si="88">+AC10+AC18+AC161</f>
        <v>10795.564</v>
      </c>
      <c r="AD163" s="75">
        <f t="shared" si="88"/>
        <v>11695.194333333333</v>
      </c>
      <c r="AE163" s="75">
        <f t="shared" si="88"/>
        <v>227</v>
      </c>
      <c r="AF163" s="75">
        <f t="shared" si="88"/>
        <v>982</v>
      </c>
      <c r="AG163" s="75">
        <f t="shared" si="88"/>
        <v>29550</v>
      </c>
      <c r="AH163" s="75">
        <f t="shared" si="88"/>
        <v>169000</v>
      </c>
      <c r="AI163" s="75">
        <f t="shared" si="88"/>
        <v>20200</v>
      </c>
      <c r="AJ163" s="75">
        <f t="shared" si="88"/>
        <v>0</v>
      </c>
      <c r="AK163" s="75">
        <f t="shared" si="88"/>
        <v>0</v>
      </c>
      <c r="AL163" s="75">
        <f t="shared" si="88"/>
        <v>0</v>
      </c>
      <c r="AM163" s="75">
        <f t="shared" si="88"/>
        <v>20000</v>
      </c>
      <c r="AN163" s="75">
        <f t="shared" si="88"/>
        <v>7397338.1026666677</v>
      </c>
      <c r="AO163" s="70">
        <f t="shared" si="88"/>
        <v>-13370.5</v>
      </c>
      <c r="AP163" s="73"/>
      <c r="AQ163" s="73"/>
      <c r="AR163" s="72"/>
      <c r="AS163" s="72"/>
      <c r="AT163" s="72"/>
      <c r="AU163" s="74"/>
      <c r="AV163" s="75"/>
      <c r="AW163" s="71"/>
      <c r="AX163" s="71"/>
      <c r="AY163" s="71"/>
      <c r="AZ163" s="71"/>
      <c r="BA163" s="71"/>
      <c r="BB163" s="75">
        <f>+BB10+BB18+BB161</f>
        <v>145632.33333333331</v>
      </c>
      <c r="BC163" s="75">
        <f>+BC10+BC18+BC161</f>
        <v>7454910.6666666679</v>
      </c>
    </row>
    <row r="164" spans="2:56" ht="15" customHeight="1" x14ac:dyDescent="0.2">
      <c r="B164" s="104"/>
      <c r="C164" s="104"/>
      <c r="D164" s="15"/>
      <c r="E164" s="30"/>
      <c r="F164" s="104"/>
      <c r="G164" s="21"/>
      <c r="H164" s="30"/>
      <c r="I164" s="30"/>
      <c r="J164" s="30"/>
      <c r="K164" s="88"/>
      <c r="L164" s="30"/>
      <c r="M164" s="21"/>
      <c r="N164" s="21"/>
      <c r="O164" s="21"/>
      <c r="P164" s="21"/>
      <c r="Q164" s="21"/>
      <c r="R164" s="30"/>
      <c r="S164" s="30"/>
      <c r="T164" s="30"/>
      <c r="U164" s="30"/>
      <c r="V164" s="30"/>
      <c r="W164" s="30"/>
      <c r="X164" s="22">
        <f t="shared" si="76"/>
        <v>0</v>
      </c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48"/>
      <c r="AJ164" s="48"/>
      <c r="AK164" s="48"/>
      <c r="AL164" s="48"/>
      <c r="AM164" s="48"/>
      <c r="AN164" s="30"/>
      <c r="AO164" s="30"/>
      <c r="AP164" s="30"/>
      <c r="AQ164" s="51"/>
      <c r="AR164" s="72"/>
      <c r="AS164" s="30"/>
      <c r="AT164" s="30"/>
      <c r="AU164" s="30"/>
      <c r="AV164" s="21"/>
      <c r="AW164" s="30"/>
      <c r="AX164" s="30"/>
      <c r="AY164" s="30"/>
      <c r="AZ164" s="30"/>
      <c r="BA164" s="30"/>
    </row>
    <row r="165" spans="2:56" ht="15.75" x14ac:dyDescent="0.25">
      <c r="D165" s="77"/>
      <c r="M165" s="111"/>
      <c r="Z165" s="31"/>
      <c r="AN165" s="26">
        <f t="shared" ref="AN165" si="89">+AA165-(AC165+AE165+AG165+AH165+AI165+AJ165+AK165+AL165)</f>
        <v>0</v>
      </c>
    </row>
    <row r="166" spans="2:56" ht="14.25" x14ac:dyDescent="0.2">
      <c r="D166" s="77"/>
    </row>
    <row r="167" spans="2:56" ht="15.75" customHeight="1" x14ac:dyDescent="0.2">
      <c r="D167" s="77"/>
      <c r="BC167" s="152">
        <f>AC167+AE167+AG167+AN167</f>
        <v>0</v>
      </c>
    </row>
    <row r="168" spans="2:56" ht="14.25" customHeight="1" x14ac:dyDescent="0.3">
      <c r="E168" s="176"/>
    </row>
    <row r="190" spans="12:13" x14ac:dyDescent="0.3">
      <c r="L190" s="30" t="s">
        <v>435</v>
      </c>
      <c r="M190" s="21">
        <v>50200</v>
      </c>
    </row>
    <row r="191" spans="12:13" x14ac:dyDescent="0.3">
      <c r="L191" s="30" t="s">
        <v>433</v>
      </c>
      <c r="M191" s="21">
        <v>60200</v>
      </c>
    </row>
    <row r="192" spans="12:13" x14ac:dyDescent="0.3">
      <c r="L192" s="30" t="s">
        <v>434</v>
      </c>
      <c r="M192" s="21">
        <v>50200</v>
      </c>
    </row>
    <row r="193" spans="5:31" x14ac:dyDescent="0.3">
      <c r="L193" s="30" t="s">
        <v>437</v>
      </c>
      <c r="M193" s="21">
        <v>85000</v>
      </c>
    </row>
    <row r="194" spans="5:31" x14ac:dyDescent="0.3">
      <c r="E194" s="16" t="s">
        <v>265</v>
      </c>
      <c r="L194" s="30" t="s">
        <v>442</v>
      </c>
      <c r="M194" s="21">
        <v>50200</v>
      </c>
    </row>
    <row r="198" spans="5:31" x14ac:dyDescent="0.3">
      <c r="AE198" s="14">
        <v>3.2323232323232303E+26</v>
      </c>
    </row>
  </sheetData>
  <mergeCells count="9">
    <mergeCell ref="G1:AO1"/>
    <mergeCell ref="G2:BA2"/>
    <mergeCell ref="N3:S3"/>
    <mergeCell ref="U3:X3"/>
    <mergeCell ref="Y3:AA3"/>
    <mergeCell ref="AC3:AH3"/>
    <mergeCell ref="AI3:AM3"/>
    <mergeCell ref="AP3:AT3"/>
    <mergeCell ref="AU3:BA3"/>
  </mergeCells>
  <conditionalFormatting sqref="L6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APRIL-26</vt:lpstr>
      <vt:lpstr>LEFT EMPLOYEE</vt:lpstr>
      <vt:lpstr>TRAIL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naivasant1985@gmail.com</cp:lastModifiedBy>
  <cp:lastPrinted>2026-05-20T09:32:38Z</cp:lastPrinted>
  <dcterms:created xsi:type="dcterms:W3CDTF">2015-06-05T18:17:20Z</dcterms:created>
  <dcterms:modified xsi:type="dcterms:W3CDTF">2026-05-23T11:49:19Z</dcterms:modified>
</cp:coreProperties>
</file>